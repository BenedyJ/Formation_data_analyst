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/Desktop/Data/OC/Projet 3/Projet livrable/"/>
    </mc:Choice>
  </mc:AlternateContent>
  <xr:revisionPtr revIDLastSave="0" documentId="13_ncr:1_{329DBAE6-2DA4-814C-A277-575733CC1698}" xr6:coauthVersionLast="47" xr6:coauthVersionMax="47" xr10:uidLastSave="{00000000-0000-0000-0000-000000000000}"/>
  <bookViews>
    <workbookView xWindow="0" yWindow="500" windowWidth="28800" windowHeight="16340" xr2:uid="{E68F9066-7E50-844E-919F-0AE97F518A78}"/>
  </bookViews>
  <sheets>
    <sheet name="Genre civil" sheetId="1" r:id="rId1"/>
    <sheet name="Homme_Femmes" sheetId="3" r:id="rId2"/>
  </sheets>
  <definedNames>
    <definedName name="_xlnm._FilterDatabase" localSheetId="0" hidden="1">'Genre civil'!$D$1:$E$1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2" i="1"/>
  <c r="C8" i="3"/>
  <c r="B5" i="3"/>
  <c r="B8" i="3"/>
  <c r="B13" i="3"/>
  <c r="B16" i="3"/>
  <c r="B21" i="3"/>
  <c r="B24" i="3"/>
  <c r="B28" i="3"/>
  <c r="B4" i="3"/>
  <c r="C3" i="1"/>
  <c r="E3" i="1" s="1"/>
  <c r="C4" i="1"/>
  <c r="E4" i="1" s="1"/>
  <c r="E5" i="1"/>
  <c r="C11" i="3" s="1"/>
  <c r="C6" i="1"/>
  <c r="E6" i="1" s="1"/>
  <c r="C7" i="1"/>
  <c r="E7" i="1" s="1"/>
  <c r="C8" i="1"/>
  <c r="E8" i="1" s="1"/>
  <c r="C9" i="1"/>
  <c r="E9" i="1" s="1"/>
  <c r="C10" i="1"/>
  <c r="E10" i="1" s="1"/>
  <c r="C11" i="1"/>
  <c r="E11" i="1" s="1"/>
  <c r="C12" i="1"/>
  <c r="E12" i="1" s="1"/>
  <c r="C13" i="1"/>
  <c r="E13" i="1" s="1"/>
  <c r="C14" i="1"/>
  <c r="E14" i="1" s="1"/>
  <c r="C15" i="1"/>
  <c r="E15" i="1" s="1"/>
  <c r="C16" i="1"/>
  <c r="E16" i="1" s="1"/>
  <c r="C17" i="1"/>
  <c r="E17" i="1" s="1"/>
  <c r="C18" i="1"/>
  <c r="E18" i="1" s="1"/>
  <c r="C19" i="1"/>
  <c r="E19" i="1" s="1"/>
  <c r="C20" i="1"/>
  <c r="E20" i="1" s="1"/>
  <c r="C21" i="1"/>
  <c r="E21" i="1" s="1"/>
  <c r="C22" i="1"/>
  <c r="E22" i="1" s="1"/>
  <c r="C23" i="1"/>
  <c r="E23" i="1" s="1"/>
  <c r="C24" i="1"/>
  <c r="E24" i="1" s="1"/>
  <c r="C25" i="1"/>
  <c r="E25" i="1" s="1"/>
  <c r="C26" i="1"/>
  <c r="E26" i="1" s="1"/>
  <c r="C27" i="1"/>
  <c r="E27" i="1" s="1"/>
  <c r="C28" i="1"/>
  <c r="E28" i="1" s="1"/>
  <c r="C29" i="1"/>
  <c r="E29" i="1" s="1"/>
  <c r="C30" i="1"/>
  <c r="E30" i="1" s="1"/>
  <c r="C31" i="1"/>
  <c r="E31" i="1" s="1"/>
  <c r="C32" i="1"/>
  <c r="E32" i="1" s="1"/>
  <c r="C33" i="1"/>
  <c r="E33" i="1" s="1"/>
  <c r="C34" i="1"/>
  <c r="E34" i="1" s="1"/>
  <c r="C35" i="1"/>
  <c r="E35" i="1" s="1"/>
  <c r="C36" i="1"/>
  <c r="E36" i="1" s="1"/>
  <c r="C37" i="1"/>
  <c r="E37" i="1" s="1"/>
  <c r="C38" i="1"/>
  <c r="E38" i="1" s="1"/>
  <c r="C39" i="1"/>
  <c r="E39" i="1" s="1"/>
  <c r="C40" i="1"/>
  <c r="E40" i="1" s="1"/>
  <c r="C41" i="1"/>
  <c r="E41" i="1" s="1"/>
  <c r="C42" i="1"/>
  <c r="E42" i="1" s="1"/>
  <c r="C43" i="1"/>
  <c r="E43" i="1" s="1"/>
  <c r="C44" i="1"/>
  <c r="E44" i="1" s="1"/>
  <c r="C45" i="1"/>
  <c r="E45" i="1" s="1"/>
  <c r="C46" i="1"/>
  <c r="E46" i="1" s="1"/>
  <c r="C47" i="1"/>
  <c r="E47" i="1" s="1"/>
  <c r="C48" i="1"/>
  <c r="E48" i="1" s="1"/>
  <c r="C49" i="1"/>
  <c r="E49" i="1" s="1"/>
  <c r="C50" i="1"/>
  <c r="E50" i="1" s="1"/>
  <c r="C51" i="1"/>
  <c r="E51" i="1" s="1"/>
  <c r="C52" i="1"/>
  <c r="E52" i="1" s="1"/>
  <c r="C53" i="1"/>
  <c r="E53" i="1" s="1"/>
  <c r="E2" i="1"/>
  <c r="B11" i="3" s="1"/>
  <c r="B3" i="1"/>
  <c r="D3" i="1" s="1"/>
  <c r="B4" i="1"/>
  <c r="D4" i="1" s="1"/>
  <c r="B5" i="1"/>
  <c r="D5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B12" i="1"/>
  <c r="D12" i="1" s="1"/>
  <c r="B13" i="1"/>
  <c r="D13" i="1" s="1"/>
  <c r="B14" i="1"/>
  <c r="D14" i="1" s="1"/>
  <c r="B15" i="1"/>
  <c r="D15" i="1" s="1"/>
  <c r="B16" i="1"/>
  <c r="D16" i="1" s="1"/>
  <c r="B17" i="1"/>
  <c r="D17" i="1" s="1"/>
  <c r="B18" i="1"/>
  <c r="D18" i="1" s="1"/>
  <c r="B19" i="1"/>
  <c r="D19" i="1" s="1"/>
  <c r="B20" i="1"/>
  <c r="D20" i="1" s="1"/>
  <c r="B21" i="1"/>
  <c r="D21" i="1" s="1"/>
  <c r="B22" i="1"/>
  <c r="D22" i="1" s="1"/>
  <c r="B23" i="1"/>
  <c r="D23" i="1" s="1"/>
  <c r="B24" i="1"/>
  <c r="D24" i="1" s="1"/>
  <c r="B25" i="1"/>
  <c r="D25" i="1" s="1"/>
  <c r="B26" i="1"/>
  <c r="D26" i="1" s="1"/>
  <c r="B27" i="1"/>
  <c r="D27" i="1" s="1"/>
  <c r="B28" i="1"/>
  <c r="D28" i="1" s="1"/>
  <c r="B29" i="1"/>
  <c r="D29" i="1" s="1"/>
  <c r="B30" i="1"/>
  <c r="D30" i="1" s="1"/>
  <c r="B31" i="1"/>
  <c r="D31" i="1" s="1"/>
  <c r="B32" i="1"/>
  <c r="D32" i="1" s="1"/>
  <c r="B33" i="1"/>
  <c r="D33" i="1" s="1"/>
  <c r="B34" i="1"/>
  <c r="D34" i="1" s="1"/>
  <c r="B35" i="1"/>
  <c r="D35" i="1" s="1"/>
  <c r="B36" i="1"/>
  <c r="D36" i="1" s="1"/>
  <c r="B37" i="1"/>
  <c r="D37" i="1" s="1"/>
  <c r="B38" i="1"/>
  <c r="D38" i="1" s="1"/>
  <c r="B39" i="1"/>
  <c r="D39" i="1" s="1"/>
  <c r="B40" i="1"/>
  <c r="D40" i="1" s="1"/>
  <c r="B41" i="1"/>
  <c r="D41" i="1" s="1"/>
  <c r="B42" i="1"/>
  <c r="D42" i="1" s="1"/>
  <c r="B43" i="1"/>
  <c r="D43" i="1" s="1"/>
  <c r="B44" i="1"/>
  <c r="D44" i="1" s="1"/>
  <c r="B45" i="1"/>
  <c r="D45" i="1" s="1"/>
  <c r="B46" i="1"/>
  <c r="D46" i="1" s="1"/>
  <c r="B47" i="1"/>
  <c r="D47" i="1" s="1"/>
  <c r="B48" i="1"/>
  <c r="D48" i="1" s="1"/>
  <c r="B49" i="1"/>
  <c r="D49" i="1" s="1"/>
  <c r="B50" i="1"/>
  <c r="D50" i="1" s="1"/>
  <c r="B51" i="1"/>
  <c r="D51" i="1" s="1"/>
  <c r="B52" i="1"/>
  <c r="D52" i="1" s="1"/>
  <c r="B53" i="1"/>
  <c r="D53" i="1" s="1"/>
  <c r="B2" i="1"/>
  <c r="D2" i="1" s="1"/>
  <c r="C27" i="3" l="1"/>
  <c r="C19" i="3"/>
  <c r="C26" i="3"/>
  <c r="C18" i="3"/>
  <c r="C10" i="3"/>
  <c r="C17" i="3"/>
  <c r="C9" i="3"/>
  <c r="C25" i="3"/>
  <c r="C16" i="3"/>
  <c r="C23" i="3"/>
  <c r="C15" i="3"/>
  <c r="C7" i="3"/>
  <c r="C24" i="3"/>
  <c r="C22" i="3"/>
  <c r="C14" i="3"/>
  <c r="C6" i="3"/>
  <c r="C4" i="3"/>
  <c r="C21" i="3"/>
  <c r="C13" i="3"/>
  <c r="C5" i="3"/>
  <c r="C28" i="3"/>
  <c r="C20" i="3"/>
  <c r="C12" i="3"/>
  <c r="B20" i="3"/>
  <c r="B26" i="3"/>
  <c r="B18" i="3"/>
  <c r="B10" i="3"/>
  <c r="B25" i="3"/>
  <c r="B17" i="3"/>
  <c r="B9" i="3"/>
  <c r="B23" i="3"/>
  <c r="B15" i="3"/>
  <c r="B7" i="3"/>
  <c r="B22" i="3"/>
  <c r="F9" i="3" s="1"/>
  <c r="B14" i="3"/>
  <c r="F7" i="3" s="1"/>
  <c r="B6" i="3"/>
  <c r="B31" i="3" s="1"/>
  <c r="B12" i="3"/>
  <c r="B27" i="3"/>
  <c r="F10" i="3" s="1"/>
  <c r="B19" i="3"/>
  <c r="F8" i="3" s="1"/>
  <c r="G5" i="3"/>
  <c r="G4" i="3"/>
  <c r="G9" i="3"/>
  <c r="G7" i="3"/>
  <c r="G10" i="3"/>
  <c r="G8" i="3"/>
  <c r="G6" i="3"/>
  <c r="F5" i="3" l="1"/>
  <c r="C31" i="3"/>
  <c r="G11" i="3"/>
  <c r="F4" i="3"/>
  <c r="F6" i="3"/>
  <c r="F11" i="3" l="1"/>
</calcChain>
</file>

<file path=xl/sharedStrings.xml><?xml version="1.0" encoding="utf-8"?>
<sst xmlns="http://schemas.openxmlformats.org/spreadsheetml/2006/main" count="47" uniqueCount="45">
  <si>
    <t>Genre Civil</t>
  </si>
  <si>
    <t xml:space="preserve">Année de naissance </t>
  </si>
  <si>
    <t>Année de naissance</t>
  </si>
  <si>
    <t>Sexe</t>
  </si>
  <si>
    <t>Femme</t>
  </si>
  <si>
    <t>Homme</t>
  </si>
  <si>
    <t>1964</t>
  </si>
  <si>
    <t>1965</t>
  </si>
  <si>
    <t>1969</t>
  </si>
  <si>
    <t>1970</t>
  </si>
  <si>
    <t>1971</t>
  </si>
  <si>
    <t>1972</t>
  </si>
  <si>
    <t>1973</t>
  </si>
  <si>
    <t>1974</t>
  </si>
  <si>
    <t>1976</t>
  </si>
  <si>
    <t>1978</t>
  </si>
  <si>
    <t>1980</t>
  </si>
  <si>
    <t>1982</t>
  </si>
  <si>
    <t>1983</t>
  </si>
  <si>
    <t>1984</t>
  </si>
  <si>
    <t>1985</t>
  </si>
  <si>
    <t>1986</t>
  </si>
  <si>
    <t>1987</t>
  </si>
  <si>
    <t>1990</t>
  </si>
  <si>
    <t>1991</t>
  </si>
  <si>
    <t>1992</t>
  </si>
  <si>
    <t>1993</t>
  </si>
  <si>
    <t>1995</t>
  </si>
  <si>
    <t>1997</t>
  </si>
  <si>
    <t>1998</t>
  </si>
  <si>
    <t>1999</t>
  </si>
  <si>
    <t>Total</t>
  </si>
  <si>
    <t>Hommes</t>
  </si>
  <si>
    <t>Femmes</t>
  </si>
  <si>
    <t xml:space="preserve">Total </t>
  </si>
  <si>
    <t>1960-1965</t>
  </si>
  <si>
    <t>1990-1995</t>
  </si>
  <si>
    <t>1966-1971</t>
  </si>
  <si>
    <t>1972-1977</t>
  </si>
  <si>
    <t>1978-1983</t>
  </si>
  <si>
    <t>1984-1989</t>
  </si>
  <si>
    <t>1996-2001</t>
  </si>
  <si>
    <t>N sécurite sociale Directeur trice</t>
  </si>
  <si>
    <t>Année</t>
  </si>
  <si>
    <t>Année/5ans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</si>
</sst>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</a:t>
            </a:r>
            <a:r>
              <a:rPr lang="en-US" baseline="0"/>
              <a:t> hommes femmes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Homme_Femmes!$A$31</c:f>
              <c:strCache>
                <c:ptCount val="1"/>
                <c:pt idx="0">
                  <c:v>Total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5D-F745-8A69-ACA849CD86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F8-DE46-BC29-F14CC06AB4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Homme_Femmes!$B$30:$C$30</c:f>
              <c:strCache>
                <c:ptCount val="2"/>
                <c:pt idx="0">
                  <c:v>Hommes</c:v>
                </c:pt>
                <c:pt idx="1">
                  <c:v>Femmes</c:v>
                </c:pt>
              </c:strCache>
            </c:strRef>
          </c:cat>
          <c:val>
            <c:numRef>
              <c:f>Homme_Femmes!$B$31:$C$31</c:f>
              <c:numCache>
                <c:formatCode>General</c:formatCode>
                <c:ptCount val="2"/>
                <c:pt idx="0">
                  <c:v>28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D-F745-8A69-ACA849CD8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</a:t>
            </a:r>
            <a:r>
              <a:rPr lang="fr-FR" baseline="0"/>
              <a:t> hommes femmes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Homme_Femmes!$F$3</c:f>
              <c:strCache>
                <c:ptCount val="1"/>
                <c:pt idx="0">
                  <c:v>Homme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Homme_Femmes!$E$4:$E$10</c:f>
              <c:strCache>
                <c:ptCount val="7"/>
                <c:pt idx="0">
                  <c:v>1960-1965</c:v>
                </c:pt>
                <c:pt idx="1">
                  <c:v>1966-1971</c:v>
                </c:pt>
                <c:pt idx="2">
                  <c:v>1972-1977</c:v>
                </c:pt>
                <c:pt idx="3">
                  <c:v>1978-1983</c:v>
                </c:pt>
                <c:pt idx="4">
                  <c:v>1984-1989</c:v>
                </c:pt>
                <c:pt idx="5">
                  <c:v>1990-1995</c:v>
                </c:pt>
                <c:pt idx="6">
                  <c:v>1996-2001</c:v>
                </c:pt>
              </c:strCache>
            </c:strRef>
          </c:cat>
          <c:val>
            <c:numRef>
              <c:f>Homme_Femmes!$F$4:$F$10</c:f>
              <c:numCache>
                <c:formatCode>General</c:formatCode>
                <c:ptCount val="7"/>
                <c:pt idx="0">
                  <c:v>1</c:v>
                </c:pt>
                <c:pt idx="1">
                  <c:v>6</c:v>
                </c:pt>
                <c:pt idx="2">
                  <c:v>6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9-994E-81C6-F5A708D33884}"/>
            </c:ext>
          </c:extLst>
        </c:ser>
        <c:ser>
          <c:idx val="1"/>
          <c:order val="1"/>
          <c:tx>
            <c:strRef>
              <c:f>Homme_Femmes!$G$3</c:f>
              <c:strCache>
                <c:ptCount val="1"/>
                <c:pt idx="0">
                  <c:v>Femme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Homme_Femmes!$E$4:$E$10</c:f>
              <c:strCache>
                <c:ptCount val="7"/>
                <c:pt idx="0">
                  <c:v>1960-1965</c:v>
                </c:pt>
                <c:pt idx="1">
                  <c:v>1966-1971</c:v>
                </c:pt>
                <c:pt idx="2">
                  <c:v>1972-1977</c:v>
                </c:pt>
                <c:pt idx="3">
                  <c:v>1978-1983</c:v>
                </c:pt>
                <c:pt idx="4">
                  <c:v>1984-1989</c:v>
                </c:pt>
                <c:pt idx="5">
                  <c:v>1990-1995</c:v>
                </c:pt>
                <c:pt idx="6">
                  <c:v>1996-2001</c:v>
                </c:pt>
              </c:strCache>
            </c:strRef>
          </c:cat>
          <c:val>
            <c:numRef>
              <c:f>Homme_Femmes!$G$4:$G$10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E9-994E-81C6-F5A708D33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3727327"/>
        <c:axId val="1574741119"/>
      </c:barChart>
      <c:catAx>
        <c:axId val="152372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74741119"/>
        <c:crosses val="autoZero"/>
        <c:auto val="1"/>
        <c:lblAlgn val="ctr"/>
        <c:lblOffset val="100"/>
        <c:noMultiLvlLbl val="0"/>
      </c:catAx>
      <c:valAx>
        <c:axId val="157474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372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317398</xdr:colOff>
      <xdr:row>2</xdr:row>
      <xdr:rowOff>180175</xdr:rowOff>
    </xdr:from>
    <xdr:to>
      <xdr:col>18</xdr:col>
      <xdr:colOff>545998</xdr:colOff>
      <xdr:row>28</xdr:row>
      <xdr:rowOff>91275</xdr:rowOff>
    </xdr:to>
    <xdr:graphicFrame macro="">
      <xdr:nvGraphicFramePr>
        <xdr:cNvPr id="2" name="Graphique 1" descr="Graphique en camembert/secteur qui montre la répartition entre les hommes et les femmes entre 1964 et 1999. Il y a 46% de femmes (24) pour 54% d'hommes (28)">
          <a:extLst>
            <a:ext uri="{FF2B5EF4-FFF2-40B4-BE49-F238E27FC236}">
              <a16:creationId xmlns:a16="http://schemas.microsoft.com/office/drawing/2014/main" id="{52A40016-222B-D71B-082B-982F4B365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351056</xdr:colOff>
      <xdr:row>29</xdr:row>
      <xdr:rowOff>17139</xdr:rowOff>
    </xdr:from>
    <xdr:to>
      <xdr:col>18</xdr:col>
      <xdr:colOff>526584</xdr:colOff>
      <xdr:row>45</xdr:row>
      <xdr:rowOff>123902</xdr:rowOff>
    </xdr:to>
    <xdr:graphicFrame macro="">
      <xdr:nvGraphicFramePr>
        <xdr:cNvPr id="8" name="Graphique 7" descr="Histogramme montrant la répartition entre les hommes et les femmes par tranche de 5 années. Les seules tranches où il y a eu plus de femmes que d'hommes sont les tranches (1978-1983 et 1996-2001)">
          <a:extLst>
            <a:ext uri="{FF2B5EF4-FFF2-40B4-BE49-F238E27FC236}">
              <a16:creationId xmlns:a16="http://schemas.microsoft.com/office/drawing/2014/main" id="{C490FC4D-D113-392B-3020-25CCE67B0E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D7C4E-D996-7C4F-8425-4E5661904F39}">
  <dimension ref="A1:E53"/>
  <sheetViews>
    <sheetView tabSelected="1" zoomScale="201" zoomScaleNormal="201" workbookViewId="0">
      <selection activeCell="F6" sqref="F6"/>
    </sheetView>
  </sheetViews>
  <sheetFormatPr baseColWidth="10" defaultRowHeight="16" outlineLevelCol="1" x14ac:dyDescent="0.2"/>
  <cols>
    <col min="1" max="1" width="24.83203125" bestFit="1" customWidth="1"/>
    <col min="2" max="2" width="7" customWidth="1" outlineLevel="1"/>
    <col min="3" max="3" width="17.83203125" customWidth="1" outlineLevel="1"/>
    <col min="4" max="4" width="10.83203125" style="7"/>
    <col min="5" max="5" width="17.33203125" bestFit="1" customWidth="1"/>
  </cols>
  <sheetData>
    <row r="1" spans="1:5" x14ac:dyDescent="0.2">
      <c r="A1" s="4" t="s">
        <v>42</v>
      </c>
      <c r="B1" s="3" t="s">
        <v>3</v>
      </c>
      <c r="C1" s="1" t="s">
        <v>1</v>
      </c>
      <c r="D1" s="2" t="s">
        <v>0</v>
      </c>
      <c r="E1" s="2" t="s">
        <v>2</v>
      </c>
    </row>
    <row r="2" spans="1:5" x14ac:dyDescent="0.2">
      <c r="A2" s="5">
        <v>1721093543456</v>
      </c>
      <c r="B2" s="5" t="str">
        <f t="shared" ref="B2:B33" si="0">LEFT(A2,1)</f>
        <v>1</v>
      </c>
      <c r="C2" s="5" t="str">
        <f>MID(A2,2,2)</f>
        <v>72</v>
      </c>
      <c r="D2" s="8" t="str">
        <f t="shared" ref="D2:D33" si="1">IF(B2="1","Homme","Femme")</f>
        <v>Homme</v>
      </c>
      <c r="E2" s="6" t="str">
        <f t="shared" ref="E2:E33" si="2">19&amp;C2</f>
        <v>1972</v>
      </c>
    </row>
    <row r="3" spans="1:5" x14ac:dyDescent="0.2">
      <c r="A3" s="5">
        <v>1690891543678</v>
      </c>
      <c r="B3" s="5" t="str">
        <f t="shared" si="0"/>
        <v>1</v>
      </c>
      <c r="C3" s="5" t="str">
        <f t="shared" ref="C3:C33" si="3">MID(A3,2,2)</f>
        <v>69</v>
      </c>
      <c r="D3" s="8" t="str">
        <f t="shared" si="1"/>
        <v>Homme</v>
      </c>
      <c r="E3" s="6" t="str">
        <f t="shared" si="2"/>
        <v>1969</v>
      </c>
    </row>
    <row r="4" spans="1:5" x14ac:dyDescent="0.2">
      <c r="A4" s="5">
        <v>1870767234345</v>
      </c>
      <c r="B4" s="5" t="str">
        <f t="shared" si="0"/>
        <v>1</v>
      </c>
      <c r="C4" s="5" t="str">
        <f t="shared" si="3"/>
        <v>87</v>
      </c>
      <c r="D4" s="8" t="str">
        <f t="shared" si="1"/>
        <v>Homme</v>
      </c>
      <c r="E4" s="6" t="str">
        <f t="shared" si="2"/>
        <v>1987</v>
      </c>
    </row>
    <row r="5" spans="1:5" x14ac:dyDescent="0.2">
      <c r="A5" s="5">
        <v>2820667987654</v>
      </c>
      <c r="B5" s="5" t="str">
        <f t="shared" si="0"/>
        <v>2</v>
      </c>
      <c r="C5" s="5" t="str">
        <f>MID(A5,2,2)</f>
        <v>82</v>
      </c>
      <c r="D5" s="8" t="str">
        <f t="shared" si="1"/>
        <v>Femme</v>
      </c>
      <c r="E5" s="6" t="str">
        <f t="shared" si="2"/>
        <v>1982</v>
      </c>
    </row>
    <row r="6" spans="1:5" x14ac:dyDescent="0.2">
      <c r="A6" s="5">
        <v>2980326876789</v>
      </c>
      <c r="B6" s="5" t="str">
        <f t="shared" si="0"/>
        <v>2</v>
      </c>
      <c r="C6" s="5" t="str">
        <f t="shared" si="3"/>
        <v>98</v>
      </c>
      <c r="D6" s="8" t="str">
        <f t="shared" si="1"/>
        <v>Femme</v>
      </c>
      <c r="E6" s="6" t="str">
        <f t="shared" si="2"/>
        <v>1998</v>
      </c>
    </row>
    <row r="7" spans="1:5" x14ac:dyDescent="0.2">
      <c r="A7" s="5">
        <v>1760894987321</v>
      </c>
      <c r="B7" s="5" t="str">
        <f t="shared" si="0"/>
        <v>1</v>
      </c>
      <c r="C7" s="5" t="str">
        <f t="shared" si="3"/>
        <v>76</v>
      </c>
      <c r="D7" s="8" t="str">
        <f t="shared" si="1"/>
        <v>Homme</v>
      </c>
      <c r="E7" s="6" t="str">
        <f t="shared" si="2"/>
        <v>1976</v>
      </c>
    </row>
    <row r="8" spans="1:5" x14ac:dyDescent="0.2">
      <c r="A8" s="5">
        <v>2731140567876</v>
      </c>
      <c r="B8" s="5" t="str">
        <f t="shared" si="0"/>
        <v>2</v>
      </c>
      <c r="C8" s="5" t="str">
        <f t="shared" si="3"/>
        <v>73</v>
      </c>
      <c r="D8" s="8" t="str">
        <f t="shared" si="1"/>
        <v>Femme</v>
      </c>
      <c r="E8" s="6" t="str">
        <f t="shared" si="2"/>
        <v>1973</v>
      </c>
    </row>
    <row r="9" spans="1:5" x14ac:dyDescent="0.2">
      <c r="A9" s="5">
        <v>2950121987654</v>
      </c>
      <c r="B9" s="5" t="str">
        <f t="shared" si="0"/>
        <v>2</v>
      </c>
      <c r="C9" s="5" t="str">
        <f t="shared" si="3"/>
        <v>95</v>
      </c>
      <c r="D9" s="8" t="str">
        <f t="shared" si="1"/>
        <v>Femme</v>
      </c>
      <c r="E9" s="6" t="str">
        <f t="shared" si="2"/>
        <v>1995</v>
      </c>
    </row>
    <row r="10" spans="1:5" x14ac:dyDescent="0.2">
      <c r="A10" s="5">
        <v>1870459678987</v>
      </c>
      <c r="B10" s="5" t="str">
        <f t="shared" si="0"/>
        <v>1</v>
      </c>
      <c r="C10" s="5" t="str">
        <f t="shared" si="3"/>
        <v>87</v>
      </c>
      <c r="D10" s="8" t="str">
        <f t="shared" si="1"/>
        <v>Homme</v>
      </c>
      <c r="E10" s="6" t="str">
        <f t="shared" si="2"/>
        <v>1987</v>
      </c>
    </row>
    <row r="11" spans="1:5" x14ac:dyDescent="0.2">
      <c r="A11" s="5">
        <v>1690791654789</v>
      </c>
      <c r="B11" s="5" t="str">
        <f t="shared" si="0"/>
        <v>1</v>
      </c>
      <c r="C11" s="5" t="str">
        <f t="shared" si="3"/>
        <v>69</v>
      </c>
      <c r="D11" s="8" t="str">
        <f t="shared" si="1"/>
        <v>Homme</v>
      </c>
      <c r="E11" s="6" t="str">
        <f t="shared" si="2"/>
        <v>1969</v>
      </c>
    </row>
    <row r="12" spans="1:5" x14ac:dyDescent="0.2">
      <c r="A12" s="5">
        <v>1981059987654</v>
      </c>
      <c r="B12" s="5" t="str">
        <f t="shared" si="0"/>
        <v>1</v>
      </c>
      <c r="C12" s="5" t="str">
        <f t="shared" si="3"/>
        <v>98</v>
      </c>
      <c r="D12" s="8" t="str">
        <f t="shared" si="1"/>
        <v>Homme</v>
      </c>
      <c r="E12" s="6" t="str">
        <f t="shared" si="2"/>
        <v>1998</v>
      </c>
    </row>
    <row r="13" spans="1:5" x14ac:dyDescent="0.2">
      <c r="A13" s="5">
        <v>2870462567457</v>
      </c>
      <c r="B13" s="5" t="str">
        <f t="shared" si="0"/>
        <v>2</v>
      </c>
      <c r="C13" s="5" t="str">
        <f t="shared" si="3"/>
        <v>87</v>
      </c>
      <c r="D13" s="8" t="str">
        <f t="shared" si="1"/>
        <v>Femme</v>
      </c>
      <c r="E13" s="6" t="str">
        <f t="shared" si="2"/>
        <v>1987</v>
      </c>
    </row>
    <row r="14" spans="1:5" x14ac:dyDescent="0.2">
      <c r="A14" s="5">
        <v>1861039876765</v>
      </c>
      <c r="B14" s="5" t="str">
        <f t="shared" si="0"/>
        <v>1</v>
      </c>
      <c r="C14" s="5" t="str">
        <f t="shared" si="3"/>
        <v>86</v>
      </c>
      <c r="D14" s="8" t="str">
        <f t="shared" si="1"/>
        <v>Homme</v>
      </c>
      <c r="E14" s="6" t="str">
        <f t="shared" si="2"/>
        <v>1986</v>
      </c>
    </row>
    <row r="15" spans="1:5" x14ac:dyDescent="0.2">
      <c r="A15" s="5">
        <v>2780759543789</v>
      </c>
      <c r="B15" s="5" t="str">
        <f t="shared" si="0"/>
        <v>2</v>
      </c>
      <c r="C15" s="5" t="str">
        <f t="shared" si="3"/>
        <v>78</v>
      </c>
      <c r="D15" s="8" t="str">
        <f t="shared" si="1"/>
        <v>Femme</v>
      </c>
      <c r="E15" s="6" t="str">
        <f t="shared" si="2"/>
        <v>1978</v>
      </c>
    </row>
    <row r="16" spans="1:5" x14ac:dyDescent="0.2">
      <c r="A16" s="5">
        <v>2920180786765</v>
      </c>
      <c r="B16" s="5" t="str">
        <f t="shared" si="0"/>
        <v>2</v>
      </c>
      <c r="C16" s="5" t="str">
        <f t="shared" si="3"/>
        <v>92</v>
      </c>
      <c r="D16" s="8" t="str">
        <f t="shared" si="1"/>
        <v>Femme</v>
      </c>
      <c r="E16" s="6" t="str">
        <f t="shared" si="2"/>
        <v>1992</v>
      </c>
    </row>
    <row r="17" spans="1:5" x14ac:dyDescent="0.2">
      <c r="A17" s="5">
        <v>2931280678765</v>
      </c>
      <c r="B17" s="5" t="str">
        <f t="shared" si="0"/>
        <v>2</v>
      </c>
      <c r="C17" s="5" t="str">
        <f t="shared" si="3"/>
        <v>93</v>
      </c>
      <c r="D17" s="8" t="str">
        <f t="shared" si="1"/>
        <v>Femme</v>
      </c>
      <c r="E17" s="6" t="str">
        <f t="shared" si="2"/>
        <v>1993</v>
      </c>
    </row>
    <row r="18" spans="1:5" x14ac:dyDescent="0.2">
      <c r="A18" s="5">
        <v>1910162678543</v>
      </c>
      <c r="B18" s="5" t="str">
        <f t="shared" si="0"/>
        <v>1</v>
      </c>
      <c r="C18" s="5" t="str">
        <f t="shared" si="3"/>
        <v>91</v>
      </c>
      <c r="D18" s="8" t="str">
        <f t="shared" si="1"/>
        <v>Homme</v>
      </c>
      <c r="E18" s="6" t="str">
        <f t="shared" si="2"/>
        <v>1991</v>
      </c>
    </row>
    <row r="19" spans="1:5" x14ac:dyDescent="0.2">
      <c r="A19" s="5">
        <v>1990221654321</v>
      </c>
      <c r="B19" s="5" t="str">
        <f t="shared" si="0"/>
        <v>1</v>
      </c>
      <c r="C19" s="5" t="str">
        <f t="shared" si="3"/>
        <v>99</v>
      </c>
      <c r="D19" s="8" t="str">
        <f t="shared" si="1"/>
        <v>Homme</v>
      </c>
      <c r="E19" s="6" t="str">
        <f t="shared" si="2"/>
        <v>1999</v>
      </c>
    </row>
    <row r="20" spans="1:5" x14ac:dyDescent="0.2">
      <c r="A20" s="5">
        <v>1951160456789</v>
      </c>
      <c r="B20" s="5" t="str">
        <f t="shared" si="0"/>
        <v>1</v>
      </c>
      <c r="C20" s="5" t="str">
        <f t="shared" si="3"/>
        <v>95</v>
      </c>
      <c r="D20" s="8" t="str">
        <f t="shared" si="1"/>
        <v>Homme</v>
      </c>
      <c r="E20" s="6" t="str">
        <f t="shared" si="2"/>
        <v>1995</v>
      </c>
    </row>
    <row r="21" spans="1:5" x14ac:dyDescent="0.2">
      <c r="A21" s="5">
        <v>1720734564367</v>
      </c>
      <c r="B21" s="5" t="str">
        <f t="shared" si="0"/>
        <v>1</v>
      </c>
      <c r="C21" s="5" t="str">
        <f t="shared" si="3"/>
        <v>72</v>
      </c>
      <c r="D21" s="8" t="str">
        <f t="shared" si="1"/>
        <v>Homme</v>
      </c>
      <c r="E21" s="6" t="str">
        <f t="shared" si="2"/>
        <v>1972</v>
      </c>
    </row>
    <row r="22" spans="1:5" x14ac:dyDescent="0.2">
      <c r="A22" s="5">
        <v>1710993765987</v>
      </c>
      <c r="B22" s="5" t="str">
        <f t="shared" si="0"/>
        <v>1</v>
      </c>
      <c r="C22" s="5" t="str">
        <f t="shared" si="3"/>
        <v>71</v>
      </c>
      <c r="D22" s="8" t="str">
        <f t="shared" si="1"/>
        <v>Homme</v>
      </c>
      <c r="E22" s="6" t="str">
        <f t="shared" si="2"/>
        <v>1971</v>
      </c>
    </row>
    <row r="23" spans="1:5" x14ac:dyDescent="0.2">
      <c r="A23" s="5">
        <v>2840262345678</v>
      </c>
      <c r="B23" s="5" t="str">
        <f t="shared" si="0"/>
        <v>2</v>
      </c>
      <c r="C23" s="5" t="str">
        <f t="shared" si="3"/>
        <v>84</v>
      </c>
      <c r="D23" s="8" t="str">
        <f t="shared" si="1"/>
        <v>Femme</v>
      </c>
      <c r="E23" s="6" t="str">
        <f t="shared" si="2"/>
        <v>1984</v>
      </c>
    </row>
    <row r="24" spans="1:5" x14ac:dyDescent="0.2">
      <c r="A24" s="5">
        <v>2830362987654</v>
      </c>
      <c r="B24" s="5" t="str">
        <f t="shared" si="0"/>
        <v>2</v>
      </c>
      <c r="C24" s="5" t="str">
        <f t="shared" si="3"/>
        <v>83</v>
      </c>
      <c r="D24" s="8" t="str">
        <f t="shared" si="1"/>
        <v>Femme</v>
      </c>
      <c r="E24" s="6" t="str">
        <f t="shared" si="2"/>
        <v>1983</v>
      </c>
    </row>
    <row r="25" spans="1:5" x14ac:dyDescent="0.2">
      <c r="A25" s="5">
        <v>2780859654278</v>
      </c>
      <c r="B25" s="5" t="str">
        <f t="shared" si="0"/>
        <v>2</v>
      </c>
      <c r="C25" s="5" t="str">
        <f t="shared" si="3"/>
        <v>78</v>
      </c>
      <c r="D25" s="8" t="str">
        <f t="shared" si="1"/>
        <v>Femme</v>
      </c>
      <c r="E25" s="6" t="str">
        <f t="shared" si="2"/>
        <v>1978</v>
      </c>
    </row>
    <row r="26" spans="1:5" x14ac:dyDescent="0.2">
      <c r="A26" s="5">
        <v>2921261654365</v>
      </c>
      <c r="B26" s="5" t="str">
        <f t="shared" si="0"/>
        <v>2</v>
      </c>
      <c r="C26" s="5" t="str">
        <f t="shared" si="3"/>
        <v>92</v>
      </c>
      <c r="D26" s="8" t="str">
        <f t="shared" si="1"/>
        <v>Femme</v>
      </c>
      <c r="E26" s="6" t="str">
        <f t="shared" si="2"/>
        <v>1992</v>
      </c>
    </row>
    <row r="27" spans="1:5" x14ac:dyDescent="0.2">
      <c r="A27" s="5">
        <v>1760113765897</v>
      </c>
      <c r="B27" s="5" t="str">
        <f t="shared" si="0"/>
        <v>1</v>
      </c>
      <c r="C27" s="5" t="str">
        <f t="shared" si="3"/>
        <v>76</v>
      </c>
      <c r="D27" s="8" t="str">
        <f t="shared" si="1"/>
        <v>Homme</v>
      </c>
      <c r="E27" s="6" t="str">
        <f t="shared" si="2"/>
        <v>1976</v>
      </c>
    </row>
    <row r="28" spans="1:5" x14ac:dyDescent="0.2">
      <c r="A28" s="5">
        <v>2800213654789</v>
      </c>
      <c r="B28" s="5" t="str">
        <f t="shared" si="0"/>
        <v>2</v>
      </c>
      <c r="C28" s="5" t="str">
        <f t="shared" si="3"/>
        <v>80</v>
      </c>
      <c r="D28" s="8" t="str">
        <f t="shared" si="1"/>
        <v>Femme</v>
      </c>
      <c r="E28" s="6" t="str">
        <f t="shared" si="2"/>
        <v>1980</v>
      </c>
    </row>
    <row r="29" spans="1:5" x14ac:dyDescent="0.2">
      <c r="A29" s="5">
        <v>1900319876543</v>
      </c>
      <c r="B29" s="5" t="str">
        <f t="shared" si="0"/>
        <v>1</v>
      </c>
      <c r="C29" s="5" t="str">
        <f t="shared" si="3"/>
        <v>90</v>
      </c>
      <c r="D29" s="8" t="str">
        <f t="shared" si="1"/>
        <v>Homme</v>
      </c>
      <c r="E29" s="6" t="str">
        <f t="shared" si="2"/>
        <v>1990</v>
      </c>
    </row>
    <row r="30" spans="1:5" x14ac:dyDescent="0.2">
      <c r="A30" s="5">
        <v>2740559654321</v>
      </c>
      <c r="B30" s="5" t="str">
        <f t="shared" si="0"/>
        <v>2</v>
      </c>
      <c r="C30" s="5" t="str">
        <f t="shared" si="3"/>
        <v>74</v>
      </c>
      <c r="D30" s="8" t="str">
        <f t="shared" si="1"/>
        <v>Femme</v>
      </c>
      <c r="E30" s="6" t="str">
        <f t="shared" si="2"/>
        <v>1974</v>
      </c>
    </row>
    <row r="31" spans="1:5" x14ac:dyDescent="0.2">
      <c r="A31" s="5">
        <v>2900973453456</v>
      </c>
      <c r="B31" s="5" t="str">
        <f t="shared" si="0"/>
        <v>2</v>
      </c>
      <c r="C31" s="5" t="str">
        <f t="shared" si="3"/>
        <v>90</v>
      </c>
      <c r="D31" s="8" t="str">
        <f t="shared" si="1"/>
        <v>Femme</v>
      </c>
      <c r="E31" s="6" t="str">
        <f t="shared" si="2"/>
        <v>1990</v>
      </c>
    </row>
    <row r="32" spans="1:5" x14ac:dyDescent="0.2">
      <c r="A32" s="5">
        <v>2840564345234</v>
      </c>
      <c r="B32" s="5" t="str">
        <f t="shared" si="0"/>
        <v>2</v>
      </c>
      <c r="C32" s="5" t="str">
        <f t="shared" si="3"/>
        <v>84</v>
      </c>
      <c r="D32" s="8" t="str">
        <f t="shared" si="1"/>
        <v>Femme</v>
      </c>
      <c r="E32" s="6" t="str">
        <f t="shared" si="2"/>
        <v>1984</v>
      </c>
    </row>
    <row r="33" spans="1:5" x14ac:dyDescent="0.2">
      <c r="A33" s="5">
        <v>1991180876543</v>
      </c>
      <c r="B33" s="5" t="str">
        <f t="shared" si="0"/>
        <v>1</v>
      </c>
      <c r="C33" s="5" t="str">
        <f t="shared" si="3"/>
        <v>99</v>
      </c>
      <c r="D33" s="8" t="str">
        <f t="shared" si="1"/>
        <v>Homme</v>
      </c>
      <c r="E33" s="6" t="str">
        <f t="shared" si="2"/>
        <v>1999</v>
      </c>
    </row>
    <row r="34" spans="1:5" x14ac:dyDescent="0.2">
      <c r="A34" s="5">
        <v>2971076565438</v>
      </c>
      <c r="B34" s="5" t="str">
        <f t="shared" ref="B34:B53" si="4">LEFT(A34,1)</f>
        <v>2</v>
      </c>
      <c r="C34" s="5" t="str">
        <f t="shared" ref="C34:C53" si="5">MID(A34,2,2)</f>
        <v>97</v>
      </c>
      <c r="D34" s="8" t="str">
        <f t="shared" ref="D34:D53" si="6">IF(B34="1","Homme","Femme")</f>
        <v>Femme</v>
      </c>
      <c r="E34" s="6" t="str">
        <f t="shared" ref="E34:E53" si="7">19&amp;C34</f>
        <v>1997</v>
      </c>
    </row>
    <row r="35" spans="1:5" x14ac:dyDescent="0.2">
      <c r="A35" s="5">
        <v>2700659543658</v>
      </c>
      <c r="B35" s="5" t="str">
        <f t="shared" si="4"/>
        <v>2</v>
      </c>
      <c r="C35" s="5" t="str">
        <f t="shared" si="5"/>
        <v>70</v>
      </c>
      <c r="D35" s="8" t="str">
        <f t="shared" si="6"/>
        <v>Femme</v>
      </c>
      <c r="E35" s="6" t="str">
        <f t="shared" si="7"/>
        <v>1970</v>
      </c>
    </row>
    <row r="36" spans="1:5" x14ac:dyDescent="0.2">
      <c r="A36" s="5">
        <v>2990431766467</v>
      </c>
      <c r="B36" s="5" t="str">
        <f t="shared" si="4"/>
        <v>2</v>
      </c>
      <c r="C36" s="5" t="str">
        <f t="shared" si="5"/>
        <v>99</v>
      </c>
      <c r="D36" s="8" t="str">
        <f t="shared" si="6"/>
        <v>Femme</v>
      </c>
      <c r="E36" s="6" t="str">
        <f t="shared" si="7"/>
        <v>1999</v>
      </c>
    </row>
    <row r="37" spans="1:5" x14ac:dyDescent="0.2">
      <c r="A37" s="5">
        <v>2731193342345</v>
      </c>
      <c r="B37" s="5" t="str">
        <f t="shared" si="4"/>
        <v>2</v>
      </c>
      <c r="C37" s="5" t="str">
        <f t="shared" si="5"/>
        <v>73</v>
      </c>
      <c r="D37" s="8" t="str">
        <f t="shared" si="6"/>
        <v>Femme</v>
      </c>
      <c r="E37" s="6" t="str">
        <f t="shared" si="7"/>
        <v>1973</v>
      </c>
    </row>
    <row r="38" spans="1:5" x14ac:dyDescent="0.2">
      <c r="A38" s="5">
        <v>2650587345345</v>
      </c>
      <c r="B38" s="5" t="str">
        <f t="shared" si="4"/>
        <v>2</v>
      </c>
      <c r="C38" s="5" t="str">
        <f t="shared" si="5"/>
        <v>65</v>
      </c>
      <c r="D38" s="8" t="str">
        <f t="shared" si="6"/>
        <v>Femme</v>
      </c>
      <c r="E38" s="6" t="str">
        <f t="shared" si="7"/>
        <v>1965</v>
      </c>
    </row>
    <row r="39" spans="1:5" x14ac:dyDescent="0.2">
      <c r="A39" s="5">
        <v>1950354876543</v>
      </c>
      <c r="B39" s="5" t="str">
        <f t="shared" si="4"/>
        <v>1</v>
      </c>
      <c r="C39" s="5" t="str">
        <f t="shared" si="5"/>
        <v>95</v>
      </c>
      <c r="D39" s="8" t="str">
        <f t="shared" si="6"/>
        <v>Homme</v>
      </c>
      <c r="E39" s="6" t="str">
        <f t="shared" si="7"/>
        <v>1995</v>
      </c>
    </row>
    <row r="40" spans="1:5" x14ac:dyDescent="0.2">
      <c r="A40" s="5">
        <v>1700959765432</v>
      </c>
      <c r="B40" s="5" t="str">
        <f t="shared" si="4"/>
        <v>1</v>
      </c>
      <c r="C40" s="5" t="str">
        <f t="shared" si="5"/>
        <v>70</v>
      </c>
      <c r="D40" s="8" t="str">
        <f t="shared" si="6"/>
        <v>Homme</v>
      </c>
      <c r="E40" s="6" t="str">
        <f t="shared" si="7"/>
        <v>1970</v>
      </c>
    </row>
    <row r="41" spans="1:5" x14ac:dyDescent="0.2">
      <c r="A41" s="5">
        <v>1760533987654</v>
      </c>
      <c r="B41" s="5" t="str">
        <f t="shared" si="4"/>
        <v>1</v>
      </c>
      <c r="C41" s="5" t="str">
        <f t="shared" si="5"/>
        <v>76</v>
      </c>
      <c r="D41" s="8" t="str">
        <f t="shared" si="6"/>
        <v>Homme</v>
      </c>
      <c r="E41" s="6" t="str">
        <f t="shared" si="7"/>
        <v>1976</v>
      </c>
    </row>
    <row r="42" spans="1:5" x14ac:dyDescent="0.2">
      <c r="A42" s="5">
        <v>1831242787654</v>
      </c>
      <c r="B42" s="5" t="str">
        <f t="shared" si="4"/>
        <v>1</v>
      </c>
      <c r="C42" s="5" t="str">
        <f t="shared" si="5"/>
        <v>83</v>
      </c>
      <c r="D42" s="8" t="str">
        <f t="shared" si="6"/>
        <v>Homme</v>
      </c>
      <c r="E42" s="6" t="str">
        <f t="shared" si="7"/>
        <v>1983</v>
      </c>
    </row>
    <row r="43" spans="1:5" x14ac:dyDescent="0.2">
      <c r="A43" s="5">
        <v>1761293324567</v>
      </c>
      <c r="B43" s="5" t="str">
        <f t="shared" si="4"/>
        <v>1</v>
      </c>
      <c r="C43" s="5" t="str">
        <f t="shared" si="5"/>
        <v>76</v>
      </c>
      <c r="D43" s="8" t="str">
        <f t="shared" si="6"/>
        <v>Homme</v>
      </c>
      <c r="E43" s="6" t="str">
        <f t="shared" si="7"/>
        <v>1976</v>
      </c>
    </row>
    <row r="44" spans="1:5" x14ac:dyDescent="0.2">
      <c r="A44" s="5">
        <v>1900867456543</v>
      </c>
      <c r="B44" s="5" t="str">
        <f t="shared" si="4"/>
        <v>1</v>
      </c>
      <c r="C44" s="5" t="str">
        <f t="shared" si="5"/>
        <v>90</v>
      </c>
      <c r="D44" s="8" t="str">
        <f t="shared" si="6"/>
        <v>Homme</v>
      </c>
      <c r="E44" s="6" t="str">
        <f t="shared" si="7"/>
        <v>1990</v>
      </c>
    </row>
    <row r="45" spans="1:5" x14ac:dyDescent="0.2">
      <c r="A45" s="5">
        <v>1830385456543</v>
      </c>
      <c r="B45" s="5" t="str">
        <f t="shared" si="4"/>
        <v>1</v>
      </c>
      <c r="C45" s="5" t="str">
        <f t="shared" si="5"/>
        <v>83</v>
      </c>
      <c r="D45" s="8" t="str">
        <f t="shared" si="6"/>
        <v>Homme</v>
      </c>
      <c r="E45" s="6" t="str">
        <f t="shared" si="7"/>
        <v>1983</v>
      </c>
    </row>
    <row r="46" spans="1:5" x14ac:dyDescent="0.2">
      <c r="A46" s="5">
        <v>2990253987654</v>
      </c>
      <c r="B46" s="5" t="str">
        <f t="shared" si="4"/>
        <v>2</v>
      </c>
      <c r="C46" s="5" t="str">
        <f t="shared" si="5"/>
        <v>99</v>
      </c>
      <c r="D46" s="8" t="str">
        <f t="shared" si="6"/>
        <v>Femme</v>
      </c>
      <c r="E46" s="6" t="str">
        <f t="shared" si="7"/>
        <v>1999</v>
      </c>
    </row>
    <row r="47" spans="1:5" x14ac:dyDescent="0.2">
      <c r="A47" s="5">
        <v>1820144986678</v>
      </c>
      <c r="B47" s="5" t="str">
        <f t="shared" si="4"/>
        <v>1</v>
      </c>
      <c r="C47" s="5" t="str">
        <f t="shared" si="5"/>
        <v>82</v>
      </c>
      <c r="D47" s="8" t="str">
        <f t="shared" si="6"/>
        <v>Homme</v>
      </c>
      <c r="E47" s="6" t="str">
        <f t="shared" si="7"/>
        <v>1982</v>
      </c>
    </row>
    <row r="48" spans="1:5" x14ac:dyDescent="0.2">
      <c r="A48" s="5">
        <v>2730837987876</v>
      </c>
      <c r="B48" s="5" t="str">
        <f t="shared" si="4"/>
        <v>2</v>
      </c>
      <c r="C48" s="5" t="str">
        <f t="shared" si="5"/>
        <v>73</v>
      </c>
      <c r="D48" s="8" t="str">
        <f t="shared" si="6"/>
        <v>Femme</v>
      </c>
      <c r="E48" s="6" t="str">
        <f t="shared" si="7"/>
        <v>1973</v>
      </c>
    </row>
    <row r="49" spans="1:5" x14ac:dyDescent="0.2">
      <c r="A49" s="5">
        <v>1870937876543</v>
      </c>
      <c r="B49" s="5" t="str">
        <f t="shared" si="4"/>
        <v>1</v>
      </c>
      <c r="C49" s="5" t="str">
        <f t="shared" si="5"/>
        <v>87</v>
      </c>
      <c r="D49" s="8" t="str">
        <f t="shared" si="6"/>
        <v>Homme</v>
      </c>
      <c r="E49" s="6" t="str">
        <f t="shared" si="7"/>
        <v>1987</v>
      </c>
    </row>
    <row r="50" spans="1:5" x14ac:dyDescent="0.2">
      <c r="A50" s="5">
        <v>1640689456456</v>
      </c>
      <c r="B50" s="5" t="str">
        <f t="shared" si="4"/>
        <v>1</v>
      </c>
      <c r="C50" s="5" t="str">
        <f t="shared" si="5"/>
        <v>64</v>
      </c>
      <c r="D50" s="8" t="str">
        <f t="shared" si="6"/>
        <v>Homme</v>
      </c>
      <c r="E50" s="6" t="str">
        <f t="shared" si="7"/>
        <v>1964</v>
      </c>
    </row>
    <row r="51" spans="1:5" x14ac:dyDescent="0.2">
      <c r="A51" s="5">
        <v>1710485345432</v>
      </c>
      <c r="B51" s="5" t="str">
        <f t="shared" si="4"/>
        <v>1</v>
      </c>
      <c r="C51" s="5" t="str">
        <f t="shared" si="5"/>
        <v>71</v>
      </c>
      <c r="D51" s="8" t="str">
        <f t="shared" si="6"/>
        <v>Homme</v>
      </c>
      <c r="E51" s="6" t="str">
        <f t="shared" si="7"/>
        <v>1971</v>
      </c>
    </row>
    <row r="52" spans="1:5" x14ac:dyDescent="0.2">
      <c r="A52" s="5">
        <v>2850283456454</v>
      </c>
      <c r="B52" s="5" t="str">
        <f t="shared" si="4"/>
        <v>2</v>
      </c>
      <c r="C52" s="5" t="str">
        <f t="shared" si="5"/>
        <v>85</v>
      </c>
      <c r="D52" s="8" t="str">
        <f t="shared" si="6"/>
        <v>Femme</v>
      </c>
      <c r="E52" s="6" t="str">
        <f t="shared" si="7"/>
        <v>1985</v>
      </c>
    </row>
    <row r="53" spans="1:5" x14ac:dyDescent="0.2">
      <c r="A53" s="5">
        <v>1700633543212</v>
      </c>
      <c r="B53" s="5" t="str">
        <f t="shared" si="4"/>
        <v>1</v>
      </c>
      <c r="C53" s="5" t="str">
        <f t="shared" si="5"/>
        <v>70</v>
      </c>
      <c r="D53" s="8" t="str">
        <f t="shared" si="6"/>
        <v>Homme</v>
      </c>
      <c r="E53" s="6" t="str">
        <f t="shared" si="7"/>
        <v>1970</v>
      </c>
    </row>
  </sheetData>
  <autoFilter ref="D1:E1" xr:uid="{8C0D7C4E-D996-7C4F-8425-4E5661904F3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8882-D992-3B44-9E2D-830FE3848504}">
  <dimension ref="A3:G31"/>
  <sheetViews>
    <sheetView topLeftCell="A4" zoomScale="123" zoomScaleNormal="123" workbookViewId="0">
      <selection activeCell="E22" sqref="E22"/>
    </sheetView>
  </sheetViews>
  <sheetFormatPr baseColWidth="10" defaultRowHeight="16" x14ac:dyDescent="0.2"/>
  <sheetData>
    <row r="3" spans="1:7" x14ac:dyDescent="0.2">
      <c r="A3" s="6" t="s">
        <v>43</v>
      </c>
      <c r="B3" s="6" t="s">
        <v>5</v>
      </c>
      <c r="C3" s="6" t="s">
        <v>4</v>
      </c>
      <c r="E3" s="6" t="s">
        <v>44</v>
      </c>
      <c r="F3" s="6" t="s">
        <v>5</v>
      </c>
      <c r="G3" s="6" t="s">
        <v>4</v>
      </c>
    </row>
    <row r="4" spans="1:7" x14ac:dyDescent="0.2">
      <c r="A4" s="6" t="s">
        <v>6</v>
      </c>
      <c r="B4" s="6">
        <f>COUNTIFS('Genre civil'!$D$2:$D$53,$B$3,'Genre civil'!$E$2:$E$53,A4)</f>
        <v>1</v>
      </c>
      <c r="C4" s="6">
        <f>COUNTIFS('Genre civil'!$D$2:$D$53,$C$3,'Genre civil'!$E$2:$E$53,A4)</f>
        <v>0</v>
      </c>
      <c r="E4" s="6" t="s">
        <v>35</v>
      </c>
      <c r="F4" s="6">
        <f>SUM(B4:B5)</f>
        <v>1</v>
      </c>
      <c r="G4" s="6">
        <f>SUM(C4:C5)</f>
        <v>1</v>
      </c>
    </row>
    <row r="5" spans="1:7" x14ac:dyDescent="0.2">
      <c r="A5" s="6" t="s">
        <v>7</v>
      </c>
      <c r="B5" s="6">
        <f>COUNTIFS('Genre civil'!$D$2:$D$53,$B$3,'Genre civil'!$E$2:$E$53,A5)</f>
        <v>0</v>
      </c>
      <c r="C5" s="6">
        <f>COUNTIFS('Genre civil'!$D$2:$D$53,$C$3,'Genre civil'!$E$2:$E$53,A5)</f>
        <v>1</v>
      </c>
      <c r="E5" s="6" t="s">
        <v>37</v>
      </c>
      <c r="F5" s="6">
        <f>SUM(B6:B8)</f>
        <v>6</v>
      </c>
      <c r="G5" s="6">
        <f>SUM(C6:C8)</f>
        <v>1</v>
      </c>
    </row>
    <row r="6" spans="1:7" x14ac:dyDescent="0.2">
      <c r="A6" s="6" t="s">
        <v>8</v>
      </c>
      <c r="B6" s="6">
        <f>COUNTIFS('Genre civil'!$D$2:$D$53,$B$3,'Genre civil'!$E$2:$E$53,A6)</f>
        <v>2</v>
      </c>
      <c r="C6" s="6">
        <f>COUNTIFS('Genre civil'!$D$2:$D$53,$C$3,'Genre civil'!$E$2:$E$53,A6)</f>
        <v>0</v>
      </c>
      <c r="E6" s="6" t="s">
        <v>38</v>
      </c>
      <c r="F6" s="6">
        <f>SUM(B9:B12)</f>
        <v>6</v>
      </c>
      <c r="G6" s="6">
        <f>SUM(C9:C12)</f>
        <v>4</v>
      </c>
    </row>
    <row r="7" spans="1:7" x14ac:dyDescent="0.2">
      <c r="A7" s="6" t="s">
        <v>9</v>
      </c>
      <c r="B7" s="6">
        <f>COUNTIFS('Genre civil'!$D$2:$D$53,$B$3,'Genre civil'!$E$2:$E$53,A7)</f>
        <v>2</v>
      </c>
      <c r="C7" s="6">
        <f>COUNTIFS('Genre civil'!$D$2:$D$53,$C$3,'Genre civil'!$E$2:$E$53,A7)</f>
        <v>1</v>
      </c>
      <c r="E7" s="6" t="s">
        <v>39</v>
      </c>
      <c r="F7" s="6">
        <f>SUM(B13:B16)</f>
        <v>3</v>
      </c>
      <c r="G7" s="6">
        <f>SUM(C13:C16)</f>
        <v>5</v>
      </c>
    </row>
    <row r="8" spans="1:7" x14ac:dyDescent="0.2">
      <c r="A8" s="6" t="s">
        <v>10</v>
      </c>
      <c r="B8" s="6">
        <f>COUNTIFS('Genre civil'!$D$2:$D$53,$B$3,'Genre civil'!$E$2:$E$53,A8)</f>
        <v>2</v>
      </c>
      <c r="C8" s="6">
        <f>COUNTIFS('Genre civil'!$D$2:$D$53,$C$3,'Genre civil'!$E$2:$E$53,A8)</f>
        <v>0</v>
      </c>
      <c r="E8" s="6" t="s">
        <v>40</v>
      </c>
      <c r="F8" s="6">
        <f>SUM(B17:B20)</f>
        <v>4</v>
      </c>
      <c r="G8" s="6">
        <f>SUM(C17:C20)</f>
        <v>4</v>
      </c>
    </row>
    <row r="9" spans="1:7" x14ac:dyDescent="0.2">
      <c r="A9" s="6" t="s">
        <v>11</v>
      </c>
      <c r="B9" s="6">
        <f>COUNTIFS('Genre civil'!$D$2:$D$53,$B$3,'Genre civil'!$E$2:$E$53,A9)</f>
        <v>2</v>
      </c>
      <c r="C9" s="6">
        <f>COUNTIFS('Genre civil'!$D$2:$D$53,$C$3,'Genre civil'!$E$2:$E$53,A9)</f>
        <v>0</v>
      </c>
      <c r="E9" s="6" t="s">
        <v>36</v>
      </c>
      <c r="F9" s="6">
        <f>SUM(B21:B25)</f>
        <v>5</v>
      </c>
      <c r="G9" s="6">
        <f>SUM(C21:C25)</f>
        <v>5</v>
      </c>
    </row>
    <row r="10" spans="1:7" x14ac:dyDescent="0.2">
      <c r="A10" s="6" t="s">
        <v>12</v>
      </c>
      <c r="B10" s="6">
        <f>COUNTIFS('Genre civil'!$D$2:$D$53,$B$3,'Genre civil'!$E$2:$E$53,A10)</f>
        <v>0</v>
      </c>
      <c r="C10" s="6">
        <f>COUNTIFS('Genre civil'!$D$2:$D$53,$C$3,'Genre civil'!$E$2:$E$53,A10)</f>
        <v>3</v>
      </c>
      <c r="E10" s="6" t="s">
        <v>41</v>
      </c>
      <c r="F10" s="6">
        <f>SUM(B26:B28)</f>
        <v>3</v>
      </c>
      <c r="G10" s="6">
        <f>SUM(C26:C28)</f>
        <v>4</v>
      </c>
    </row>
    <row r="11" spans="1:7" x14ac:dyDescent="0.2">
      <c r="A11" s="6" t="s">
        <v>13</v>
      </c>
      <c r="B11" s="6">
        <f>COUNTIFS('Genre civil'!$D$2:$D$53,$B$3,'Genre civil'!$E$2:$E$53,A11)</f>
        <v>0</v>
      </c>
      <c r="C11" s="6">
        <f>COUNTIFS('Genre civil'!$D$2:$D$53,$C$3,'Genre civil'!$E$2:$E$53,A11)</f>
        <v>1</v>
      </c>
      <c r="E11" s="6" t="s">
        <v>31</v>
      </c>
      <c r="F11" s="6">
        <f>SUM(F4:F10)</f>
        <v>28</v>
      </c>
      <c r="G11" s="6">
        <f>SUM(G4:G10)</f>
        <v>24</v>
      </c>
    </row>
    <row r="12" spans="1:7" x14ac:dyDescent="0.2">
      <c r="A12" s="6" t="s">
        <v>14</v>
      </c>
      <c r="B12" s="6">
        <f>COUNTIFS('Genre civil'!$D$2:$D$53,$B$3,'Genre civil'!$E$2:$E$53,A12)</f>
        <v>4</v>
      </c>
      <c r="C12" s="6">
        <f>COUNTIFS('Genre civil'!$D$2:$D$53,$C$3,'Genre civil'!$E$2:$E$53,A12)</f>
        <v>0</v>
      </c>
    </row>
    <row r="13" spans="1:7" x14ac:dyDescent="0.2">
      <c r="A13" s="6" t="s">
        <v>15</v>
      </c>
      <c r="B13" s="6">
        <f>COUNTIFS('Genre civil'!$D$2:$D$53,$B$3,'Genre civil'!$E$2:$E$53,A13)</f>
        <v>0</v>
      </c>
      <c r="C13" s="6">
        <f>COUNTIFS('Genre civil'!$D$2:$D$53,$C$3,'Genre civil'!$E$2:$E$53,A13)</f>
        <v>2</v>
      </c>
    </row>
    <row r="14" spans="1:7" x14ac:dyDescent="0.2">
      <c r="A14" s="6" t="s">
        <v>16</v>
      </c>
      <c r="B14" s="6">
        <f>COUNTIFS('Genre civil'!$D$2:$D$53,$B$3,'Genre civil'!$E$2:$E$53,A14)</f>
        <v>0</v>
      </c>
      <c r="C14" s="6">
        <f>COUNTIFS('Genre civil'!$D$2:$D$53,$C$3,'Genre civil'!$E$2:$E$53,A14)</f>
        <v>1</v>
      </c>
    </row>
    <row r="15" spans="1:7" x14ac:dyDescent="0.2">
      <c r="A15" s="6" t="s">
        <v>17</v>
      </c>
      <c r="B15" s="6">
        <f>COUNTIFS('Genre civil'!$D$2:$D$53,$B$3,'Genre civil'!$E$2:$E$53,A15)</f>
        <v>1</v>
      </c>
      <c r="C15" s="6">
        <f>COUNTIFS('Genre civil'!$D$2:$D$53,$C$3,'Genre civil'!$E$2:$E$53,A15)</f>
        <v>1</v>
      </c>
    </row>
    <row r="16" spans="1:7" x14ac:dyDescent="0.2">
      <c r="A16" s="6" t="s">
        <v>18</v>
      </c>
      <c r="B16" s="6">
        <f>COUNTIFS('Genre civil'!$D$2:$D$53,$B$3,'Genre civil'!$E$2:$E$53,A16)</f>
        <v>2</v>
      </c>
      <c r="C16" s="6">
        <f>COUNTIFS('Genre civil'!$D$2:$D$53,$C$3,'Genre civil'!$E$2:$E$53,A16)</f>
        <v>1</v>
      </c>
    </row>
    <row r="17" spans="1:3" x14ac:dyDescent="0.2">
      <c r="A17" s="6" t="s">
        <v>19</v>
      </c>
      <c r="B17" s="6">
        <f>COUNTIFS('Genre civil'!$D$2:$D$53,$B$3,'Genre civil'!$E$2:$E$53,A17)</f>
        <v>0</v>
      </c>
      <c r="C17" s="6">
        <f>COUNTIFS('Genre civil'!$D$2:$D$53,$C$3,'Genre civil'!$E$2:$E$53,A17)</f>
        <v>2</v>
      </c>
    </row>
    <row r="18" spans="1:3" x14ac:dyDescent="0.2">
      <c r="A18" s="6" t="s">
        <v>20</v>
      </c>
      <c r="B18" s="6">
        <f>COUNTIFS('Genre civil'!$D$2:$D$53,$B$3,'Genre civil'!$E$2:$E$53,A18)</f>
        <v>0</v>
      </c>
      <c r="C18" s="6">
        <f>COUNTIFS('Genre civil'!$D$2:$D$53,$C$3,'Genre civil'!$E$2:$E$53,A18)</f>
        <v>1</v>
      </c>
    </row>
    <row r="19" spans="1:3" x14ac:dyDescent="0.2">
      <c r="A19" s="6" t="s">
        <v>21</v>
      </c>
      <c r="B19" s="6">
        <f>COUNTIFS('Genre civil'!$D$2:$D$53,$B$3,'Genre civil'!$E$2:$E$53,A19)</f>
        <v>1</v>
      </c>
      <c r="C19" s="6">
        <f>COUNTIFS('Genre civil'!$D$2:$D$53,$C$3,'Genre civil'!$E$2:$E$53,A19)</f>
        <v>0</v>
      </c>
    </row>
    <row r="20" spans="1:3" x14ac:dyDescent="0.2">
      <c r="A20" s="6" t="s">
        <v>22</v>
      </c>
      <c r="B20" s="6">
        <f>COUNTIFS('Genre civil'!$D$2:$D$53,$B$3,'Genre civil'!$E$2:$E$53,A20)</f>
        <v>3</v>
      </c>
      <c r="C20" s="6">
        <f>COUNTIFS('Genre civil'!$D$2:$D$53,$C$3,'Genre civil'!$E$2:$E$53,A20)</f>
        <v>1</v>
      </c>
    </row>
    <row r="21" spans="1:3" x14ac:dyDescent="0.2">
      <c r="A21" s="6" t="s">
        <v>23</v>
      </c>
      <c r="B21" s="6">
        <f>COUNTIFS('Genre civil'!$D$2:$D$53,$B$3,'Genre civil'!$E$2:$E$53,A21)</f>
        <v>2</v>
      </c>
      <c r="C21" s="6">
        <f>COUNTIFS('Genre civil'!$D$2:$D$53,$C$3,'Genre civil'!$E$2:$E$53,A21)</f>
        <v>1</v>
      </c>
    </row>
    <row r="22" spans="1:3" x14ac:dyDescent="0.2">
      <c r="A22" s="6" t="s">
        <v>24</v>
      </c>
      <c r="B22" s="6">
        <f>COUNTIFS('Genre civil'!$D$2:$D$53,$B$3,'Genre civil'!$E$2:$E$53,A22)</f>
        <v>1</v>
      </c>
      <c r="C22" s="6">
        <f>COUNTIFS('Genre civil'!$D$2:$D$53,$C$3,'Genre civil'!$E$2:$E$53,A22)</f>
        <v>0</v>
      </c>
    </row>
    <row r="23" spans="1:3" x14ac:dyDescent="0.2">
      <c r="A23" s="6" t="s">
        <v>25</v>
      </c>
      <c r="B23" s="6">
        <f>COUNTIFS('Genre civil'!$D$2:$D$53,$B$3,'Genre civil'!$E$2:$E$53,A23)</f>
        <v>0</v>
      </c>
      <c r="C23" s="6">
        <f>COUNTIFS('Genre civil'!$D$2:$D$53,$C$3,'Genre civil'!$E$2:$E$53,A23)</f>
        <v>2</v>
      </c>
    </row>
    <row r="24" spans="1:3" x14ac:dyDescent="0.2">
      <c r="A24" s="6" t="s">
        <v>26</v>
      </c>
      <c r="B24" s="6">
        <f>COUNTIFS('Genre civil'!$D$2:$D$53,$B$3,'Genre civil'!$E$2:$E$53,A24)</f>
        <v>0</v>
      </c>
      <c r="C24" s="6">
        <f>COUNTIFS('Genre civil'!$D$2:$D$53,$C$3,'Genre civil'!$E$2:$E$53,A24)</f>
        <v>1</v>
      </c>
    </row>
    <row r="25" spans="1:3" x14ac:dyDescent="0.2">
      <c r="A25" s="6" t="s">
        <v>27</v>
      </c>
      <c r="B25" s="6">
        <f>COUNTIFS('Genre civil'!$D$2:$D$53,$B$3,'Genre civil'!$E$2:$E$53,A25)</f>
        <v>2</v>
      </c>
      <c r="C25" s="6">
        <f>COUNTIFS('Genre civil'!$D$2:$D$53,$C$3,'Genre civil'!$E$2:$E$53,A25)</f>
        <v>1</v>
      </c>
    </row>
    <row r="26" spans="1:3" x14ac:dyDescent="0.2">
      <c r="A26" s="6" t="s">
        <v>28</v>
      </c>
      <c r="B26" s="6">
        <f>COUNTIFS('Genre civil'!$D$2:$D$53,$B$3,'Genre civil'!$E$2:$E$53,A26)</f>
        <v>0</v>
      </c>
      <c r="C26" s="6">
        <f>COUNTIFS('Genre civil'!$D$2:$D$53,$C$3,'Genre civil'!$E$2:$E$53,A26)</f>
        <v>1</v>
      </c>
    </row>
    <row r="27" spans="1:3" x14ac:dyDescent="0.2">
      <c r="A27" s="6" t="s">
        <v>29</v>
      </c>
      <c r="B27" s="6">
        <f>COUNTIFS('Genre civil'!$D$2:$D$53,$B$3,'Genre civil'!$E$2:$E$53,A27)</f>
        <v>1</v>
      </c>
      <c r="C27" s="6">
        <f>COUNTIFS('Genre civil'!$D$2:$D$53,$C$3,'Genre civil'!$E$2:$E$53,A27)</f>
        <v>1</v>
      </c>
    </row>
    <row r="28" spans="1:3" x14ac:dyDescent="0.2">
      <c r="A28" s="6" t="s">
        <v>30</v>
      </c>
      <c r="B28" s="6">
        <f>COUNTIFS('Genre civil'!$D$2:$D$53,$B$3,'Genre civil'!$E$2:$E$53,A28)</f>
        <v>2</v>
      </c>
      <c r="C28" s="6">
        <f>COUNTIFS('Genre civil'!$D$2:$D$53,$C$3,'Genre civil'!$E$2:$E$53,A28)</f>
        <v>2</v>
      </c>
    </row>
    <row r="30" spans="1:3" x14ac:dyDescent="0.2">
      <c r="A30" s="7"/>
      <c r="B30" s="6" t="s">
        <v>32</v>
      </c>
      <c r="C30" s="6" t="s">
        <v>33</v>
      </c>
    </row>
    <row r="31" spans="1:3" x14ac:dyDescent="0.2">
      <c r="A31" s="6" t="s">
        <v>34</v>
      </c>
      <c r="B31" s="6">
        <f>SUM(B4:B28)</f>
        <v>28</v>
      </c>
      <c r="C31" s="6">
        <f>SUM(C4:C28)</f>
        <v>24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Genre civil</vt:lpstr>
      <vt:lpstr>Homme_Femmes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PHILIPPE Benedy</dc:creator>
  <cp:lastModifiedBy>JEAN PHILIPPE Benedy</cp:lastModifiedBy>
  <dcterms:created xsi:type="dcterms:W3CDTF">2024-05-17T14:43:17Z</dcterms:created>
  <dcterms:modified xsi:type="dcterms:W3CDTF">2024-06-04T11:13:36Z</dcterms:modified>
</cp:coreProperties>
</file>