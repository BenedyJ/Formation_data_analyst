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ben/Desktop/Data/OC/Projet 3/Projet livrable/Final/"/>
    </mc:Choice>
  </mc:AlternateContent>
  <xr:revisionPtr revIDLastSave="0" documentId="13_ncr:1_{D6EE4794-FD3D-8F43-9B31-55AD118D9192}" xr6:coauthVersionLast="47" xr6:coauthVersionMax="47" xr10:uidLastSave="{00000000-0000-0000-0000-000000000000}"/>
  <bookViews>
    <workbookView xWindow="-38400" yWindow="-1100" windowWidth="38400" windowHeight="21100" activeTab="1" xr2:uid="{00000000-000D-0000-FFFF-FFFF00000000}"/>
  </bookViews>
  <sheets>
    <sheet name="Import" sheetId="3" r:id="rId1"/>
    <sheet name="Indicateurs transport" sheetId="1" r:id="rId2"/>
    <sheet name="Taux émission CO2e" sheetId="2" r:id="rId3"/>
    <sheet name="TCD_OT" sheetId="4" r:id="rId4"/>
    <sheet name="TCD_Poids(Kg)" sheetId="5" r:id="rId5"/>
    <sheet name="TCD_Km" sheetId="6" r:id="rId6"/>
    <sheet name="TCD_Coût_Transport" sheetId="7" r:id="rId7"/>
    <sheet name="TCD_CO2" sheetId="8" r:id="rId8"/>
  </sheets>
  <definedNames>
    <definedName name="_xlnm._FilterDatabase" localSheetId="0" hidden="1">Import!$A$1:$S$1482</definedName>
    <definedName name="Segment_Année">#N/A</definedName>
    <definedName name="Segment_Année1">#N/A</definedName>
    <definedName name="Segment_Année2">#N/A</definedName>
    <definedName name="Segment_Année3">#N/A</definedName>
    <definedName name="Segment_Année4">#N/A</definedName>
    <definedName name="Segment_Mois">#N/A</definedName>
    <definedName name="Segment_Mois1">#N/A</definedName>
    <definedName name="Segment_Mois2">#N/A</definedName>
    <definedName name="Segment_Mois3">#N/A</definedName>
    <definedName name="Segment_Mois4">#N/A</definedName>
    <definedName name="Segment1">'Taux émission CO2e'!$A$5:$D$16</definedName>
    <definedName name="Segment2">'Taux émission CO2e'!$A$20:$D$31</definedName>
  </definedNames>
  <calcPr calcId="191029"/>
  <pivotCaches>
    <pivotCache cacheId="7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 i="1" l="1"/>
  <c r="E19" i="1" s="1"/>
  <c r="P37" i="1"/>
  <c r="O37" i="1"/>
  <c r="F37" i="1"/>
  <c r="E37" i="1"/>
  <c r="K37" i="1"/>
  <c r="F19" i="1"/>
  <c r="P19" i="1"/>
  <c r="B18" i="8" l="1"/>
  <c r="B17" i="8"/>
  <c r="B18" i="7"/>
  <c r="B17" i="7"/>
  <c r="B17" i="6"/>
  <c r="B18" i="6"/>
  <c r="B17" i="5"/>
  <c r="B18" i="5"/>
  <c r="B18" i="4"/>
  <c r="B17" i="4" l="1"/>
  <c r="N2" i="3"/>
  <c r="J2" i="3"/>
  <c r="L2" i="3"/>
  <c r="G1465"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N1465" i="3" s="1"/>
  <c r="J1466" i="3"/>
  <c r="J1467" i="3"/>
  <c r="J1468" i="3"/>
  <c r="J1469" i="3"/>
  <c r="J1470" i="3"/>
  <c r="J1471" i="3"/>
  <c r="J1472" i="3"/>
  <c r="J1473" i="3"/>
  <c r="J1474" i="3"/>
  <c r="J1475" i="3"/>
  <c r="J1476" i="3"/>
  <c r="J1477" i="3"/>
  <c r="J1478" i="3"/>
  <c r="J1479" i="3"/>
  <c r="J1480" i="3"/>
  <c r="J1481" i="3"/>
  <c r="J148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L1465" i="3" s="1"/>
  <c r="I1466" i="3"/>
  <c r="I1467" i="3"/>
  <c r="I1468" i="3"/>
  <c r="I1469" i="3"/>
  <c r="I1470" i="3"/>
  <c r="I1471" i="3"/>
  <c r="I1472" i="3"/>
  <c r="I1473" i="3"/>
  <c r="I1474" i="3"/>
  <c r="I1475" i="3"/>
  <c r="I1476" i="3"/>
  <c r="I1477" i="3"/>
  <c r="I1478" i="3"/>
  <c r="I1479" i="3"/>
  <c r="I1480" i="3"/>
  <c r="I1481" i="3"/>
  <c r="I1482" i="3"/>
  <c r="G7" i="3"/>
  <c r="G8" i="3"/>
  <c r="G3" i="3"/>
  <c r="G4" i="3"/>
  <c r="G5" i="3"/>
  <c r="G6"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6" i="3"/>
  <c r="G1467" i="3"/>
  <c r="G1468" i="3"/>
  <c r="G1469" i="3"/>
  <c r="G1470" i="3"/>
  <c r="G1471" i="3"/>
  <c r="G1472" i="3"/>
  <c r="G1473" i="3"/>
  <c r="G1474" i="3"/>
  <c r="G1475" i="3"/>
  <c r="G1476" i="3"/>
  <c r="G1477" i="3"/>
  <c r="G1478" i="3"/>
  <c r="G1479" i="3"/>
  <c r="G1480" i="3"/>
  <c r="G1481" i="3"/>
  <c r="G1482" i="3"/>
  <c r="I2" i="3"/>
  <c r="G2" i="3"/>
  <c r="M2" i="3"/>
  <c r="K2" i="3"/>
  <c r="C7" i="1"/>
  <c r="C8" i="1"/>
  <c r="C9" i="1"/>
  <c r="C10" i="1"/>
  <c r="C11" i="1"/>
  <c r="C12" i="1"/>
  <c r="C13" i="1"/>
  <c r="C14" i="1"/>
  <c r="C15" i="1"/>
  <c r="C16" i="1"/>
  <c r="C17" i="1"/>
  <c r="C6" i="1"/>
  <c r="B7" i="1"/>
  <c r="B8" i="1"/>
  <c r="B9" i="1"/>
  <c r="B10" i="1"/>
  <c r="B11" i="1"/>
  <c r="B12" i="1"/>
  <c r="B13" i="1"/>
  <c r="B14" i="1"/>
  <c r="B15" i="1"/>
  <c r="B16" i="1"/>
  <c r="B17" i="1"/>
  <c r="B6" i="1"/>
  <c r="L1476" i="3" l="1"/>
  <c r="L1468" i="3"/>
  <c r="L1479" i="3"/>
  <c r="L1471" i="3"/>
  <c r="L1455" i="3"/>
  <c r="L1399" i="3"/>
  <c r="L1335" i="3"/>
  <c r="L1279" i="3"/>
  <c r="L1223" i="3"/>
  <c r="L1167" i="3"/>
  <c r="L1111" i="3"/>
  <c r="L1015" i="3"/>
  <c r="L1481" i="3"/>
  <c r="L1473" i="3"/>
  <c r="L1457" i="3"/>
  <c r="L1449" i="3"/>
  <c r="L1441" i="3"/>
  <c r="L1433" i="3"/>
  <c r="L1425" i="3"/>
  <c r="L1417" i="3"/>
  <c r="L1409" i="3"/>
  <c r="L1401" i="3"/>
  <c r="L1393" i="3"/>
  <c r="L1385" i="3"/>
  <c r="L1377" i="3"/>
  <c r="L1369" i="3"/>
  <c r="L1361" i="3"/>
  <c r="L1353" i="3"/>
  <c r="L1345" i="3"/>
  <c r="L1337" i="3"/>
  <c r="L1329" i="3"/>
  <c r="L1321" i="3"/>
  <c r="L1313" i="3"/>
  <c r="L1305" i="3"/>
  <c r="L1297" i="3"/>
  <c r="L1289" i="3"/>
  <c r="L1281" i="3"/>
  <c r="L1273" i="3"/>
  <c r="L1265" i="3"/>
  <c r="L1257" i="3"/>
  <c r="L1249" i="3"/>
  <c r="L1241" i="3"/>
  <c r="L1233" i="3"/>
  <c r="L1225" i="3"/>
  <c r="L1217" i="3"/>
  <c r="L1209" i="3"/>
  <c r="L1201" i="3"/>
  <c r="L1193" i="3"/>
  <c r="L1185" i="3"/>
  <c r="L1177" i="3"/>
  <c r="L1169" i="3"/>
  <c r="L1161" i="3"/>
  <c r="L1153" i="3"/>
  <c r="L1145" i="3"/>
  <c r="L1137" i="3"/>
  <c r="N1481" i="3"/>
  <c r="N1473" i="3"/>
  <c r="N1457" i="3"/>
  <c r="N1449" i="3"/>
  <c r="N1441" i="3"/>
  <c r="N1433" i="3"/>
  <c r="N1425" i="3"/>
  <c r="N1417" i="3"/>
  <c r="N1409" i="3"/>
  <c r="N1401" i="3"/>
  <c r="N1393" i="3"/>
  <c r="N1385" i="3"/>
  <c r="N1377" i="3"/>
  <c r="N1369" i="3"/>
  <c r="N1361" i="3"/>
  <c r="N1353" i="3"/>
  <c r="N1345" i="3"/>
  <c r="N1337" i="3"/>
  <c r="N1329" i="3"/>
  <c r="N1321" i="3"/>
  <c r="N1313" i="3"/>
  <c r="N1305" i="3"/>
  <c r="N1297" i="3"/>
  <c r="N1289" i="3"/>
  <c r="N1281" i="3"/>
  <c r="N1273" i="3"/>
  <c r="N1265" i="3"/>
  <c r="N1257" i="3"/>
  <c r="N1249" i="3"/>
  <c r="N1241" i="3"/>
  <c r="N1233" i="3"/>
  <c r="N1225" i="3"/>
  <c r="N1217" i="3"/>
  <c r="N1209" i="3"/>
  <c r="N1201" i="3"/>
  <c r="N1193" i="3"/>
  <c r="N1185" i="3"/>
  <c r="N1177" i="3"/>
  <c r="N1169" i="3"/>
  <c r="N1161" i="3"/>
  <c r="N1153" i="3"/>
  <c r="N1145" i="3"/>
  <c r="N1137" i="3"/>
  <c r="N1129" i="3"/>
  <c r="N1121" i="3"/>
  <c r="N1113" i="3"/>
  <c r="N1105" i="3"/>
  <c r="N1097" i="3"/>
  <c r="L1391" i="3"/>
  <c r="L1480" i="3"/>
  <c r="L1472" i="3"/>
  <c r="L1464" i="3"/>
  <c r="L1456" i="3"/>
  <c r="L1448" i="3"/>
  <c r="L1440" i="3"/>
  <c r="L1432" i="3"/>
  <c r="L1424" i="3"/>
  <c r="L1416" i="3"/>
  <c r="L1408" i="3"/>
  <c r="L1400" i="3"/>
  <c r="L1392" i="3"/>
  <c r="L1384" i="3"/>
  <c r="L1376" i="3"/>
  <c r="L1368" i="3"/>
  <c r="L1360" i="3"/>
  <c r="L1352" i="3"/>
  <c r="L1344" i="3"/>
  <c r="L1336" i="3"/>
  <c r="L1328" i="3"/>
  <c r="L1320" i="3"/>
  <c r="L1312" i="3"/>
  <c r="L1304" i="3"/>
  <c r="L1296" i="3"/>
  <c r="L1288" i="3"/>
  <c r="L1280" i="3"/>
  <c r="L1272" i="3"/>
  <c r="L1264" i="3"/>
  <c r="L1256" i="3"/>
  <c r="L1248" i="3"/>
  <c r="L1240" i="3"/>
  <c r="L1232" i="3"/>
  <c r="L1224" i="3"/>
  <c r="L1216" i="3"/>
  <c r="L1208" i="3"/>
  <c r="L1200" i="3"/>
  <c r="L1192" i="3"/>
  <c r="L1184" i="3"/>
  <c r="L1176" i="3"/>
  <c r="L1168" i="3"/>
  <c r="L1160" i="3"/>
  <c r="L1152" i="3"/>
  <c r="L1144" i="3"/>
  <c r="L1136" i="3"/>
  <c r="L1128" i="3"/>
  <c r="L1120" i="3"/>
  <c r="L1112" i="3"/>
  <c r="L1104" i="3"/>
  <c r="L1096" i="3"/>
  <c r="L1088" i="3"/>
  <c r="L1080" i="3"/>
  <c r="L1072" i="3"/>
  <c r="N1480" i="3"/>
  <c r="N1472" i="3"/>
  <c r="N1464" i="3"/>
  <c r="N1456" i="3"/>
  <c r="N1448" i="3"/>
  <c r="N1440" i="3"/>
  <c r="N1432" i="3"/>
  <c r="N1424" i="3"/>
  <c r="N1416" i="3"/>
  <c r="N1408" i="3"/>
  <c r="N1400" i="3"/>
  <c r="N1392" i="3"/>
  <c r="N1384" i="3"/>
  <c r="N1376" i="3"/>
  <c r="N1368" i="3"/>
  <c r="N1360" i="3"/>
  <c r="N1352" i="3"/>
  <c r="N1344" i="3"/>
  <c r="N1336" i="3"/>
  <c r="N1328" i="3"/>
  <c r="N1320" i="3"/>
  <c r="N1312" i="3"/>
  <c r="N1304" i="3"/>
  <c r="N1296" i="3"/>
  <c r="N1288" i="3"/>
  <c r="N1280" i="3"/>
  <c r="N1272" i="3"/>
  <c r="N1264" i="3"/>
  <c r="N1256" i="3"/>
  <c r="N1248" i="3"/>
  <c r="N1240" i="3"/>
  <c r="N1232" i="3"/>
  <c r="N1224" i="3"/>
  <c r="N1216" i="3"/>
  <c r="N1208" i="3"/>
  <c r="N1200" i="3"/>
  <c r="N1192" i="3"/>
  <c r="N1184" i="3"/>
  <c r="N1176" i="3"/>
  <c r="N1168" i="3"/>
  <c r="N1160" i="3"/>
  <c r="N1152" i="3"/>
  <c r="N1144" i="3"/>
  <c r="N1136" i="3"/>
  <c r="N1128" i="3"/>
  <c r="N1120" i="3"/>
  <c r="N1112" i="3"/>
  <c r="N1104" i="3"/>
  <c r="N1096" i="3"/>
  <c r="L1447" i="3"/>
  <c r="L1383" i="3"/>
  <c r="L1327" i="3"/>
  <c r="L1271" i="3"/>
  <c r="L1215" i="3"/>
  <c r="L1159" i="3"/>
  <c r="L1103" i="3"/>
  <c r="L1071" i="3"/>
  <c r="L1055" i="3"/>
  <c r="L991" i="3"/>
  <c r="L959" i="3"/>
  <c r="L935" i="3"/>
  <c r="L919" i="3"/>
  <c r="L903" i="3"/>
  <c r="L879" i="3"/>
  <c r="L863" i="3"/>
  <c r="L847" i="3"/>
  <c r="L839" i="3"/>
  <c r="L823" i="3"/>
  <c r="L815" i="3"/>
  <c r="L807" i="3"/>
  <c r="L791" i="3"/>
  <c r="L783" i="3"/>
  <c r="L775" i="3"/>
  <c r="L767" i="3"/>
  <c r="L759" i="3"/>
  <c r="L751" i="3"/>
  <c r="L743" i="3"/>
  <c r="L735" i="3"/>
  <c r="L727" i="3"/>
  <c r="L719" i="3"/>
  <c r="L711" i="3"/>
  <c r="L703" i="3"/>
  <c r="L695" i="3"/>
  <c r="L687" i="3"/>
  <c r="L679" i="3"/>
  <c r="L671" i="3"/>
  <c r="L663" i="3"/>
  <c r="L655" i="3"/>
  <c r="L647" i="3"/>
  <c r="L639" i="3"/>
  <c r="L631" i="3"/>
  <c r="L623" i="3"/>
  <c r="L615" i="3"/>
  <c r="L607" i="3"/>
  <c r="L599" i="3"/>
  <c r="L591" i="3"/>
  <c r="L583" i="3"/>
  <c r="L575" i="3"/>
  <c r="L567" i="3"/>
  <c r="L559" i="3"/>
  <c r="L551" i="3"/>
  <c r="L543" i="3"/>
  <c r="L535" i="3"/>
  <c r="L527" i="3"/>
  <c r="L519" i="3"/>
  <c r="L511" i="3"/>
  <c r="L503" i="3"/>
  <c r="L495" i="3"/>
  <c r="L487" i="3"/>
  <c r="L479" i="3"/>
  <c r="L471" i="3"/>
  <c r="L463" i="3"/>
  <c r="L455" i="3"/>
  <c r="N1479" i="3"/>
  <c r="N1471" i="3"/>
  <c r="N1463" i="3"/>
  <c r="N1455" i="3"/>
  <c r="N1447" i="3"/>
  <c r="N1439" i="3"/>
  <c r="N1431" i="3"/>
  <c r="N1423" i="3"/>
  <c r="N1415" i="3"/>
  <c r="N1407" i="3"/>
  <c r="N1399" i="3"/>
  <c r="N1391" i="3"/>
  <c r="N1383" i="3"/>
  <c r="N1375" i="3"/>
  <c r="N1367" i="3"/>
  <c r="N1359" i="3"/>
  <c r="N1351" i="3"/>
  <c r="N1343" i="3"/>
  <c r="N1335" i="3"/>
  <c r="N1327" i="3"/>
  <c r="N1319" i="3"/>
  <c r="N1311" i="3"/>
  <c r="N1303" i="3"/>
  <c r="N1295" i="3"/>
  <c r="N1287" i="3"/>
  <c r="N1279" i="3"/>
  <c r="N1271" i="3"/>
  <c r="N1263" i="3"/>
  <c r="N1255" i="3"/>
  <c r="N1247" i="3"/>
  <c r="N1239" i="3"/>
  <c r="N1231" i="3"/>
  <c r="N1223" i="3"/>
  <c r="N1215" i="3"/>
  <c r="N1207" i="3"/>
  <c r="N1199" i="3"/>
  <c r="N1191" i="3"/>
  <c r="N1183" i="3"/>
  <c r="N1175" i="3"/>
  <c r="N1167" i="3"/>
  <c r="N1159" i="3"/>
  <c r="N1151" i="3"/>
  <c r="N1143" i="3"/>
  <c r="N1135" i="3"/>
  <c r="N1127" i="3"/>
  <c r="N1119" i="3"/>
  <c r="N1111" i="3"/>
  <c r="N1103" i="3"/>
  <c r="L1431" i="3"/>
  <c r="L1359" i="3"/>
  <c r="L1319" i="3"/>
  <c r="L1263" i="3"/>
  <c r="L1207" i="3"/>
  <c r="L1151" i="3"/>
  <c r="L1095" i="3"/>
  <c r="L1079" i="3"/>
  <c r="L1047" i="3"/>
  <c r="L999" i="3"/>
  <c r="L975" i="3"/>
  <c r="L951" i="3"/>
  <c r="L927" i="3"/>
  <c r="L911" i="3"/>
  <c r="L895" i="3"/>
  <c r="L871" i="3"/>
  <c r="L855" i="3"/>
  <c r="L831" i="3"/>
  <c r="L799" i="3"/>
  <c r="L1478" i="3"/>
  <c r="L1470" i="3"/>
  <c r="L1462" i="3"/>
  <c r="L1454" i="3"/>
  <c r="L1446" i="3"/>
  <c r="L1438" i="3"/>
  <c r="L1430" i="3"/>
  <c r="L1422" i="3"/>
  <c r="L1414" i="3"/>
  <c r="L1406" i="3"/>
  <c r="L1398" i="3"/>
  <c r="L1390" i="3"/>
  <c r="L1382" i="3"/>
  <c r="L1374" i="3"/>
  <c r="L1366" i="3"/>
  <c r="L1358" i="3"/>
  <c r="L1350" i="3"/>
  <c r="L1342" i="3"/>
  <c r="L1334" i="3"/>
  <c r="L1326" i="3"/>
  <c r="L1318" i="3"/>
  <c r="L1310" i="3"/>
  <c r="L1302" i="3"/>
  <c r="L1294" i="3"/>
  <c r="L1286" i="3"/>
  <c r="L1278" i="3"/>
  <c r="L1270" i="3"/>
  <c r="L1262" i="3"/>
  <c r="L1254" i="3"/>
  <c r="L1246" i="3"/>
  <c r="L1238" i="3"/>
  <c r="L1230" i="3"/>
  <c r="N1478" i="3"/>
  <c r="N1470" i="3"/>
  <c r="N1462" i="3"/>
  <c r="N1454" i="3"/>
  <c r="N1446" i="3"/>
  <c r="N1438" i="3"/>
  <c r="N1430" i="3"/>
  <c r="N1422" i="3"/>
  <c r="N1414" i="3"/>
  <c r="N1406" i="3"/>
  <c r="N1398" i="3"/>
  <c r="N1390" i="3"/>
  <c r="N1382" i="3"/>
  <c r="N1374" i="3"/>
  <c r="N1366" i="3"/>
  <c r="N1358" i="3"/>
  <c r="N1350" i="3"/>
  <c r="N1342" i="3"/>
  <c r="N1334" i="3"/>
  <c r="N1326" i="3"/>
  <c r="N1318" i="3"/>
  <c r="N1310" i="3"/>
  <c r="N1302" i="3"/>
  <c r="N1294" i="3"/>
  <c r="N1286" i="3"/>
  <c r="N1278" i="3"/>
  <c r="N1270" i="3"/>
  <c r="N1262" i="3"/>
  <c r="N1254" i="3"/>
  <c r="N1246" i="3"/>
  <c r="N1238" i="3"/>
  <c r="N1230" i="3"/>
  <c r="N1222" i="3"/>
  <c r="N1214" i="3"/>
  <c r="N1206" i="3"/>
  <c r="N1198" i="3"/>
  <c r="N1190" i="3"/>
  <c r="N1182" i="3"/>
  <c r="N1174" i="3"/>
  <c r="N1166" i="3"/>
  <c r="N1158" i="3"/>
  <c r="N1150" i="3"/>
  <c r="N1142" i="3"/>
  <c r="N1134" i="3"/>
  <c r="N1126" i="3"/>
  <c r="N1118" i="3"/>
  <c r="N1110" i="3"/>
  <c r="N1102" i="3"/>
  <c r="L1415" i="3"/>
  <c r="L1351" i="3"/>
  <c r="L1295" i="3"/>
  <c r="L1247" i="3"/>
  <c r="L1191" i="3"/>
  <c r="L1143" i="3"/>
  <c r="L1087" i="3"/>
  <c r="L1063" i="3"/>
  <c r="L1039" i="3"/>
  <c r="L983" i="3"/>
  <c r="L967" i="3"/>
  <c r="L943" i="3"/>
  <c r="L887" i="3"/>
  <c r="L1477" i="3"/>
  <c r="L1469" i="3"/>
  <c r="L1461" i="3"/>
  <c r="L1453" i="3"/>
  <c r="L1445" i="3"/>
  <c r="L1437" i="3"/>
  <c r="L1429" i="3"/>
  <c r="L1421" i="3"/>
  <c r="L1413" i="3"/>
  <c r="L1405" i="3"/>
  <c r="L1397" i="3"/>
  <c r="L1389" i="3"/>
  <c r="L1381" i="3"/>
  <c r="L1373" i="3"/>
  <c r="L1365" i="3"/>
  <c r="L1357" i="3"/>
  <c r="L1349" i="3"/>
  <c r="L1341" i="3"/>
  <c r="L1333" i="3"/>
  <c r="L1325" i="3"/>
  <c r="L1317" i="3"/>
  <c r="L1309" i="3"/>
  <c r="L1301" i="3"/>
  <c r="L1293" i="3"/>
  <c r="L1285" i="3"/>
  <c r="L1277" i="3"/>
  <c r="L1269" i="3"/>
  <c r="L1261" i="3"/>
  <c r="L1253" i="3"/>
  <c r="L1245" i="3"/>
  <c r="L1237" i="3"/>
  <c r="L1229" i="3"/>
  <c r="L1221" i="3"/>
  <c r="L1213" i="3"/>
  <c r="L1205" i="3"/>
  <c r="L1197" i="3"/>
  <c r="L1189" i="3"/>
  <c r="L1181" i="3"/>
  <c r="N1477" i="3"/>
  <c r="N1469" i="3"/>
  <c r="N1461" i="3"/>
  <c r="N1453" i="3"/>
  <c r="N1445" i="3"/>
  <c r="N1437" i="3"/>
  <c r="N1429" i="3"/>
  <c r="N1421" i="3"/>
  <c r="N1413" i="3"/>
  <c r="N1405" i="3"/>
  <c r="N1397" i="3"/>
  <c r="N1389" i="3"/>
  <c r="N1381" i="3"/>
  <c r="N1373" i="3"/>
  <c r="N1365" i="3"/>
  <c r="N1357" i="3"/>
  <c r="N1349" i="3"/>
  <c r="N1341" i="3"/>
  <c r="N1333" i="3"/>
  <c r="N1325" i="3"/>
  <c r="N1317" i="3"/>
  <c r="N1309" i="3"/>
  <c r="N1301" i="3"/>
  <c r="N1293" i="3"/>
  <c r="N1285" i="3"/>
  <c r="N1277" i="3"/>
  <c r="N1269" i="3"/>
  <c r="N1261" i="3"/>
  <c r="N1253" i="3"/>
  <c r="N1245" i="3"/>
  <c r="N1237" i="3"/>
  <c r="N1229" i="3"/>
  <c r="N1221" i="3"/>
  <c r="N1213" i="3"/>
  <c r="N1205" i="3"/>
  <c r="N1197" i="3"/>
  <c r="N1189" i="3"/>
  <c r="N1181" i="3"/>
  <c r="N1173" i="3"/>
  <c r="N1165" i="3"/>
  <c r="N1157" i="3"/>
  <c r="N1149" i="3"/>
  <c r="N1141" i="3"/>
  <c r="N1133" i="3"/>
  <c r="N1125" i="3"/>
  <c r="N1117" i="3"/>
  <c r="N1109" i="3"/>
  <c r="N1101" i="3"/>
  <c r="L1423" i="3"/>
  <c r="L1367" i="3"/>
  <c r="L1303" i="3"/>
  <c r="L1239" i="3"/>
  <c r="L1183" i="3"/>
  <c r="L1127" i="3"/>
  <c r="L1023" i="3"/>
  <c r="L1460" i="3"/>
  <c r="L1444" i="3"/>
  <c r="L1436" i="3"/>
  <c r="L1428" i="3"/>
  <c r="L1420" i="3"/>
  <c r="L1412" i="3"/>
  <c r="L1404" i="3"/>
  <c r="L1396" i="3"/>
  <c r="L1388" i="3"/>
  <c r="L1380" i="3"/>
  <c r="L1372" i="3"/>
  <c r="L1364" i="3"/>
  <c r="L1356" i="3"/>
  <c r="L1348" i="3"/>
  <c r="L1340" i="3"/>
  <c r="L1332" i="3"/>
  <c r="L1324" i="3"/>
  <c r="L1316" i="3"/>
  <c r="L1308" i="3"/>
  <c r="L1300" i="3"/>
  <c r="L1292" i="3"/>
  <c r="L1284" i="3"/>
  <c r="L1276" i="3"/>
  <c r="L1268" i="3"/>
  <c r="L1260" i="3"/>
  <c r="L1252" i="3"/>
  <c r="L1244" i="3"/>
  <c r="L1236" i="3"/>
  <c r="L1228" i="3"/>
  <c r="L1220" i="3"/>
  <c r="L1212" i="3"/>
  <c r="L1204" i="3"/>
  <c r="L1196" i="3"/>
  <c r="L1188" i="3"/>
  <c r="L1180" i="3"/>
  <c r="L1172" i="3"/>
  <c r="L1164" i="3"/>
  <c r="L1156" i="3"/>
  <c r="L1148" i="3"/>
  <c r="L1140" i="3"/>
  <c r="L1132" i="3"/>
  <c r="L1124" i="3"/>
  <c r="L1116" i="3"/>
  <c r="L1108" i="3"/>
  <c r="L1100" i="3"/>
  <c r="L1092" i="3"/>
  <c r="L1084" i="3"/>
  <c r="L1076" i="3"/>
  <c r="L1068" i="3"/>
  <c r="N1476" i="3"/>
  <c r="N1468" i="3"/>
  <c r="N1460" i="3"/>
  <c r="N1452" i="3"/>
  <c r="N1444" i="3"/>
  <c r="N1436" i="3"/>
  <c r="N1428" i="3"/>
  <c r="N1420" i="3"/>
  <c r="N1412" i="3"/>
  <c r="N1404" i="3"/>
  <c r="N1396" i="3"/>
  <c r="N1388" i="3"/>
  <c r="N1380" i="3"/>
  <c r="N1372" i="3"/>
  <c r="N1364" i="3"/>
  <c r="N1356" i="3"/>
  <c r="N1348" i="3"/>
  <c r="N1340" i="3"/>
  <c r="N1332" i="3"/>
  <c r="N1324" i="3"/>
  <c r="N1316" i="3"/>
  <c r="N1308" i="3"/>
  <c r="N1300" i="3"/>
  <c r="N1292" i="3"/>
  <c r="N1284" i="3"/>
  <c r="N1276" i="3"/>
  <c r="N1268" i="3"/>
  <c r="N1260" i="3"/>
  <c r="N1252" i="3"/>
  <c r="N1244" i="3"/>
  <c r="N1236" i="3"/>
  <c r="N1228" i="3"/>
  <c r="N1220" i="3"/>
  <c r="N1212" i="3"/>
  <c r="N1204" i="3"/>
  <c r="N1196" i="3"/>
  <c r="N1188" i="3"/>
  <c r="N1180" i="3"/>
  <c r="N1172" i="3"/>
  <c r="N1164" i="3"/>
  <c r="N1156" i="3"/>
  <c r="N1148" i="3"/>
  <c r="N1140" i="3"/>
  <c r="N1132" i="3"/>
  <c r="N1124" i="3"/>
  <c r="N1116" i="3"/>
  <c r="N1108" i="3"/>
  <c r="N1100" i="3"/>
  <c r="L1463" i="3"/>
  <c r="L1407" i="3"/>
  <c r="L1343" i="3"/>
  <c r="L1287" i="3"/>
  <c r="L1231" i="3"/>
  <c r="L1175" i="3"/>
  <c r="L1119" i="3"/>
  <c r="L1007" i="3"/>
  <c r="L1475" i="3"/>
  <c r="L1467" i="3"/>
  <c r="L1459" i="3"/>
  <c r="L1451" i="3"/>
  <c r="L1443" i="3"/>
  <c r="L1435" i="3"/>
  <c r="L1427" i="3"/>
  <c r="L1419" i="3"/>
  <c r="L1411" i="3"/>
  <c r="L1403" i="3"/>
  <c r="L1395" i="3"/>
  <c r="L1387" i="3"/>
  <c r="L1379" i="3"/>
  <c r="L1371" i="3"/>
  <c r="L1363" i="3"/>
  <c r="L1355" i="3"/>
  <c r="L1347" i="3"/>
  <c r="L1339" i="3"/>
  <c r="L1331" i="3"/>
  <c r="L1323" i="3"/>
  <c r="L1315" i="3"/>
  <c r="L1307" i="3"/>
  <c r="L1299" i="3"/>
  <c r="L1291" i="3"/>
  <c r="L1283" i="3"/>
  <c r="L1275" i="3"/>
  <c r="L1267" i="3"/>
  <c r="L1259" i="3"/>
  <c r="L1251" i="3"/>
  <c r="L1243" i="3"/>
  <c r="L1235" i="3"/>
  <c r="L1227" i="3"/>
  <c r="L1219" i="3"/>
  <c r="L1211" i="3"/>
  <c r="L1203" i="3"/>
  <c r="L1195" i="3"/>
  <c r="L1187" i="3"/>
  <c r="N1475" i="3"/>
  <c r="N1467" i="3"/>
  <c r="N1459" i="3"/>
  <c r="N1451" i="3"/>
  <c r="N1443" i="3"/>
  <c r="N1435" i="3"/>
  <c r="N1427" i="3"/>
  <c r="N1419" i="3"/>
  <c r="N1411" i="3"/>
  <c r="N1403" i="3"/>
  <c r="N1395" i="3"/>
  <c r="N1387" i="3"/>
  <c r="N1379" i="3"/>
  <c r="N1371" i="3"/>
  <c r="N1363" i="3"/>
  <c r="N1355" i="3"/>
  <c r="N1347" i="3"/>
  <c r="N1339" i="3"/>
  <c r="N1331" i="3"/>
  <c r="N1323" i="3"/>
  <c r="N1315" i="3"/>
  <c r="N1307" i="3"/>
  <c r="N1299" i="3"/>
  <c r="N1291" i="3"/>
  <c r="N1283" i="3"/>
  <c r="N1275" i="3"/>
  <c r="N1267" i="3"/>
  <c r="N1259" i="3"/>
  <c r="N1251" i="3"/>
  <c r="N1243" i="3"/>
  <c r="N1235" i="3"/>
  <c r="N1227" i="3"/>
  <c r="N1219" i="3"/>
  <c r="N1211" i="3"/>
  <c r="N1203" i="3"/>
  <c r="N1195" i="3"/>
  <c r="N1187" i="3"/>
  <c r="N1179" i="3"/>
  <c r="N1171" i="3"/>
  <c r="N1163" i="3"/>
  <c r="N1155" i="3"/>
  <c r="N1147" i="3"/>
  <c r="N1139" i="3"/>
  <c r="N1131" i="3"/>
  <c r="N1123" i="3"/>
  <c r="N1115" i="3"/>
  <c r="N1107" i="3"/>
  <c r="N1099" i="3"/>
  <c r="L1439" i="3"/>
  <c r="L1375" i="3"/>
  <c r="L1311" i="3"/>
  <c r="L1255" i="3"/>
  <c r="L1199" i="3"/>
  <c r="L1135" i="3"/>
  <c r="L1031" i="3"/>
  <c r="L1452" i="3"/>
  <c r="O2" i="3"/>
  <c r="L1482" i="3"/>
  <c r="L1474" i="3"/>
  <c r="L1466" i="3"/>
  <c r="L1458" i="3"/>
  <c r="L1450" i="3"/>
  <c r="L1442" i="3"/>
  <c r="L1434" i="3"/>
  <c r="L1426" i="3"/>
  <c r="L1418" i="3"/>
  <c r="L1410" i="3"/>
  <c r="L1402" i="3"/>
  <c r="L1394" i="3"/>
  <c r="L1386" i="3"/>
  <c r="L1378" i="3"/>
  <c r="L1370" i="3"/>
  <c r="L1362" i="3"/>
  <c r="L1354" i="3"/>
  <c r="L1346" i="3"/>
  <c r="L1338" i="3"/>
  <c r="L1330" i="3"/>
  <c r="L1322" i="3"/>
  <c r="L1314" i="3"/>
  <c r="L1306" i="3"/>
  <c r="L1298" i="3"/>
  <c r="L1290" i="3"/>
  <c r="L1282" i="3"/>
  <c r="L1274" i="3"/>
  <c r="L1266" i="3"/>
  <c r="L1258" i="3"/>
  <c r="N1482" i="3"/>
  <c r="N1474" i="3"/>
  <c r="N1466" i="3"/>
  <c r="N1458" i="3"/>
  <c r="N1450" i="3"/>
  <c r="N1442" i="3"/>
  <c r="N1434" i="3"/>
  <c r="N1426" i="3"/>
  <c r="N1418" i="3"/>
  <c r="N1410" i="3"/>
  <c r="N1402" i="3"/>
  <c r="N1394" i="3"/>
  <c r="N1386" i="3"/>
  <c r="N1378" i="3"/>
  <c r="N1370" i="3"/>
  <c r="N1362" i="3"/>
  <c r="N1354" i="3"/>
  <c r="N1346" i="3"/>
  <c r="N1338" i="3"/>
  <c r="N1330" i="3"/>
  <c r="N1322" i="3"/>
  <c r="N1314" i="3"/>
  <c r="N1306" i="3"/>
  <c r="N1298" i="3"/>
  <c r="N1290" i="3"/>
  <c r="N1282" i="3"/>
  <c r="N1274" i="3"/>
  <c r="N1266" i="3"/>
  <c r="N1258" i="3"/>
  <c r="N1250" i="3"/>
  <c r="N1242" i="3"/>
  <c r="N1234" i="3"/>
  <c r="N1226" i="3"/>
  <c r="N1218" i="3"/>
  <c r="N1210" i="3"/>
  <c r="N1202" i="3"/>
  <c r="N1194" i="3"/>
  <c r="N1186" i="3"/>
  <c r="N1178" i="3"/>
  <c r="N1170" i="3"/>
  <c r="N1162" i="3"/>
  <c r="N1154" i="3"/>
  <c r="N1146" i="3"/>
  <c r="N1138" i="3"/>
  <c r="N1130" i="3"/>
  <c r="N1122" i="3"/>
  <c r="N1114" i="3"/>
  <c r="N1106" i="3"/>
  <c r="N1098" i="3"/>
  <c r="L1222" i="3"/>
  <c r="L1214" i="3"/>
  <c r="L1206" i="3"/>
  <c r="L1198" i="3"/>
  <c r="L1190" i="3"/>
  <c r="L1182" i="3"/>
  <c r="L1174" i="3"/>
  <c r="L1166" i="3"/>
  <c r="L1158" i="3"/>
  <c r="L1150" i="3"/>
  <c r="L1142" i="3"/>
  <c r="L1134" i="3"/>
  <c r="L1126" i="3"/>
  <c r="L1118" i="3"/>
  <c r="L1110" i="3"/>
  <c r="L1102" i="3"/>
  <c r="L1094" i="3"/>
  <c r="L1086" i="3"/>
  <c r="L1078" i="3"/>
  <c r="L1070" i="3"/>
  <c r="L1062" i="3"/>
  <c r="L1054" i="3"/>
  <c r="L1046" i="3"/>
  <c r="L1038" i="3"/>
  <c r="L1030" i="3"/>
  <c r="L1022" i="3"/>
  <c r="L1014" i="3"/>
  <c r="L1006" i="3"/>
  <c r="L998" i="3"/>
  <c r="L990" i="3"/>
  <c r="L982" i="3"/>
  <c r="L974" i="3"/>
  <c r="L966" i="3"/>
  <c r="L958" i="3"/>
  <c r="L950" i="3"/>
  <c r="L942" i="3"/>
  <c r="L934" i="3"/>
  <c r="L926" i="3"/>
  <c r="L918" i="3"/>
  <c r="L910" i="3"/>
  <c r="L902" i="3"/>
  <c r="L894" i="3"/>
  <c r="L886" i="3"/>
  <c r="L878" i="3"/>
  <c r="L870" i="3"/>
  <c r="L862" i="3"/>
  <c r="L854" i="3"/>
  <c r="L846" i="3"/>
  <c r="L838" i="3"/>
  <c r="L830" i="3"/>
  <c r="L822" i="3"/>
  <c r="L814" i="3"/>
  <c r="L806" i="3"/>
  <c r="L798" i="3"/>
  <c r="L790" i="3"/>
  <c r="L782" i="3"/>
  <c r="L774" i="3"/>
  <c r="L766" i="3"/>
  <c r="L758" i="3"/>
  <c r="L750" i="3"/>
  <c r="L742" i="3"/>
  <c r="L734" i="3"/>
  <c r="L726" i="3"/>
  <c r="L718" i="3"/>
  <c r="L710" i="3"/>
  <c r="L702" i="3"/>
  <c r="L694" i="3"/>
  <c r="L686" i="3"/>
  <c r="L678" i="3"/>
  <c r="L670" i="3"/>
  <c r="L662" i="3"/>
  <c r="L654" i="3"/>
  <c r="L646" i="3"/>
  <c r="L638" i="3"/>
  <c r="L630" i="3"/>
  <c r="L622" i="3"/>
  <c r="L614" i="3"/>
  <c r="L606" i="3"/>
  <c r="L598" i="3"/>
  <c r="L590" i="3"/>
  <c r="L582" i="3"/>
  <c r="L574" i="3"/>
  <c r="L566" i="3"/>
  <c r="L558" i="3"/>
  <c r="L550" i="3"/>
  <c r="L542" i="3"/>
  <c r="L534" i="3"/>
  <c r="L526" i="3"/>
  <c r="L518" i="3"/>
  <c r="L510" i="3"/>
  <c r="L502" i="3"/>
  <c r="L494" i="3"/>
  <c r="L486" i="3"/>
  <c r="L478" i="3"/>
  <c r="L470" i="3"/>
  <c r="L462" i="3"/>
  <c r="L454" i="3"/>
  <c r="L446" i="3"/>
  <c r="L438" i="3"/>
  <c r="L430" i="3"/>
  <c r="L422" i="3"/>
  <c r="L414" i="3"/>
  <c r="L406" i="3"/>
  <c r="L398" i="3"/>
  <c r="L390" i="3"/>
  <c r="L382" i="3"/>
  <c r="L374" i="3"/>
  <c r="L366" i="3"/>
  <c r="L358" i="3"/>
  <c r="L350" i="3"/>
  <c r="L342" i="3"/>
  <c r="L334" i="3"/>
  <c r="L326" i="3"/>
  <c r="L318" i="3"/>
  <c r="L310" i="3"/>
  <c r="L302" i="3"/>
  <c r="L294" i="3"/>
  <c r="L286" i="3"/>
  <c r="L278" i="3"/>
  <c r="L270" i="3"/>
  <c r="L262" i="3"/>
  <c r="L254" i="3"/>
  <c r="L246" i="3"/>
  <c r="L238" i="3"/>
  <c r="L230" i="3"/>
  <c r="L222" i="3"/>
  <c r="L214" i="3"/>
  <c r="L206" i="3"/>
  <c r="L198" i="3"/>
  <c r="L190" i="3"/>
  <c r="L182" i="3"/>
  <c r="L174" i="3"/>
  <c r="L166" i="3"/>
  <c r="L158" i="3"/>
  <c r="L150" i="3"/>
  <c r="L142" i="3"/>
  <c r="L134" i="3"/>
  <c r="L126" i="3"/>
  <c r="L118" i="3"/>
  <c r="L110" i="3"/>
  <c r="L102" i="3"/>
  <c r="L94" i="3"/>
  <c r="L86" i="3"/>
  <c r="L78" i="3"/>
  <c r="L70" i="3"/>
  <c r="L62" i="3"/>
  <c r="L54" i="3"/>
  <c r="L46" i="3"/>
  <c r="L38" i="3"/>
  <c r="L30" i="3"/>
  <c r="L22" i="3"/>
  <c r="L14" i="3"/>
  <c r="L6" i="3"/>
  <c r="N1094" i="3"/>
  <c r="N1086" i="3"/>
  <c r="N1078" i="3"/>
  <c r="N1070" i="3"/>
  <c r="N1062" i="3"/>
  <c r="N1054" i="3"/>
  <c r="N1046" i="3"/>
  <c r="N1038" i="3"/>
  <c r="N1030" i="3"/>
  <c r="N1022" i="3"/>
  <c r="N1014" i="3"/>
  <c r="N1006" i="3"/>
  <c r="N998" i="3"/>
  <c r="N990" i="3"/>
  <c r="N982" i="3"/>
  <c r="N974" i="3"/>
  <c r="N966" i="3"/>
  <c r="N958" i="3"/>
  <c r="N950" i="3"/>
  <c r="N942" i="3"/>
  <c r="N934" i="3"/>
  <c r="N926" i="3"/>
  <c r="N918" i="3"/>
  <c r="N910" i="3"/>
  <c r="N902" i="3"/>
  <c r="N894" i="3"/>
  <c r="N886" i="3"/>
  <c r="N878" i="3"/>
  <c r="N870" i="3"/>
  <c r="N862" i="3"/>
  <c r="N854" i="3"/>
  <c r="N846" i="3"/>
  <c r="N838" i="3"/>
  <c r="N830" i="3"/>
  <c r="N822" i="3"/>
  <c r="N814" i="3"/>
  <c r="N806" i="3"/>
  <c r="N798" i="3"/>
  <c r="N790" i="3"/>
  <c r="N782" i="3"/>
  <c r="N774" i="3"/>
  <c r="N766" i="3"/>
  <c r="N758" i="3"/>
  <c r="N750" i="3"/>
  <c r="N742" i="3"/>
  <c r="N734" i="3"/>
  <c r="N726" i="3"/>
  <c r="N718" i="3"/>
  <c r="N710" i="3"/>
  <c r="N702" i="3"/>
  <c r="N694" i="3"/>
  <c r="N686" i="3"/>
  <c r="N678" i="3"/>
  <c r="N670" i="3"/>
  <c r="N662" i="3"/>
  <c r="N654" i="3"/>
  <c r="N646" i="3"/>
  <c r="N638" i="3"/>
  <c r="N630" i="3"/>
  <c r="N622" i="3"/>
  <c r="N614" i="3"/>
  <c r="N606" i="3"/>
  <c r="N598" i="3"/>
  <c r="N590" i="3"/>
  <c r="N582" i="3"/>
  <c r="N574" i="3"/>
  <c r="N566" i="3"/>
  <c r="N558" i="3"/>
  <c r="N550" i="3"/>
  <c r="N542" i="3"/>
  <c r="N534" i="3"/>
  <c r="N526" i="3"/>
  <c r="N518" i="3"/>
  <c r="N510" i="3"/>
  <c r="N502" i="3"/>
  <c r="N494" i="3"/>
  <c r="N486" i="3"/>
  <c r="N478" i="3"/>
  <c r="N470" i="3"/>
  <c r="N462" i="3"/>
  <c r="N454" i="3"/>
  <c r="N446" i="3"/>
  <c r="N438" i="3"/>
  <c r="N430" i="3"/>
  <c r="N422" i="3"/>
  <c r="N414" i="3"/>
  <c r="N406" i="3"/>
  <c r="N398" i="3"/>
  <c r="N390" i="3"/>
  <c r="N382" i="3"/>
  <c r="N374" i="3"/>
  <c r="N366" i="3"/>
  <c r="N358" i="3"/>
  <c r="N350" i="3"/>
  <c r="N342" i="3"/>
  <c r="N334" i="3"/>
  <c r="N326" i="3"/>
  <c r="N318" i="3"/>
  <c r="N310" i="3"/>
  <c r="N302" i="3"/>
  <c r="N294" i="3"/>
  <c r="N286" i="3"/>
  <c r="N278" i="3"/>
  <c r="N270" i="3"/>
  <c r="N262" i="3"/>
  <c r="N254" i="3"/>
  <c r="N246" i="3"/>
  <c r="N238" i="3"/>
  <c r="N230" i="3"/>
  <c r="N222" i="3"/>
  <c r="N214" i="3"/>
  <c r="N206" i="3"/>
  <c r="N198" i="3"/>
  <c r="N190" i="3"/>
  <c r="N182" i="3"/>
  <c r="N174" i="3"/>
  <c r="N166" i="3"/>
  <c r="N158" i="3"/>
  <c r="N150" i="3"/>
  <c r="N142" i="3"/>
  <c r="N134" i="3"/>
  <c r="N126" i="3"/>
  <c r="N118" i="3"/>
  <c r="N110" i="3"/>
  <c r="N102" i="3"/>
  <c r="N94" i="3"/>
  <c r="N86" i="3"/>
  <c r="N78" i="3"/>
  <c r="N70" i="3"/>
  <c r="N62" i="3"/>
  <c r="N54" i="3"/>
  <c r="N46" i="3"/>
  <c r="N38" i="3"/>
  <c r="N30" i="3"/>
  <c r="N22" i="3"/>
  <c r="N14" i="3"/>
  <c r="N6" i="3"/>
  <c r="L1173" i="3"/>
  <c r="L1165" i="3"/>
  <c r="L1157" i="3"/>
  <c r="L1149" i="3"/>
  <c r="L1141" i="3"/>
  <c r="L1133" i="3"/>
  <c r="L1125" i="3"/>
  <c r="L1117" i="3"/>
  <c r="L1109" i="3"/>
  <c r="L1101" i="3"/>
  <c r="L1093" i="3"/>
  <c r="L1085" i="3"/>
  <c r="L1077" i="3"/>
  <c r="L1069" i="3"/>
  <c r="L1061" i="3"/>
  <c r="L1053" i="3"/>
  <c r="L1045" i="3"/>
  <c r="L1037" i="3"/>
  <c r="L1029" i="3"/>
  <c r="L1021" i="3"/>
  <c r="L1013" i="3"/>
  <c r="L1005" i="3"/>
  <c r="L997" i="3"/>
  <c r="L989" i="3"/>
  <c r="L981" i="3"/>
  <c r="L973" i="3"/>
  <c r="L965" i="3"/>
  <c r="L957" i="3"/>
  <c r="L949" i="3"/>
  <c r="L941" i="3"/>
  <c r="L933" i="3"/>
  <c r="L925" i="3"/>
  <c r="L917" i="3"/>
  <c r="L909" i="3"/>
  <c r="L901" i="3"/>
  <c r="L893" i="3"/>
  <c r="L885" i="3"/>
  <c r="L877" i="3"/>
  <c r="L869" i="3"/>
  <c r="L861" i="3"/>
  <c r="L853" i="3"/>
  <c r="L845" i="3"/>
  <c r="L837" i="3"/>
  <c r="L829" i="3"/>
  <c r="L821" i="3"/>
  <c r="L813" i="3"/>
  <c r="L805" i="3"/>
  <c r="L797" i="3"/>
  <c r="L789" i="3"/>
  <c r="L781" i="3"/>
  <c r="L773" i="3"/>
  <c r="L765" i="3"/>
  <c r="L757" i="3"/>
  <c r="L749" i="3"/>
  <c r="L741" i="3"/>
  <c r="L733" i="3"/>
  <c r="L725" i="3"/>
  <c r="L717" i="3"/>
  <c r="L709" i="3"/>
  <c r="L701" i="3"/>
  <c r="L693" i="3"/>
  <c r="L685" i="3"/>
  <c r="L677" i="3"/>
  <c r="L669" i="3"/>
  <c r="L661" i="3"/>
  <c r="L653" i="3"/>
  <c r="L645" i="3"/>
  <c r="L637" i="3"/>
  <c r="L629" i="3"/>
  <c r="L621" i="3"/>
  <c r="L613" i="3"/>
  <c r="L605" i="3"/>
  <c r="L597" i="3"/>
  <c r="L589" i="3"/>
  <c r="L581" i="3"/>
  <c r="L573" i="3"/>
  <c r="L565" i="3"/>
  <c r="L557" i="3"/>
  <c r="L549" i="3"/>
  <c r="L541" i="3"/>
  <c r="L533" i="3"/>
  <c r="L525" i="3"/>
  <c r="L517" i="3"/>
  <c r="L509" i="3"/>
  <c r="L501" i="3"/>
  <c r="L493" i="3"/>
  <c r="L485" i="3"/>
  <c r="L477" i="3"/>
  <c r="L469" i="3"/>
  <c r="L461" i="3"/>
  <c r="L453" i="3"/>
  <c r="L445" i="3"/>
  <c r="L437" i="3"/>
  <c r="L429" i="3"/>
  <c r="L421" i="3"/>
  <c r="L413" i="3"/>
  <c r="L405" i="3"/>
  <c r="L397" i="3"/>
  <c r="L389" i="3"/>
  <c r="L381" i="3"/>
  <c r="L373" i="3"/>
  <c r="L365" i="3"/>
  <c r="L357" i="3"/>
  <c r="L349" i="3"/>
  <c r="L341" i="3"/>
  <c r="L333" i="3"/>
  <c r="L325" i="3"/>
  <c r="L317" i="3"/>
  <c r="L309" i="3"/>
  <c r="L301" i="3"/>
  <c r="L293" i="3"/>
  <c r="L285" i="3"/>
  <c r="L277" i="3"/>
  <c r="L269" i="3"/>
  <c r="L261" i="3"/>
  <c r="L253" i="3"/>
  <c r="L245" i="3"/>
  <c r="L237" i="3"/>
  <c r="L229" i="3"/>
  <c r="L221" i="3"/>
  <c r="L213" i="3"/>
  <c r="L205" i="3"/>
  <c r="L197" i="3"/>
  <c r="L189" i="3"/>
  <c r="L181" i="3"/>
  <c r="L173" i="3"/>
  <c r="L165" i="3"/>
  <c r="L157" i="3"/>
  <c r="L149" i="3"/>
  <c r="L141" i="3"/>
  <c r="L133" i="3"/>
  <c r="L125" i="3"/>
  <c r="L117" i="3"/>
  <c r="L109" i="3"/>
  <c r="L101" i="3"/>
  <c r="L93" i="3"/>
  <c r="L85" i="3"/>
  <c r="L77" i="3"/>
  <c r="L69" i="3"/>
  <c r="L61" i="3"/>
  <c r="L53" i="3"/>
  <c r="L45" i="3"/>
  <c r="L37" i="3"/>
  <c r="L29" i="3"/>
  <c r="L21" i="3"/>
  <c r="L13" i="3"/>
  <c r="L5" i="3"/>
  <c r="N1093" i="3"/>
  <c r="N1085" i="3"/>
  <c r="N1077" i="3"/>
  <c r="N1069" i="3"/>
  <c r="N1061" i="3"/>
  <c r="N1053" i="3"/>
  <c r="N1045" i="3"/>
  <c r="N1037" i="3"/>
  <c r="N1029" i="3"/>
  <c r="N1021" i="3"/>
  <c r="N1013" i="3"/>
  <c r="N1005" i="3"/>
  <c r="N997" i="3"/>
  <c r="N989" i="3"/>
  <c r="N981" i="3"/>
  <c r="N973" i="3"/>
  <c r="N965" i="3"/>
  <c r="N957" i="3"/>
  <c r="N949" i="3"/>
  <c r="N941" i="3"/>
  <c r="N933" i="3"/>
  <c r="N925" i="3"/>
  <c r="N917" i="3"/>
  <c r="N909" i="3"/>
  <c r="N901" i="3"/>
  <c r="N893" i="3"/>
  <c r="N885" i="3"/>
  <c r="N877" i="3"/>
  <c r="N869" i="3"/>
  <c r="N861" i="3"/>
  <c r="N853" i="3"/>
  <c r="N845" i="3"/>
  <c r="N837" i="3"/>
  <c r="N829" i="3"/>
  <c r="N821" i="3"/>
  <c r="N813" i="3"/>
  <c r="N805" i="3"/>
  <c r="N797" i="3"/>
  <c r="N789" i="3"/>
  <c r="N781" i="3"/>
  <c r="N773" i="3"/>
  <c r="N765" i="3"/>
  <c r="N757" i="3"/>
  <c r="N749" i="3"/>
  <c r="N741" i="3"/>
  <c r="N733" i="3"/>
  <c r="N725" i="3"/>
  <c r="N717" i="3"/>
  <c r="N709" i="3"/>
  <c r="N701" i="3"/>
  <c r="N693" i="3"/>
  <c r="N685" i="3"/>
  <c r="N677" i="3"/>
  <c r="N669" i="3"/>
  <c r="N661" i="3"/>
  <c r="N653" i="3"/>
  <c r="N645" i="3"/>
  <c r="N637" i="3"/>
  <c r="N629" i="3"/>
  <c r="N621" i="3"/>
  <c r="N613" i="3"/>
  <c r="N605" i="3"/>
  <c r="N597" i="3"/>
  <c r="N589" i="3"/>
  <c r="N581" i="3"/>
  <c r="N573" i="3"/>
  <c r="N565" i="3"/>
  <c r="N557" i="3"/>
  <c r="N549" i="3"/>
  <c r="N541" i="3"/>
  <c r="N533" i="3"/>
  <c r="N525" i="3"/>
  <c r="N517" i="3"/>
  <c r="N509" i="3"/>
  <c r="N501" i="3"/>
  <c r="N493" i="3"/>
  <c r="N485" i="3"/>
  <c r="N477" i="3"/>
  <c r="N469" i="3"/>
  <c r="N461" i="3"/>
  <c r="N453" i="3"/>
  <c r="N445" i="3"/>
  <c r="N437" i="3"/>
  <c r="N429" i="3"/>
  <c r="N421" i="3"/>
  <c r="N413" i="3"/>
  <c r="N405" i="3"/>
  <c r="N397" i="3"/>
  <c r="N389" i="3"/>
  <c r="N381" i="3"/>
  <c r="N373" i="3"/>
  <c r="N365" i="3"/>
  <c r="N357" i="3"/>
  <c r="N349" i="3"/>
  <c r="N341" i="3"/>
  <c r="N333" i="3"/>
  <c r="N325" i="3"/>
  <c r="N317" i="3"/>
  <c r="N309" i="3"/>
  <c r="N301" i="3"/>
  <c r="N293" i="3"/>
  <c r="N285" i="3"/>
  <c r="N277" i="3"/>
  <c r="N269" i="3"/>
  <c r="N261" i="3"/>
  <c r="N253" i="3"/>
  <c r="N245" i="3"/>
  <c r="N237" i="3"/>
  <c r="N229" i="3"/>
  <c r="N221" i="3"/>
  <c r="N213" i="3"/>
  <c r="N205" i="3"/>
  <c r="N197" i="3"/>
  <c r="N189" i="3"/>
  <c r="N181" i="3"/>
  <c r="N173" i="3"/>
  <c r="N165" i="3"/>
  <c r="N157" i="3"/>
  <c r="N149" i="3"/>
  <c r="N141" i="3"/>
  <c r="N133" i="3"/>
  <c r="N125" i="3"/>
  <c r="N117" i="3"/>
  <c r="N109" i="3"/>
  <c r="N101" i="3"/>
  <c r="N93" i="3"/>
  <c r="N85" i="3"/>
  <c r="N77" i="3"/>
  <c r="N69" i="3"/>
  <c r="N61" i="3"/>
  <c r="N53" i="3"/>
  <c r="N45" i="3"/>
  <c r="N37" i="3"/>
  <c r="N29" i="3"/>
  <c r="N21" i="3"/>
  <c r="N13" i="3"/>
  <c r="N5" i="3"/>
  <c r="L1060" i="3"/>
  <c r="L1052" i="3"/>
  <c r="L1044" i="3"/>
  <c r="L1036" i="3"/>
  <c r="L1028" i="3"/>
  <c r="L1020" i="3"/>
  <c r="L1012" i="3"/>
  <c r="L1004" i="3"/>
  <c r="L996" i="3"/>
  <c r="L988" i="3"/>
  <c r="L980" i="3"/>
  <c r="L972" i="3"/>
  <c r="L964" i="3"/>
  <c r="L956" i="3"/>
  <c r="L948" i="3"/>
  <c r="L940" i="3"/>
  <c r="L932" i="3"/>
  <c r="L924" i="3"/>
  <c r="L916" i="3"/>
  <c r="L908" i="3"/>
  <c r="L900" i="3"/>
  <c r="L892" i="3"/>
  <c r="L884" i="3"/>
  <c r="L876" i="3"/>
  <c r="L868" i="3"/>
  <c r="L860" i="3"/>
  <c r="L852" i="3"/>
  <c r="L844" i="3"/>
  <c r="L836" i="3"/>
  <c r="L828" i="3"/>
  <c r="L820" i="3"/>
  <c r="L812" i="3"/>
  <c r="L804" i="3"/>
  <c r="L796" i="3"/>
  <c r="L788" i="3"/>
  <c r="L780" i="3"/>
  <c r="L772" i="3"/>
  <c r="L764" i="3"/>
  <c r="L756" i="3"/>
  <c r="L748" i="3"/>
  <c r="L740" i="3"/>
  <c r="L732" i="3"/>
  <c r="L724" i="3"/>
  <c r="L716" i="3"/>
  <c r="L708" i="3"/>
  <c r="L700" i="3"/>
  <c r="L692" i="3"/>
  <c r="L684" i="3"/>
  <c r="L676" i="3"/>
  <c r="L668" i="3"/>
  <c r="L660" i="3"/>
  <c r="L652" i="3"/>
  <c r="L644" i="3"/>
  <c r="L636" i="3"/>
  <c r="L628" i="3"/>
  <c r="L620" i="3"/>
  <c r="L612" i="3"/>
  <c r="L604" i="3"/>
  <c r="L596" i="3"/>
  <c r="L588" i="3"/>
  <c r="L580" i="3"/>
  <c r="L572" i="3"/>
  <c r="L564" i="3"/>
  <c r="L556" i="3"/>
  <c r="L548" i="3"/>
  <c r="L540" i="3"/>
  <c r="L532" i="3"/>
  <c r="L524" i="3"/>
  <c r="L516" i="3"/>
  <c r="L508" i="3"/>
  <c r="L500" i="3"/>
  <c r="L492" i="3"/>
  <c r="L484" i="3"/>
  <c r="L476" i="3"/>
  <c r="L468" i="3"/>
  <c r="L460" i="3"/>
  <c r="L452" i="3"/>
  <c r="L444" i="3"/>
  <c r="L436" i="3"/>
  <c r="L428" i="3"/>
  <c r="L420" i="3"/>
  <c r="L412" i="3"/>
  <c r="L404" i="3"/>
  <c r="L396" i="3"/>
  <c r="L388" i="3"/>
  <c r="L380" i="3"/>
  <c r="L372" i="3"/>
  <c r="L364" i="3"/>
  <c r="L356" i="3"/>
  <c r="L348" i="3"/>
  <c r="L340" i="3"/>
  <c r="L332" i="3"/>
  <c r="L324" i="3"/>
  <c r="L316" i="3"/>
  <c r="L308" i="3"/>
  <c r="L300" i="3"/>
  <c r="L292" i="3"/>
  <c r="L284" i="3"/>
  <c r="L276" i="3"/>
  <c r="L268" i="3"/>
  <c r="L260" i="3"/>
  <c r="L252" i="3"/>
  <c r="L244" i="3"/>
  <c r="L236" i="3"/>
  <c r="L228" i="3"/>
  <c r="L220" i="3"/>
  <c r="L212" i="3"/>
  <c r="L204" i="3"/>
  <c r="L196" i="3"/>
  <c r="L188" i="3"/>
  <c r="L180" i="3"/>
  <c r="L172" i="3"/>
  <c r="L164" i="3"/>
  <c r="L156" i="3"/>
  <c r="L148" i="3"/>
  <c r="L140" i="3"/>
  <c r="L132" i="3"/>
  <c r="L124" i="3"/>
  <c r="L116" i="3"/>
  <c r="L108" i="3"/>
  <c r="L100" i="3"/>
  <c r="L92" i="3"/>
  <c r="L84" i="3"/>
  <c r="L76" i="3"/>
  <c r="L68" i="3"/>
  <c r="L60" i="3"/>
  <c r="L52" i="3"/>
  <c r="L44" i="3"/>
  <c r="L36" i="3"/>
  <c r="L28" i="3"/>
  <c r="L20" i="3"/>
  <c r="L12" i="3"/>
  <c r="L4" i="3"/>
  <c r="N1092" i="3"/>
  <c r="N1084" i="3"/>
  <c r="N1076" i="3"/>
  <c r="N1068" i="3"/>
  <c r="N1060" i="3"/>
  <c r="N1052" i="3"/>
  <c r="N1044" i="3"/>
  <c r="N1036" i="3"/>
  <c r="N1028" i="3"/>
  <c r="N1020" i="3"/>
  <c r="N1012" i="3"/>
  <c r="N1004" i="3"/>
  <c r="N996" i="3"/>
  <c r="N988" i="3"/>
  <c r="N980" i="3"/>
  <c r="N972" i="3"/>
  <c r="N964" i="3"/>
  <c r="N956" i="3"/>
  <c r="N948" i="3"/>
  <c r="N940" i="3"/>
  <c r="N932" i="3"/>
  <c r="N924" i="3"/>
  <c r="N916" i="3"/>
  <c r="N908" i="3"/>
  <c r="N900" i="3"/>
  <c r="N892" i="3"/>
  <c r="N884" i="3"/>
  <c r="N876" i="3"/>
  <c r="N868" i="3"/>
  <c r="N860" i="3"/>
  <c r="N852" i="3"/>
  <c r="N844" i="3"/>
  <c r="N836" i="3"/>
  <c r="N828" i="3"/>
  <c r="N820" i="3"/>
  <c r="N812" i="3"/>
  <c r="N804" i="3"/>
  <c r="N796" i="3"/>
  <c r="N788" i="3"/>
  <c r="N780" i="3"/>
  <c r="N772" i="3"/>
  <c r="N764" i="3"/>
  <c r="N756" i="3"/>
  <c r="N748" i="3"/>
  <c r="N740" i="3"/>
  <c r="N732" i="3"/>
  <c r="N724" i="3"/>
  <c r="N716" i="3"/>
  <c r="N708" i="3"/>
  <c r="N700" i="3"/>
  <c r="N692" i="3"/>
  <c r="N684" i="3"/>
  <c r="N676" i="3"/>
  <c r="N668" i="3"/>
  <c r="N660" i="3"/>
  <c r="N652" i="3"/>
  <c r="N644" i="3"/>
  <c r="N636" i="3"/>
  <c r="N628" i="3"/>
  <c r="N620" i="3"/>
  <c r="N612" i="3"/>
  <c r="N604" i="3"/>
  <c r="N596" i="3"/>
  <c r="N588" i="3"/>
  <c r="N580" i="3"/>
  <c r="N572" i="3"/>
  <c r="N564" i="3"/>
  <c r="N556" i="3"/>
  <c r="N548" i="3"/>
  <c r="N540" i="3"/>
  <c r="N532" i="3"/>
  <c r="N524" i="3"/>
  <c r="N516" i="3"/>
  <c r="N508" i="3"/>
  <c r="N500" i="3"/>
  <c r="N492" i="3"/>
  <c r="N484" i="3"/>
  <c r="N476" i="3"/>
  <c r="N468" i="3"/>
  <c r="N460" i="3"/>
  <c r="N452" i="3"/>
  <c r="N444" i="3"/>
  <c r="N436" i="3"/>
  <c r="N428" i="3"/>
  <c r="N420" i="3"/>
  <c r="N412" i="3"/>
  <c r="N404" i="3"/>
  <c r="N396" i="3"/>
  <c r="N388" i="3"/>
  <c r="N380" i="3"/>
  <c r="N372" i="3"/>
  <c r="N364" i="3"/>
  <c r="N356" i="3"/>
  <c r="N348" i="3"/>
  <c r="N340" i="3"/>
  <c r="N332" i="3"/>
  <c r="N324" i="3"/>
  <c r="N316" i="3"/>
  <c r="N308" i="3"/>
  <c r="N300" i="3"/>
  <c r="N292" i="3"/>
  <c r="N284" i="3"/>
  <c r="N276" i="3"/>
  <c r="N268" i="3"/>
  <c r="N260" i="3"/>
  <c r="N252" i="3"/>
  <c r="N244" i="3"/>
  <c r="N236" i="3"/>
  <c r="N228" i="3"/>
  <c r="N220" i="3"/>
  <c r="N212" i="3"/>
  <c r="N204" i="3"/>
  <c r="N196" i="3"/>
  <c r="N188" i="3"/>
  <c r="N180" i="3"/>
  <c r="N172" i="3"/>
  <c r="N164" i="3"/>
  <c r="N156" i="3"/>
  <c r="N148" i="3"/>
  <c r="N140" i="3"/>
  <c r="N132" i="3"/>
  <c r="N124" i="3"/>
  <c r="N116" i="3"/>
  <c r="N108" i="3"/>
  <c r="N100" i="3"/>
  <c r="N92" i="3"/>
  <c r="N84" i="3"/>
  <c r="N76" i="3"/>
  <c r="N68" i="3"/>
  <c r="N60" i="3"/>
  <c r="N52" i="3"/>
  <c r="N44" i="3"/>
  <c r="N36" i="3"/>
  <c r="N28" i="3"/>
  <c r="N20" i="3"/>
  <c r="N12" i="3"/>
  <c r="N4" i="3"/>
  <c r="L1179" i="3"/>
  <c r="L1171" i="3"/>
  <c r="L1163" i="3"/>
  <c r="L1155" i="3"/>
  <c r="L1147" i="3"/>
  <c r="L1139" i="3"/>
  <c r="L1131" i="3"/>
  <c r="L1123" i="3"/>
  <c r="L1115" i="3"/>
  <c r="L1107" i="3"/>
  <c r="L1099" i="3"/>
  <c r="L1091" i="3"/>
  <c r="L1083" i="3"/>
  <c r="L1075" i="3"/>
  <c r="L1067" i="3"/>
  <c r="L1059" i="3"/>
  <c r="L1051" i="3"/>
  <c r="L1043" i="3"/>
  <c r="L1035" i="3"/>
  <c r="L1027" i="3"/>
  <c r="L1019" i="3"/>
  <c r="L1011" i="3"/>
  <c r="L1003" i="3"/>
  <c r="L995" i="3"/>
  <c r="L987" i="3"/>
  <c r="L979" i="3"/>
  <c r="L971" i="3"/>
  <c r="L963" i="3"/>
  <c r="L955" i="3"/>
  <c r="L947" i="3"/>
  <c r="L939" i="3"/>
  <c r="L931" i="3"/>
  <c r="L923" i="3"/>
  <c r="L915" i="3"/>
  <c r="L907" i="3"/>
  <c r="L899" i="3"/>
  <c r="L891" i="3"/>
  <c r="L883" i="3"/>
  <c r="L875" i="3"/>
  <c r="L867" i="3"/>
  <c r="L859" i="3"/>
  <c r="L851" i="3"/>
  <c r="L843" i="3"/>
  <c r="L835" i="3"/>
  <c r="L827" i="3"/>
  <c r="L819" i="3"/>
  <c r="L811" i="3"/>
  <c r="L803" i="3"/>
  <c r="L795" i="3"/>
  <c r="L787" i="3"/>
  <c r="L779" i="3"/>
  <c r="L771" i="3"/>
  <c r="L763" i="3"/>
  <c r="L755" i="3"/>
  <c r="L747" i="3"/>
  <c r="L739" i="3"/>
  <c r="L731" i="3"/>
  <c r="L723" i="3"/>
  <c r="L715" i="3"/>
  <c r="L707" i="3"/>
  <c r="L699" i="3"/>
  <c r="L691" i="3"/>
  <c r="L683" i="3"/>
  <c r="L675" i="3"/>
  <c r="L667" i="3"/>
  <c r="L659" i="3"/>
  <c r="L651" i="3"/>
  <c r="L643" i="3"/>
  <c r="L635" i="3"/>
  <c r="L627" i="3"/>
  <c r="L619" i="3"/>
  <c r="L611" i="3"/>
  <c r="L603" i="3"/>
  <c r="L595" i="3"/>
  <c r="L587" i="3"/>
  <c r="L579" i="3"/>
  <c r="L571" i="3"/>
  <c r="L563" i="3"/>
  <c r="L555" i="3"/>
  <c r="L547" i="3"/>
  <c r="L539" i="3"/>
  <c r="L531" i="3"/>
  <c r="L523" i="3"/>
  <c r="L515" i="3"/>
  <c r="L507" i="3"/>
  <c r="L499" i="3"/>
  <c r="L491" i="3"/>
  <c r="L483" i="3"/>
  <c r="L475" i="3"/>
  <c r="L467" i="3"/>
  <c r="L459" i="3"/>
  <c r="L451" i="3"/>
  <c r="L443" i="3"/>
  <c r="L435" i="3"/>
  <c r="L427" i="3"/>
  <c r="L419" i="3"/>
  <c r="L411" i="3"/>
  <c r="L403" i="3"/>
  <c r="L395" i="3"/>
  <c r="L387" i="3"/>
  <c r="L379" i="3"/>
  <c r="L371" i="3"/>
  <c r="L363" i="3"/>
  <c r="L355" i="3"/>
  <c r="L347" i="3"/>
  <c r="L339" i="3"/>
  <c r="L331" i="3"/>
  <c r="L323" i="3"/>
  <c r="L315" i="3"/>
  <c r="L307" i="3"/>
  <c r="L299" i="3"/>
  <c r="L291" i="3"/>
  <c r="L283" i="3"/>
  <c r="L275" i="3"/>
  <c r="L267" i="3"/>
  <c r="L259" i="3"/>
  <c r="L251" i="3"/>
  <c r="L243" i="3"/>
  <c r="L235" i="3"/>
  <c r="L227" i="3"/>
  <c r="L219" i="3"/>
  <c r="L211" i="3"/>
  <c r="L203" i="3"/>
  <c r="L195" i="3"/>
  <c r="L187" i="3"/>
  <c r="L179" i="3"/>
  <c r="L171" i="3"/>
  <c r="L163" i="3"/>
  <c r="L155" i="3"/>
  <c r="L147" i="3"/>
  <c r="L139" i="3"/>
  <c r="L131" i="3"/>
  <c r="L123" i="3"/>
  <c r="L115" i="3"/>
  <c r="L107" i="3"/>
  <c r="L99" i="3"/>
  <c r="L91" i="3"/>
  <c r="L83" i="3"/>
  <c r="L75" i="3"/>
  <c r="L67" i="3"/>
  <c r="L59" i="3"/>
  <c r="L51" i="3"/>
  <c r="L43" i="3"/>
  <c r="L35" i="3"/>
  <c r="L27" i="3"/>
  <c r="L19" i="3"/>
  <c r="L11" i="3"/>
  <c r="L3" i="3"/>
  <c r="N1091" i="3"/>
  <c r="N1083" i="3"/>
  <c r="N1075" i="3"/>
  <c r="N1067" i="3"/>
  <c r="N1059" i="3"/>
  <c r="N1051" i="3"/>
  <c r="N1043" i="3"/>
  <c r="N1035" i="3"/>
  <c r="N1027" i="3"/>
  <c r="N1019" i="3"/>
  <c r="N1011" i="3"/>
  <c r="N1003" i="3"/>
  <c r="N995" i="3"/>
  <c r="N987" i="3"/>
  <c r="N979" i="3"/>
  <c r="N971" i="3"/>
  <c r="N963" i="3"/>
  <c r="N955" i="3"/>
  <c r="N947" i="3"/>
  <c r="N939" i="3"/>
  <c r="N931" i="3"/>
  <c r="N923" i="3"/>
  <c r="N915" i="3"/>
  <c r="N907" i="3"/>
  <c r="N899" i="3"/>
  <c r="N891" i="3"/>
  <c r="N883" i="3"/>
  <c r="N875" i="3"/>
  <c r="N867" i="3"/>
  <c r="N859" i="3"/>
  <c r="N851" i="3"/>
  <c r="N843" i="3"/>
  <c r="N835" i="3"/>
  <c r="N827" i="3"/>
  <c r="N819" i="3"/>
  <c r="N811" i="3"/>
  <c r="N803" i="3"/>
  <c r="N795" i="3"/>
  <c r="N787" i="3"/>
  <c r="N779" i="3"/>
  <c r="N771" i="3"/>
  <c r="N763" i="3"/>
  <c r="N755" i="3"/>
  <c r="N747" i="3"/>
  <c r="N739" i="3"/>
  <c r="N731" i="3"/>
  <c r="N723" i="3"/>
  <c r="N715" i="3"/>
  <c r="N707" i="3"/>
  <c r="N699" i="3"/>
  <c r="N691" i="3"/>
  <c r="N683" i="3"/>
  <c r="N675" i="3"/>
  <c r="N667" i="3"/>
  <c r="N659" i="3"/>
  <c r="N651" i="3"/>
  <c r="N643" i="3"/>
  <c r="N635" i="3"/>
  <c r="N627" i="3"/>
  <c r="N619" i="3"/>
  <c r="N611" i="3"/>
  <c r="N603" i="3"/>
  <c r="N595" i="3"/>
  <c r="N587" i="3"/>
  <c r="N579" i="3"/>
  <c r="N571" i="3"/>
  <c r="N563" i="3"/>
  <c r="N555" i="3"/>
  <c r="N547" i="3"/>
  <c r="N539" i="3"/>
  <c r="N531" i="3"/>
  <c r="N523" i="3"/>
  <c r="N515" i="3"/>
  <c r="N507" i="3"/>
  <c r="N499" i="3"/>
  <c r="N491" i="3"/>
  <c r="N483" i="3"/>
  <c r="N475" i="3"/>
  <c r="N467" i="3"/>
  <c r="N459" i="3"/>
  <c r="N451" i="3"/>
  <c r="N443" i="3"/>
  <c r="N435" i="3"/>
  <c r="N427" i="3"/>
  <c r="N419" i="3"/>
  <c r="N411" i="3"/>
  <c r="N403" i="3"/>
  <c r="N395" i="3"/>
  <c r="N387" i="3"/>
  <c r="N379" i="3"/>
  <c r="N371" i="3"/>
  <c r="N363" i="3"/>
  <c r="N355" i="3"/>
  <c r="N347" i="3"/>
  <c r="N339" i="3"/>
  <c r="N331" i="3"/>
  <c r="N323" i="3"/>
  <c r="N315" i="3"/>
  <c r="N307" i="3"/>
  <c r="N299" i="3"/>
  <c r="N291" i="3"/>
  <c r="N283" i="3"/>
  <c r="N275" i="3"/>
  <c r="N267" i="3"/>
  <c r="N259" i="3"/>
  <c r="N251" i="3"/>
  <c r="N243" i="3"/>
  <c r="N235" i="3"/>
  <c r="N227" i="3"/>
  <c r="N219" i="3"/>
  <c r="N211" i="3"/>
  <c r="N203" i="3"/>
  <c r="N195" i="3"/>
  <c r="N187" i="3"/>
  <c r="N179" i="3"/>
  <c r="N171" i="3"/>
  <c r="N163" i="3"/>
  <c r="N155" i="3"/>
  <c r="N147" i="3"/>
  <c r="N139" i="3"/>
  <c r="N131" i="3"/>
  <c r="N123" i="3"/>
  <c r="N115" i="3"/>
  <c r="N107" i="3"/>
  <c r="N99" i="3"/>
  <c r="N91" i="3"/>
  <c r="N83" i="3"/>
  <c r="N75" i="3"/>
  <c r="N67" i="3"/>
  <c r="N59" i="3"/>
  <c r="N51" i="3"/>
  <c r="N43" i="3"/>
  <c r="N35" i="3"/>
  <c r="N27" i="3"/>
  <c r="N19" i="3"/>
  <c r="N11" i="3"/>
  <c r="N3" i="3"/>
  <c r="L1250" i="3"/>
  <c r="L1242" i="3"/>
  <c r="L1234" i="3"/>
  <c r="L1226" i="3"/>
  <c r="L1218" i="3"/>
  <c r="L1210" i="3"/>
  <c r="L1202" i="3"/>
  <c r="L1194" i="3"/>
  <c r="L1186" i="3"/>
  <c r="L1178" i="3"/>
  <c r="L1170" i="3"/>
  <c r="L1162" i="3"/>
  <c r="L1154" i="3"/>
  <c r="L1146" i="3"/>
  <c r="L1138" i="3"/>
  <c r="L1130" i="3"/>
  <c r="L1122" i="3"/>
  <c r="L1114" i="3"/>
  <c r="L1106" i="3"/>
  <c r="L1098" i="3"/>
  <c r="L1090" i="3"/>
  <c r="L1082" i="3"/>
  <c r="L1074" i="3"/>
  <c r="L1066" i="3"/>
  <c r="L1058" i="3"/>
  <c r="L1050" i="3"/>
  <c r="L1042" i="3"/>
  <c r="L1034" i="3"/>
  <c r="L1026" i="3"/>
  <c r="L1018" i="3"/>
  <c r="L1010" i="3"/>
  <c r="L1002" i="3"/>
  <c r="L994" i="3"/>
  <c r="L986" i="3"/>
  <c r="L978" i="3"/>
  <c r="L970" i="3"/>
  <c r="L962" i="3"/>
  <c r="L954" i="3"/>
  <c r="L946" i="3"/>
  <c r="L938" i="3"/>
  <c r="L930" i="3"/>
  <c r="L922" i="3"/>
  <c r="L914" i="3"/>
  <c r="L906" i="3"/>
  <c r="L898" i="3"/>
  <c r="L890" i="3"/>
  <c r="L882" i="3"/>
  <c r="L874" i="3"/>
  <c r="L866" i="3"/>
  <c r="L858" i="3"/>
  <c r="L850" i="3"/>
  <c r="L842" i="3"/>
  <c r="L834" i="3"/>
  <c r="L826" i="3"/>
  <c r="L818" i="3"/>
  <c r="L810" i="3"/>
  <c r="L802" i="3"/>
  <c r="L794" i="3"/>
  <c r="L786" i="3"/>
  <c r="L778" i="3"/>
  <c r="L770" i="3"/>
  <c r="L762" i="3"/>
  <c r="L754" i="3"/>
  <c r="L746" i="3"/>
  <c r="L738" i="3"/>
  <c r="L730" i="3"/>
  <c r="L722" i="3"/>
  <c r="L714" i="3"/>
  <c r="L706" i="3"/>
  <c r="L698" i="3"/>
  <c r="L690" i="3"/>
  <c r="L682" i="3"/>
  <c r="L674" i="3"/>
  <c r="L666" i="3"/>
  <c r="L658" i="3"/>
  <c r="L650" i="3"/>
  <c r="L642" i="3"/>
  <c r="L634" i="3"/>
  <c r="L626" i="3"/>
  <c r="L618" i="3"/>
  <c r="L610" i="3"/>
  <c r="L602" i="3"/>
  <c r="L594" i="3"/>
  <c r="L586" i="3"/>
  <c r="L578" i="3"/>
  <c r="L570" i="3"/>
  <c r="L562" i="3"/>
  <c r="L554" i="3"/>
  <c r="L546" i="3"/>
  <c r="L538" i="3"/>
  <c r="L530" i="3"/>
  <c r="L522" i="3"/>
  <c r="L514" i="3"/>
  <c r="L506" i="3"/>
  <c r="L498" i="3"/>
  <c r="L490" i="3"/>
  <c r="L482" i="3"/>
  <c r="L474" i="3"/>
  <c r="L466" i="3"/>
  <c r="L458" i="3"/>
  <c r="L450" i="3"/>
  <c r="L442" i="3"/>
  <c r="L434" i="3"/>
  <c r="L426" i="3"/>
  <c r="L418" i="3"/>
  <c r="L410" i="3"/>
  <c r="L402" i="3"/>
  <c r="L394" i="3"/>
  <c r="L386" i="3"/>
  <c r="L378" i="3"/>
  <c r="L370" i="3"/>
  <c r="L362" i="3"/>
  <c r="L354" i="3"/>
  <c r="L346" i="3"/>
  <c r="L338" i="3"/>
  <c r="L330" i="3"/>
  <c r="L322" i="3"/>
  <c r="L314" i="3"/>
  <c r="L306" i="3"/>
  <c r="L298" i="3"/>
  <c r="L290" i="3"/>
  <c r="L282" i="3"/>
  <c r="L274" i="3"/>
  <c r="L266" i="3"/>
  <c r="L258" i="3"/>
  <c r="L250" i="3"/>
  <c r="L242" i="3"/>
  <c r="L234" i="3"/>
  <c r="L226" i="3"/>
  <c r="L218" i="3"/>
  <c r="L210" i="3"/>
  <c r="L202" i="3"/>
  <c r="L194" i="3"/>
  <c r="L186" i="3"/>
  <c r="L178" i="3"/>
  <c r="L170" i="3"/>
  <c r="L162" i="3"/>
  <c r="L154" i="3"/>
  <c r="L146" i="3"/>
  <c r="L138" i="3"/>
  <c r="L130" i="3"/>
  <c r="L122" i="3"/>
  <c r="L114" i="3"/>
  <c r="L106" i="3"/>
  <c r="L98" i="3"/>
  <c r="L90" i="3"/>
  <c r="L82" i="3"/>
  <c r="L74" i="3"/>
  <c r="L66" i="3"/>
  <c r="L58" i="3"/>
  <c r="L50" i="3"/>
  <c r="L42" i="3"/>
  <c r="L34" i="3"/>
  <c r="L26" i="3"/>
  <c r="L18" i="3"/>
  <c r="L10" i="3"/>
  <c r="N1090" i="3"/>
  <c r="N1082" i="3"/>
  <c r="N1074" i="3"/>
  <c r="N1066" i="3"/>
  <c r="N1058" i="3"/>
  <c r="N1050" i="3"/>
  <c r="N1042" i="3"/>
  <c r="N1034" i="3"/>
  <c r="N1026" i="3"/>
  <c r="N1018" i="3"/>
  <c r="N1010" i="3"/>
  <c r="N1002" i="3"/>
  <c r="N994" i="3"/>
  <c r="N986" i="3"/>
  <c r="N978" i="3"/>
  <c r="N970" i="3"/>
  <c r="N962" i="3"/>
  <c r="N954" i="3"/>
  <c r="N946" i="3"/>
  <c r="N938" i="3"/>
  <c r="N930" i="3"/>
  <c r="N922" i="3"/>
  <c r="N914" i="3"/>
  <c r="N906" i="3"/>
  <c r="N898" i="3"/>
  <c r="N890" i="3"/>
  <c r="N882" i="3"/>
  <c r="N874" i="3"/>
  <c r="N866" i="3"/>
  <c r="N858" i="3"/>
  <c r="N850" i="3"/>
  <c r="N842" i="3"/>
  <c r="N834" i="3"/>
  <c r="N826" i="3"/>
  <c r="N818" i="3"/>
  <c r="N810" i="3"/>
  <c r="N802" i="3"/>
  <c r="N794" i="3"/>
  <c r="N786" i="3"/>
  <c r="N778" i="3"/>
  <c r="N770" i="3"/>
  <c r="N762" i="3"/>
  <c r="N754" i="3"/>
  <c r="N746" i="3"/>
  <c r="N738" i="3"/>
  <c r="N730" i="3"/>
  <c r="N722" i="3"/>
  <c r="N714" i="3"/>
  <c r="N706" i="3"/>
  <c r="N698" i="3"/>
  <c r="N690" i="3"/>
  <c r="N682" i="3"/>
  <c r="N674" i="3"/>
  <c r="N666" i="3"/>
  <c r="N658" i="3"/>
  <c r="N650" i="3"/>
  <c r="N642" i="3"/>
  <c r="N634" i="3"/>
  <c r="N626" i="3"/>
  <c r="N618" i="3"/>
  <c r="N610" i="3"/>
  <c r="N602" i="3"/>
  <c r="N594" i="3"/>
  <c r="N586" i="3"/>
  <c r="N578" i="3"/>
  <c r="N570" i="3"/>
  <c r="N562" i="3"/>
  <c r="N554" i="3"/>
  <c r="N546" i="3"/>
  <c r="N538" i="3"/>
  <c r="N530" i="3"/>
  <c r="N522" i="3"/>
  <c r="N514" i="3"/>
  <c r="N506" i="3"/>
  <c r="N498" i="3"/>
  <c r="N490" i="3"/>
  <c r="N482" i="3"/>
  <c r="N474" i="3"/>
  <c r="N466" i="3"/>
  <c r="N458" i="3"/>
  <c r="N450" i="3"/>
  <c r="N442" i="3"/>
  <c r="N434" i="3"/>
  <c r="N426" i="3"/>
  <c r="N418" i="3"/>
  <c r="N410" i="3"/>
  <c r="N402" i="3"/>
  <c r="N394" i="3"/>
  <c r="N386" i="3"/>
  <c r="N378" i="3"/>
  <c r="N370" i="3"/>
  <c r="N362" i="3"/>
  <c r="N354" i="3"/>
  <c r="N346" i="3"/>
  <c r="N338" i="3"/>
  <c r="N330" i="3"/>
  <c r="N322" i="3"/>
  <c r="N314" i="3"/>
  <c r="N306" i="3"/>
  <c r="N298" i="3"/>
  <c r="N290" i="3"/>
  <c r="N282" i="3"/>
  <c r="N274" i="3"/>
  <c r="N266" i="3"/>
  <c r="N258" i="3"/>
  <c r="N250" i="3"/>
  <c r="N242" i="3"/>
  <c r="N234" i="3"/>
  <c r="N226" i="3"/>
  <c r="N218" i="3"/>
  <c r="N210" i="3"/>
  <c r="N202" i="3"/>
  <c r="N194" i="3"/>
  <c r="N186" i="3"/>
  <c r="N178" i="3"/>
  <c r="N170" i="3"/>
  <c r="N162" i="3"/>
  <c r="N154" i="3"/>
  <c r="N146" i="3"/>
  <c r="N138" i="3"/>
  <c r="N130" i="3"/>
  <c r="N122" i="3"/>
  <c r="N114" i="3"/>
  <c r="N106" i="3"/>
  <c r="N98" i="3"/>
  <c r="N90" i="3"/>
  <c r="N82" i="3"/>
  <c r="N74" i="3"/>
  <c r="N66" i="3"/>
  <c r="N58" i="3"/>
  <c r="N50" i="3"/>
  <c r="N42" i="3"/>
  <c r="N34" i="3"/>
  <c r="N26" i="3"/>
  <c r="N18" i="3"/>
  <c r="N10" i="3"/>
  <c r="L1129" i="3"/>
  <c r="L1121" i="3"/>
  <c r="L1113" i="3"/>
  <c r="L1105" i="3"/>
  <c r="L1097" i="3"/>
  <c r="L1089" i="3"/>
  <c r="L1081" i="3"/>
  <c r="L1073" i="3"/>
  <c r="L1065" i="3"/>
  <c r="L1057" i="3"/>
  <c r="L1049" i="3"/>
  <c r="L1041" i="3"/>
  <c r="L1033" i="3"/>
  <c r="L1025" i="3"/>
  <c r="L1017" i="3"/>
  <c r="L1009" i="3"/>
  <c r="L1001" i="3"/>
  <c r="L993" i="3"/>
  <c r="L985" i="3"/>
  <c r="L977" i="3"/>
  <c r="L969" i="3"/>
  <c r="L961" i="3"/>
  <c r="L953" i="3"/>
  <c r="L945" i="3"/>
  <c r="L937" i="3"/>
  <c r="L929" i="3"/>
  <c r="L921" i="3"/>
  <c r="L913" i="3"/>
  <c r="L905" i="3"/>
  <c r="L897" i="3"/>
  <c r="L889" i="3"/>
  <c r="L881" i="3"/>
  <c r="L873" i="3"/>
  <c r="L865" i="3"/>
  <c r="L857" i="3"/>
  <c r="L849" i="3"/>
  <c r="L841" i="3"/>
  <c r="L833" i="3"/>
  <c r="L825" i="3"/>
  <c r="L817" i="3"/>
  <c r="L809" i="3"/>
  <c r="L801" i="3"/>
  <c r="L793" i="3"/>
  <c r="L785" i="3"/>
  <c r="L777" i="3"/>
  <c r="L769" i="3"/>
  <c r="L761" i="3"/>
  <c r="L753" i="3"/>
  <c r="L745" i="3"/>
  <c r="L737" i="3"/>
  <c r="L729" i="3"/>
  <c r="L721" i="3"/>
  <c r="L713" i="3"/>
  <c r="L705" i="3"/>
  <c r="L697" i="3"/>
  <c r="L689" i="3"/>
  <c r="L681" i="3"/>
  <c r="L673" i="3"/>
  <c r="L665" i="3"/>
  <c r="L657" i="3"/>
  <c r="L649" i="3"/>
  <c r="L641" i="3"/>
  <c r="L633" i="3"/>
  <c r="L625" i="3"/>
  <c r="L617" i="3"/>
  <c r="L609" i="3"/>
  <c r="L601" i="3"/>
  <c r="L593" i="3"/>
  <c r="L585" i="3"/>
  <c r="L577" i="3"/>
  <c r="L569" i="3"/>
  <c r="L561" i="3"/>
  <c r="L553" i="3"/>
  <c r="L545" i="3"/>
  <c r="L537" i="3"/>
  <c r="L529" i="3"/>
  <c r="L521" i="3"/>
  <c r="L513" i="3"/>
  <c r="L505" i="3"/>
  <c r="L497" i="3"/>
  <c r="L489" i="3"/>
  <c r="L481" i="3"/>
  <c r="L473" i="3"/>
  <c r="L465" i="3"/>
  <c r="L457" i="3"/>
  <c r="L449" i="3"/>
  <c r="L441" i="3"/>
  <c r="L433" i="3"/>
  <c r="L425" i="3"/>
  <c r="L417" i="3"/>
  <c r="L409" i="3"/>
  <c r="L401" i="3"/>
  <c r="L393" i="3"/>
  <c r="L385" i="3"/>
  <c r="L377" i="3"/>
  <c r="L369" i="3"/>
  <c r="L361" i="3"/>
  <c r="L353" i="3"/>
  <c r="L345" i="3"/>
  <c r="L337" i="3"/>
  <c r="L329" i="3"/>
  <c r="L321" i="3"/>
  <c r="L313" i="3"/>
  <c r="L305" i="3"/>
  <c r="L297" i="3"/>
  <c r="L289" i="3"/>
  <c r="L281" i="3"/>
  <c r="L273" i="3"/>
  <c r="L265" i="3"/>
  <c r="L257" i="3"/>
  <c r="L249" i="3"/>
  <c r="L241" i="3"/>
  <c r="L233" i="3"/>
  <c r="L225" i="3"/>
  <c r="L217" i="3"/>
  <c r="L209" i="3"/>
  <c r="L201" i="3"/>
  <c r="L193" i="3"/>
  <c r="L185" i="3"/>
  <c r="L177" i="3"/>
  <c r="L169" i="3"/>
  <c r="L161" i="3"/>
  <c r="L153" i="3"/>
  <c r="L145" i="3"/>
  <c r="L137" i="3"/>
  <c r="L129" i="3"/>
  <c r="L121" i="3"/>
  <c r="L113" i="3"/>
  <c r="L105" i="3"/>
  <c r="L97" i="3"/>
  <c r="L89" i="3"/>
  <c r="L81" i="3"/>
  <c r="L73" i="3"/>
  <c r="L65" i="3"/>
  <c r="L57" i="3"/>
  <c r="L49" i="3"/>
  <c r="L41" i="3"/>
  <c r="L33" i="3"/>
  <c r="L25" i="3"/>
  <c r="L17" i="3"/>
  <c r="L9" i="3"/>
  <c r="N1089" i="3"/>
  <c r="N1081" i="3"/>
  <c r="N1073" i="3"/>
  <c r="N1065" i="3"/>
  <c r="N1057" i="3"/>
  <c r="N1049" i="3"/>
  <c r="N1041" i="3"/>
  <c r="N1033" i="3"/>
  <c r="N1025" i="3"/>
  <c r="N1017" i="3"/>
  <c r="N1009" i="3"/>
  <c r="N1001" i="3"/>
  <c r="N993" i="3"/>
  <c r="N985" i="3"/>
  <c r="N977" i="3"/>
  <c r="N969" i="3"/>
  <c r="N961" i="3"/>
  <c r="N953" i="3"/>
  <c r="N945" i="3"/>
  <c r="N937" i="3"/>
  <c r="N929" i="3"/>
  <c r="N921" i="3"/>
  <c r="N913" i="3"/>
  <c r="N905" i="3"/>
  <c r="N897" i="3"/>
  <c r="N889" i="3"/>
  <c r="N881" i="3"/>
  <c r="N873" i="3"/>
  <c r="N865" i="3"/>
  <c r="N857" i="3"/>
  <c r="N849" i="3"/>
  <c r="N841" i="3"/>
  <c r="N833" i="3"/>
  <c r="N825" i="3"/>
  <c r="N817" i="3"/>
  <c r="N809" i="3"/>
  <c r="N801" i="3"/>
  <c r="N793" i="3"/>
  <c r="N785" i="3"/>
  <c r="N777" i="3"/>
  <c r="N769" i="3"/>
  <c r="N761" i="3"/>
  <c r="N753" i="3"/>
  <c r="N745" i="3"/>
  <c r="N737" i="3"/>
  <c r="N729" i="3"/>
  <c r="N721" i="3"/>
  <c r="N713" i="3"/>
  <c r="N705" i="3"/>
  <c r="N697" i="3"/>
  <c r="N689" i="3"/>
  <c r="N681" i="3"/>
  <c r="N673" i="3"/>
  <c r="N665" i="3"/>
  <c r="N657" i="3"/>
  <c r="N649" i="3"/>
  <c r="N641" i="3"/>
  <c r="N633" i="3"/>
  <c r="N625" i="3"/>
  <c r="N617" i="3"/>
  <c r="N609" i="3"/>
  <c r="N601" i="3"/>
  <c r="N593" i="3"/>
  <c r="N585" i="3"/>
  <c r="N577" i="3"/>
  <c r="N569" i="3"/>
  <c r="N561" i="3"/>
  <c r="N553" i="3"/>
  <c r="N545" i="3"/>
  <c r="N537" i="3"/>
  <c r="N529" i="3"/>
  <c r="N521" i="3"/>
  <c r="N513" i="3"/>
  <c r="N505" i="3"/>
  <c r="N497" i="3"/>
  <c r="N489" i="3"/>
  <c r="N481" i="3"/>
  <c r="N473" i="3"/>
  <c r="N465" i="3"/>
  <c r="N457" i="3"/>
  <c r="N449" i="3"/>
  <c r="N441" i="3"/>
  <c r="N433" i="3"/>
  <c r="N425" i="3"/>
  <c r="N417" i="3"/>
  <c r="N409" i="3"/>
  <c r="N401" i="3"/>
  <c r="N393" i="3"/>
  <c r="N385" i="3"/>
  <c r="N377" i="3"/>
  <c r="N369" i="3"/>
  <c r="N361" i="3"/>
  <c r="N353" i="3"/>
  <c r="N345" i="3"/>
  <c r="N337" i="3"/>
  <c r="N329" i="3"/>
  <c r="N321" i="3"/>
  <c r="N313" i="3"/>
  <c r="N305" i="3"/>
  <c r="N297" i="3"/>
  <c r="N289" i="3"/>
  <c r="N281" i="3"/>
  <c r="N273" i="3"/>
  <c r="N265" i="3"/>
  <c r="N257" i="3"/>
  <c r="N249" i="3"/>
  <c r="N241" i="3"/>
  <c r="N233" i="3"/>
  <c r="N225" i="3"/>
  <c r="N217" i="3"/>
  <c r="N209" i="3"/>
  <c r="N201" i="3"/>
  <c r="N193" i="3"/>
  <c r="N185" i="3"/>
  <c r="N177" i="3"/>
  <c r="N169" i="3"/>
  <c r="N161" i="3"/>
  <c r="N153" i="3"/>
  <c r="N145" i="3"/>
  <c r="N137" i="3"/>
  <c r="N129" i="3"/>
  <c r="N121" i="3"/>
  <c r="N113" i="3"/>
  <c r="N105" i="3"/>
  <c r="N97" i="3"/>
  <c r="N89" i="3"/>
  <c r="N81" i="3"/>
  <c r="N73" i="3"/>
  <c r="N65" i="3"/>
  <c r="N57" i="3"/>
  <c r="N49" i="3"/>
  <c r="N41" i="3"/>
  <c r="N33" i="3"/>
  <c r="N25" i="3"/>
  <c r="N17" i="3"/>
  <c r="N9" i="3"/>
  <c r="L1064" i="3"/>
  <c r="L1056" i="3"/>
  <c r="L1048" i="3"/>
  <c r="L1040" i="3"/>
  <c r="L1032" i="3"/>
  <c r="L1024" i="3"/>
  <c r="L1016" i="3"/>
  <c r="L1008" i="3"/>
  <c r="L1000" i="3"/>
  <c r="L992" i="3"/>
  <c r="L984" i="3"/>
  <c r="L976" i="3"/>
  <c r="L968" i="3"/>
  <c r="L960" i="3"/>
  <c r="L952" i="3"/>
  <c r="L944" i="3"/>
  <c r="L936" i="3"/>
  <c r="L928" i="3"/>
  <c r="L920" i="3"/>
  <c r="L912" i="3"/>
  <c r="L904" i="3"/>
  <c r="L896" i="3"/>
  <c r="L888" i="3"/>
  <c r="L880" i="3"/>
  <c r="L872" i="3"/>
  <c r="L864" i="3"/>
  <c r="L856" i="3"/>
  <c r="L848" i="3"/>
  <c r="L840" i="3"/>
  <c r="L832" i="3"/>
  <c r="L824" i="3"/>
  <c r="L816" i="3"/>
  <c r="L808" i="3"/>
  <c r="L800" i="3"/>
  <c r="L792" i="3"/>
  <c r="L784" i="3"/>
  <c r="L776" i="3"/>
  <c r="L768" i="3"/>
  <c r="L760" i="3"/>
  <c r="L752" i="3"/>
  <c r="L744" i="3"/>
  <c r="L736" i="3"/>
  <c r="L728" i="3"/>
  <c r="L720" i="3"/>
  <c r="L712" i="3"/>
  <c r="L704" i="3"/>
  <c r="L696" i="3"/>
  <c r="L688" i="3"/>
  <c r="L680" i="3"/>
  <c r="L672" i="3"/>
  <c r="L664" i="3"/>
  <c r="L656" i="3"/>
  <c r="L648" i="3"/>
  <c r="L640" i="3"/>
  <c r="L632" i="3"/>
  <c r="L624" i="3"/>
  <c r="L616" i="3"/>
  <c r="L608" i="3"/>
  <c r="L600" i="3"/>
  <c r="L592" i="3"/>
  <c r="L584" i="3"/>
  <c r="L576" i="3"/>
  <c r="L568" i="3"/>
  <c r="L560" i="3"/>
  <c r="L552" i="3"/>
  <c r="L544" i="3"/>
  <c r="L536" i="3"/>
  <c r="L528" i="3"/>
  <c r="L520" i="3"/>
  <c r="L512" i="3"/>
  <c r="L504" i="3"/>
  <c r="L496" i="3"/>
  <c r="L488" i="3"/>
  <c r="L480" i="3"/>
  <c r="L472" i="3"/>
  <c r="L464" i="3"/>
  <c r="L456" i="3"/>
  <c r="L448" i="3"/>
  <c r="L440" i="3"/>
  <c r="L432" i="3"/>
  <c r="L424" i="3"/>
  <c r="L416" i="3"/>
  <c r="L408" i="3"/>
  <c r="L400" i="3"/>
  <c r="L392" i="3"/>
  <c r="L384" i="3"/>
  <c r="L376" i="3"/>
  <c r="L368" i="3"/>
  <c r="L360" i="3"/>
  <c r="L352" i="3"/>
  <c r="L344" i="3"/>
  <c r="L336" i="3"/>
  <c r="L328" i="3"/>
  <c r="L320" i="3"/>
  <c r="L312" i="3"/>
  <c r="L304" i="3"/>
  <c r="L296" i="3"/>
  <c r="L288" i="3"/>
  <c r="L280" i="3"/>
  <c r="L272" i="3"/>
  <c r="L264" i="3"/>
  <c r="L256" i="3"/>
  <c r="L248" i="3"/>
  <c r="L240" i="3"/>
  <c r="L232" i="3"/>
  <c r="L224" i="3"/>
  <c r="L216" i="3"/>
  <c r="L208" i="3"/>
  <c r="L200" i="3"/>
  <c r="L192" i="3"/>
  <c r="L184" i="3"/>
  <c r="L176" i="3"/>
  <c r="L168" i="3"/>
  <c r="L160" i="3"/>
  <c r="L152" i="3"/>
  <c r="L144" i="3"/>
  <c r="L136" i="3"/>
  <c r="L128" i="3"/>
  <c r="L120" i="3"/>
  <c r="L112" i="3"/>
  <c r="L104" i="3"/>
  <c r="L96" i="3"/>
  <c r="L88" i="3"/>
  <c r="L80" i="3"/>
  <c r="L72" i="3"/>
  <c r="L64" i="3"/>
  <c r="L56" i="3"/>
  <c r="L48" i="3"/>
  <c r="L40" i="3"/>
  <c r="L32" i="3"/>
  <c r="L24" i="3"/>
  <c r="L16" i="3"/>
  <c r="L8" i="3"/>
  <c r="N1088" i="3"/>
  <c r="N1080" i="3"/>
  <c r="N1072" i="3"/>
  <c r="N1064" i="3"/>
  <c r="N1056" i="3"/>
  <c r="N1048" i="3"/>
  <c r="N1040" i="3"/>
  <c r="N1032" i="3"/>
  <c r="N1024" i="3"/>
  <c r="N1016" i="3"/>
  <c r="N1008" i="3"/>
  <c r="N1000" i="3"/>
  <c r="N992" i="3"/>
  <c r="N984" i="3"/>
  <c r="N976" i="3"/>
  <c r="N968" i="3"/>
  <c r="N960" i="3"/>
  <c r="N952" i="3"/>
  <c r="N944" i="3"/>
  <c r="N936" i="3"/>
  <c r="N928" i="3"/>
  <c r="N920" i="3"/>
  <c r="N912" i="3"/>
  <c r="N904" i="3"/>
  <c r="N896" i="3"/>
  <c r="N888" i="3"/>
  <c r="N880" i="3"/>
  <c r="N872" i="3"/>
  <c r="N864" i="3"/>
  <c r="N856" i="3"/>
  <c r="N848" i="3"/>
  <c r="N840" i="3"/>
  <c r="N832" i="3"/>
  <c r="N824" i="3"/>
  <c r="N816" i="3"/>
  <c r="N808" i="3"/>
  <c r="N800" i="3"/>
  <c r="N792" i="3"/>
  <c r="N784" i="3"/>
  <c r="N776" i="3"/>
  <c r="N768" i="3"/>
  <c r="N760" i="3"/>
  <c r="N752" i="3"/>
  <c r="N744" i="3"/>
  <c r="N736" i="3"/>
  <c r="N728" i="3"/>
  <c r="N720" i="3"/>
  <c r="N712" i="3"/>
  <c r="N704" i="3"/>
  <c r="N696" i="3"/>
  <c r="N688" i="3"/>
  <c r="N680" i="3"/>
  <c r="N672" i="3"/>
  <c r="N664" i="3"/>
  <c r="N656" i="3"/>
  <c r="N648" i="3"/>
  <c r="N640" i="3"/>
  <c r="N632" i="3"/>
  <c r="N624" i="3"/>
  <c r="N616" i="3"/>
  <c r="N608" i="3"/>
  <c r="N600" i="3"/>
  <c r="N592" i="3"/>
  <c r="N584" i="3"/>
  <c r="N576" i="3"/>
  <c r="N568" i="3"/>
  <c r="N560" i="3"/>
  <c r="N552" i="3"/>
  <c r="N544" i="3"/>
  <c r="N536" i="3"/>
  <c r="N528" i="3"/>
  <c r="N520" i="3"/>
  <c r="N512" i="3"/>
  <c r="N504" i="3"/>
  <c r="N496" i="3"/>
  <c r="N488" i="3"/>
  <c r="N480" i="3"/>
  <c r="N472" i="3"/>
  <c r="N464" i="3"/>
  <c r="N456" i="3"/>
  <c r="N448" i="3"/>
  <c r="N440" i="3"/>
  <c r="N432" i="3"/>
  <c r="N424" i="3"/>
  <c r="N416" i="3"/>
  <c r="N408" i="3"/>
  <c r="N400" i="3"/>
  <c r="N392" i="3"/>
  <c r="N384" i="3"/>
  <c r="N376" i="3"/>
  <c r="N368" i="3"/>
  <c r="N360" i="3"/>
  <c r="N352" i="3"/>
  <c r="N344" i="3"/>
  <c r="N336" i="3"/>
  <c r="N328" i="3"/>
  <c r="N320" i="3"/>
  <c r="N312" i="3"/>
  <c r="N304" i="3"/>
  <c r="N296" i="3"/>
  <c r="N288" i="3"/>
  <c r="N280" i="3"/>
  <c r="N272" i="3"/>
  <c r="N264" i="3"/>
  <c r="N256" i="3"/>
  <c r="N248" i="3"/>
  <c r="N240" i="3"/>
  <c r="N232" i="3"/>
  <c r="N224" i="3"/>
  <c r="N216" i="3"/>
  <c r="N208" i="3"/>
  <c r="N200" i="3"/>
  <c r="N192" i="3"/>
  <c r="N184" i="3"/>
  <c r="N176" i="3"/>
  <c r="N168" i="3"/>
  <c r="N160" i="3"/>
  <c r="N152" i="3"/>
  <c r="N144" i="3"/>
  <c r="N136" i="3"/>
  <c r="N128" i="3"/>
  <c r="N120" i="3"/>
  <c r="N112" i="3"/>
  <c r="N104" i="3"/>
  <c r="N96" i="3"/>
  <c r="N88" i="3"/>
  <c r="N80" i="3"/>
  <c r="N72" i="3"/>
  <c r="N64" i="3"/>
  <c r="N56" i="3"/>
  <c r="N48" i="3"/>
  <c r="N40" i="3"/>
  <c r="N32" i="3"/>
  <c r="N24" i="3"/>
  <c r="N16" i="3"/>
  <c r="N8" i="3"/>
  <c r="L447" i="3"/>
  <c r="L439" i="3"/>
  <c r="L431" i="3"/>
  <c r="L423" i="3"/>
  <c r="L415" i="3"/>
  <c r="L407" i="3"/>
  <c r="L399" i="3"/>
  <c r="L391" i="3"/>
  <c r="L383" i="3"/>
  <c r="L375" i="3"/>
  <c r="L367" i="3"/>
  <c r="L359" i="3"/>
  <c r="L351" i="3"/>
  <c r="L343" i="3"/>
  <c r="L335" i="3"/>
  <c r="L327" i="3"/>
  <c r="L319" i="3"/>
  <c r="L311" i="3"/>
  <c r="L303" i="3"/>
  <c r="L295" i="3"/>
  <c r="L287" i="3"/>
  <c r="L279" i="3"/>
  <c r="L271" i="3"/>
  <c r="L263" i="3"/>
  <c r="L255" i="3"/>
  <c r="L247" i="3"/>
  <c r="L239" i="3"/>
  <c r="L231" i="3"/>
  <c r="L223" i="3"/>
  <c r="L215" i="3"/>
  <c r="L207" i="3"/>
  <c r="L199" i="3"/>
  <c r="L191" i="3"/>
  <c r="L183" i="3"/>
  <c r="L175" i="3"/>
  <c r="L167" i="3"/>
  <c r="L159" i="3"/>
  <c r="L151" i="3"/>
  <c r="L143" i="3"/>
  <c r="L135" i="3"/>
  <c r="L127" i="3"/>
  <c r="L119" i="3"/>
  <c r="L111" i="3"/>
  <c r="L103" i="3"/>
  <c r="L95" i="3"/>
  <c r="L87" i="3"/>
  <c r="L79" i="3"/>
  <c r="L71" i="3"/>
  <c r="L63" i="3"/>
  <c r="L55" i="3"/>
  <c r="L47" i="3"/>
  <c r="L39" i="3"/>
  <c r="L31" i="3"/>
  <c r="L23" i="3"/>
  <c r="L15" i="3"/>
  <c r="L7" i="3"/>
  <c r="N1095" i="3"/>
  <c r="N1087" i="3"/>
  <c r="N1079" i="3"/>
  <c r="N1071" i="3"/>
  <c r="N1063" i="3"/>
  <c r="N1055" i="3"/>
  <c r="N1047" i="3"/>
  <c r="N1039" i="3"/>
  <c r="N1031" i="3"/>
  <c r="N1023" i="3"/>
  <c r="N1015" i="3"/>
  <c r="N1007" i="3"/>
  <c r="N999" i="3"/>
  <c r="N991" i="3"/>
  <c r="N983" i="3"/>
  <c r="N975" i="3"/>
  <c r="N967" i="3"/>
  <c r="N959" i="3"/>
  <c r="N951" i="3"/>
  <c r="N943" i="3"/>
  <c r="N935" i="3"/>
  <c r="N927" i="3"/>
  <c r="N919" i="3"/>
  <c r="N911" i="3"/>
  <c r="N903" i="3"/>
  <c r="N895" i="3"/>
  <c r="N887" i="3"/>
  <c r="N879" i="3"/>
  <c r="N871" i="3"/>
  <c r="N863" i="3"/>
  <c r="N855" i="3"/>
  <c r="N847" i="3"/>
  <c r="N839" i="3"/>
  <c r="N831" i="3"/>
  <c r="N823" i="3"/>
  <c r="N815" i="3"/>
  <c r="N807" i="3"/>
  <c r="N799" i="3"/>
  <c r="N791" i="3"/>
  <c r="N783" i="3"/>
  <c r="N775" i="3"/>
  <c r="N767" i="3"/>
  <c r="N759" i="3"/>
  <c r="N751" i="3"/>
  <c r="N743" i="3"/>
  <c r="N735" i="3"/>
  <c r="N727" i="3"/>
  <c r="N719" i="3"/>
  <c r="N711" i="3"/>
  <c r="N703" i="3"/>
  <c r="N695" i="3"/>
  <c r="N687" i="3"/>
  <c r="N679" i="3"/>
  <c r="N671" i="3"/>
  <c r="N663" i="3"/>
  <c r="N655" i="3"/>
  <c r="N647" i="3"/>
  <c r="N639" i="3"/>
  <c r="N631" i="3"/>
  <c r="N623" i="3"/>
  <c r="N615" i="3"/>
  <c r="N607" i="3"/>
  <c r="N599" i="3"/>
  <c r="N591" i="3"/>
  <c r="N583" i="3"/>
  <c r="N575" i="3"/>
  <c r="N567" i="3"/>
  <c r="N559" i="3"/>
  <c r="N551" i="3"/>
  <c r="N543" i="3"/>
  <c r="N535" i="3"/>
  <c r="N527" i="3"/>
  <c r="N519" i="3"/>
  <c r="N511" i="3"/>
  <c r="N503" i="3"/>
  <c r="N495" i="3"/>
  <c r="N487" i="3"/>
  <c r="N479" i="3"/>
  <c r="N471" i="3"/>
  <c r="N463" i="3"/>
  <c r="N455" i="3"/>
  <c r="N447" i="3"/>
  <c r="N439" i="3"/>
  <c r="N431" i="3"/>
  <c r="N423" i="3"/>
  <c r="N415" i="3"/>
  <c r="N407" i="3"/>
  <c r="N399" i="3"/>
  <c r="N391" i="3"/>
  <c r="N383" i="3"/>
  <c r="N375" i="3"/>
  <c r="N367" i="3"/>
  <c r="N359" i="3"/>
  <c r="N351" i="3"/>
  <c r="N343" i="3"/>
  <c r="N335" i="3"/>
  <c r="N327" i="3"/>
  <c r="N319" i="3"/>
  <c r="N311" i="3"/>
  <c r="N303" i="3"/>
  <c r="N295" i="3"/>
  <c r="N287" i="3"/>
  <c r="N279" i="3"/>
  <c r="N271" i="3"/>
  <c r="N263" i="3"/>
  <c r="N255" i="3"/>
  <c r="N247" i="3"/>
  <c r="N239" i="3"/>
  <c r="N231" i="3"/>
  <c r="N223" i="3"/>
  <c r="N215" i="3"/>
  <c r="N207" i="3"/>
  <c r="N199" i="3"/>
  <c r="N191" i="3"/>
  <c r="N183" i="3"/>
  <c r="N175" i="3"/>
  <c r="N167" i="3"/>
  <c r="N159" i="3"/>
  <c r="N151" i="3"/>
  <c r="N143" i="3"/>
  <c r="N135" i="3"/>
  <c r="N127" i="3"/>
  <c r="N119" i="3"/>
  <c r="N111" i="3"/>
  <c r="N103" i="3"/>
  <c r="N95" i="3"/>
  <c r="N87" i="3"/>
  <c r="N79" i="3"/>
  <c r="N71" i="3"/>
  <c r="N63" i="3"/>
  <c r="N55" i="3"/>
  <c r="N47" i="3"/>
  <c r="N39" i="3"/>
  <c r="N31" i="3"/>
  <c r="N23" i="3"/>
  <c r="N15" i="3"/>
  <c r="N7" i="3"/>
  <c r="O15" i="3" l="1"/>
  <c r="O3" i="3"/>
  <c r="O4" i="3"/>
  <c r="O5" i="3"/>
  <c r="O6" i="3"/>
  <c r="O7" i="3"/>
  <c r="O8" i="3"/>
  <c r="O9" i="3"/>
  <c r="O10" i="3"/>
  <c r="O11" i="3"/>
  <c r="O12" i="3"/>
  <c r="O13" i="3"/>
  <c r="O14"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B3" i="3"/>
  <c r="B4" i="3"/>
  <c r="B5" i="3"/>
  <c r="B6" i="3"/>
  <c r="B7" i="3"/>
  <c r="B8" i="3"/>
  <c r="B9" i="3"/>
  <c r="B10" i="3"/>
  <c r="B11" i="3"/>
  <c r="B12" i="3"/>
  <c r="D12" i="3" s="1"/>
  <c r="B13" i="3"/>
  <c r="D13" i="3" s="1"/>
  <c r="B14" i="3"/>
  <c r="D14" i="3" s="1"/>
  <c r="B15" i="3"/>
  <c r="D15" i="3" s="1"/>
  <c r="B16" i="3"/>
  <c r="D16" i="3" s="1"/>
  <c r="B17" i="3"/>
  <c r="D17" i="3" s="1"/>
  <c r="B18" i="3"/>
  <c r="D18" i="3" s="1"/>
  <c r="B19" i="3"/>
  <c r="D19" i="3" s="1"/>
  <c r="B20" i="3"/>
  <c r="D20" i="3" s="1"/>
  <c r="B21" i="3"/>
  <c r="D21" i="3" s="1"/>
  <c r="B22" i="3"/>
  <c r="D22" i="3" s="1"/>
  <c r="B23" i="3"/>
  <c r="D23" i="3" s="1"/>
  <c r="B24" i="3"/>
  <c r="D24" i="3" s="1"/>
  <c r="B25" i="3"/>
  <c r="D25" i="3" s="1"/>
  <c r="B26" i="3"/>
  <c r="D26" i="3" s="1"/>
  <c r="B27" i="3"/>
  <c r="D27" i="3" s="1"/>
  <c r="B28" i="3"/>
  <c r="D28" i="3" s="1"/>
  <c r="B29" i="3"/>
  <c r="D29" i="3" s="1"/>
  <c r="B30" i="3"/>
  <c r="D30" i="3" s="1"/>
  <c r="B31" i="3"/>
  <c r="D31" i="3" s="1"/>
  <c r="B32" i="3"/>
  <c r="D32" i="3" s="1"/>
  <c r="B33" i="3"/>
  <c r="D33" i="3" s="1"/>
  <c r="B34" i="3"/>
  <c r="D34" i="3" s="1"/>
  <c r="B35" i="3"/>
  <c r="D35" i="3" s="1"/>
  <c r="B36" i="3"/>
  <c r="D36" i="3" s="1"/>
  <c r="B37" i="3"/>
  <c r="D37" i="3" s="1"/>
  <c r="B38" i="3"/>
  <c r="D38" i="3" s="1"/>
  <c r="B39" i="3"/>
  <c r="D39" i="3" s="1"/>
  <c r="B40" i="3"/>
  <c r="D40" i="3" s="1"/>
  <c r="B41" i="3"/>
  <c r="D41" i="3" s="1"/>
  <c r="B42" i="3"/>
  <c r="D42" i="3" s="1"/>
  <c r="B43" i="3"/>
  <c r="D43" i="3" s="1"/>
  <c r="B44" i="3"/>
  <c r="D44" i="3" s="1"/>
  <c r="B45" i="3"/>
  <c r="D45" i="3" s="1"/>
  <c r="B46" i="3"/>
  <c r="D46" i="3" s="1"/>
  <c r="B47" i="3"/>
  <c r="D47" i="3" s="1"/>
  <c r="B48" i="3"/>
  <c r="D48" i="3" s="1"/>
  <c r="B49" i="3"/>
  <c r="D49" i="3" s="1"/>
  <c r="B50" i="3"/>
  <c r="D50" i="3" s="1"/>
  <c r="B51" i="3"/>
  <c r="D51" i="3" s="1"/>
  <c r="B52" i="3"/>
  <c r="D52" i="3" s="1"/>
  <c r="B53" i="3"/>
  <c r="D53" i="3" s="1"/>
  <c r="B54" i="3"/>
  <c r="D54" i="3" s="1"/>
  <c r="B55" i="3"/>
  <c r="D55" i="3" s="1"/>
  <c r="B56" i="3"/>
  <c r="D56" i="3" s="1"/>
  <c r="B57" i="3"/>
  <c r="D57" i="3" s="1"/>
  <c r="B58" i="3"/>
  <c r="D58" i="3" s="1"/>
  <c r="B59" i="3"/>
  <c r="D59" i="3" s="1"/>
  <c r="B60" i="3"/>
  <c r="D60" i="3" s="1"/>
  <c r="B61" i="3"/>
  <c r="D61" i="3" s="1"/>
  <c r="B62" i="3"/>
  <c r="D62" i="3" s="1"/>
  <c r="B63" i="3"/>
  <c r="D63" i="3" s="1"/>
  <c r="B64" i="3"/>
  <c r="D64" i="3" s="1"/>
  <c r="B65" i="3"/>
  <c r="D65" i="3" s="1"/>
  <c r="B66" i="3"/>
  <c r="D66" i="3" s="1"/>
  <c r="B67" i="3"/>
  <c r="D67" i="3" s="1"/>
  <c r="B68" i="3"/>
  <c r="D68" i="3" s="1"/>
  <c r="B69" i="3"/>
  <c r="D69" i="3" s="1"/>
  <c r="B70" i="3"/>
  <c r="D70" i="3" s="1"/>
  <c r="B71" i="3"/>
  <c r="D71" i="3" s="1"/>
  <c r="B72" i="3"/>
  <c r="D72" i="3" s="1"/>
  <c r="B73" i="3"/>
  <c r="D73" i="3" s="1"/>
  <c r="B74" i="3"/>
  <c r="D74" i="3" s="1"/>
  <c r="B75" i="3"/>
  <c r="D75" i="3" s="1"/>
  <c r="B76" i="3"/>
  <c r="D76" i="3" s="1"/>
  <c r="B77" i="3"/>
  <c r="D77" i="3" s="1"/>
  <c r="B78" i="3"/>
  <c r="D78" i="3" s="1"/>
  <c r="B79" i="3"/>
  <c r="D79" i="3" s="1"/>
  <c r="B80" i="3"/>
  <c r="D80" i="3" s="1"/>
  <c r="B81" i="3"/>
  <c r="D81" i="3" s="1"/>
  <c r="B82" i="3"/>
  <c r="D82" i="3" s="1"/>
  <c r="B83" i="3"/>
  <c r="D83" i="3" s="1"/>
  <c r="B84" i="3"/>
  <c r="D84" i="3" s="1"/>
  <c r="B85" i="3"/>
  <c r="D85" i="3" s="1"/>
  <c r="B86" i="3"/>
  <c r="D86" i="3" s="1"/>
  <c r="B87" i="3"/>
  <c r="D87" i="3" s="1"/>
  <c r="B88" i="3"/>
  <c r="D88" i="3" s="1"/>
  <c r="B89" i="3"/>
  <c r="D89" i="3" s="1"/>
  <c r="B90" i="3"/>
  <c r="D90" i="3" s="1"/>
  <c r="B91" i="3"/>
  <c r="D91" i="3" s="1"/>
  <c r="B92" i="3"/>
  <c r="D92" i="3" s="1"/>
  <c r="B93" i="3"/>
  <c r="D93" i="3" s="1"/>
  <c r="B94" i="3"/>
  <c r="D94" i="3" s="1"/>
  <c r="B95" i="3"/>
  <c r="D95" i="3" s="1"/>
  <c r="B96" i="3"/>
  <c r="D96" i="3" s="1"/>
  <c r="B97" i="3"/>
  <c r="D97" i="3" s="1"/>
  <c r="B98" i="3"/>
  <c r="D98" i="3" s="1"/>
  <c r="B99" i="3"/>
  <c r="D99" i="3" s="1"/>
  <c r="B100" i="3"/>
  <c r="D100" i="3" s="1"/>
  <c r="B101" i="3"/>
  <c r="D101" i="3" s="1"/>
  <c r="B102" i="3"/>
  <c r="D102" i="3" s="1"/>
  <c r="B103" i="3"/>
  <c r="D103" i="3" s="1"/>
  <c r="B104" i="3"/>
  <c r="D104" i="3" s="1"/>
  <c r="B105" i="3"/>
  <c r="D105" i="3" s="1"/>
  <c r="B106" i="3"/>
  <c r="D106" i="3" s="1"/>
  <c r="B107" i="3"/>
  <c r="D107" i="3" s="1"/>
  <c r="B108" i="3"/>
  <c r="D108" i="3" s="1"/>
  <c r="B109" i="3"/>
  <c r="D109" i="3" s="1"/>
  <c r="B110" i="3"/>
  <c r="D110" i="3" s="1"/>
  <c r="B111" i="3"/>
  <c r="D111" i="3" s="1"/>
  <c r="B112" i="3"/>
  <c r="D112" i="3" s="1"/>
  <c r="B113" i="3"/>
  <c r="D113" i="3" s="1"/>
  <c r="B114" i="3"/>
  <c r="D114" i="3" s="1"/>
  <c r="B115" i="3"/>
  <c r="D115" i="3" s="1"/>
  <c r="B116" i="3"/>
  <c r="D116" i="3" s="1"/>
  <c r="B117" i="3"/>
  <c r="D117" i="3" s="1"/>
  <c r="B118" i="3"/>
  <c r="D118" i="3" s="1"/>
  <c r="B119" i="3"/>
  <c r="D119" i="3" s="1"/>
  <c r="B120" i="3"/>
  <c r="D120" i="3" s="1"/>
  <c r="B121" i="3"/>
  <c r="D121" i="3" s="1"/>
  <c r="B122" i="3"/>
  <c r="D122" i="3" s="1"/>
  <c r="B123" i="3"/>
  <c r="D123" i="3" s="1"/>
  <c r="B124" i="3"/>
  <c r="D124" i="3" s="1"/>
  <c r="B125" i="3"/>
  <c r="D125" i="3" s="1"/>
  <c r="B126" i="3"/>
  <c r="D126" i="3" s="1"/>
  <c r="B127" i="3"/>
  <c r="D127" i="3" s="1"/>
  <c r="B128" i="3"/>
  <c r="D128" i="3" s="1"/>
  <c r="B129" i="3"/>
  <c r="D129" i="3" s="1"/>
  <c r="B130" i="3"/>
  <c r="D130" i="3" s="1"/>
  <c r="B131" i="3"/>
  <c r="D131" i="3" s="1"/>
  <c r="B132" i="3"/>
  <c r="D132" i="3" s="1"/>
  <c r="B133" i="3"/>
  <c r="D133" i="3" s="1"/>
  <c r="B134" i="3"/>
  <c r="D134" i="3" s="1"/>
  <c r="B135" i="3"/>
  <c r="D135" i="3" s="1"/>
  <c r="B136" i="3"/>
  <c r="D136" i="3" s="1"/>
  <c r="B137" i="3"/>
  <c r="D137" i="3" s="1"/>
  <c r="B138" i="3"/>
  <c r="D138" i="3" s="1"/>
  <c r="B139" i="3"/>
  <c r="D139" i="3" s="1"/>
  <c r="B140" i="3"/>
  <c r="D140" i="3" s="1"/>
  <c r="B141" i="3"/>
  <c r="D141" i="3" s="1"/>
  <c r="B142" i="3"/>
  <c r="D142" i="3" s="1"/>
  <c r="B143" i="3"/>
  <c r="D143" i="3" s="1"/>
  <c r="B144" i="3"/>
  <c r="D144" i="3" s="1"/>
  <c r="B145" i="3"/>
  <c r="D145" i="3" s="1"/>
  <c r="B146" i="3"/>
  <c r="D146" i="3" s="1"/>
  <c r="B147" i="3"/>
  <c r="D147" i="3" s="1"/>
  <c r="B148" i="3"/>
  <c r="D148" i="3" s="1"/>
  <c r="B149" i="3"/>
  <c r="D149" i="3" s="1"/>
  <c r="B150" i="3"/>
  <c r="D150" i="3" s="1"/>
  <c r="B151" i="3"/>
  <c r="D151" i="3" s="1"/>
  <c r="B152" i="3"/>
  <c r="D152" i="3" s="1"/>
  <c r="B153" i="3"/>
  <c r="D153" i="3" s="1"/>
  <c r="B154" i="3"/>
  <c r="D154" i="3" s="1"/>
  <c r="B155" i="3"/>
  <c r="D155" i="3" s="1"/>
  <c r="B156" i="3"/>
  <c r="D156" i="3" s="1"/>
  <c r="B157" i="3"/>
  <c r="D157" i="3" s="1"/>
  <c r="B158" i="3"/>
  <c r="D158" i="3" s="1"/>
  <c r="B159" i="3"/>
  <c r="D159" i="3" s="1"/>
  <c r="B160" i="3"/>
  <c r="D160" i="3" s="1"/>
  <c r="B161" i="3"/>
  <c r="D161" i="3" s="1"/>
  <c r="B162" i="3"/>
  <c r="D162" i="3" s="1"/>
  <c r="B163" i="3"/>
  <c r="D163" i="3" s="1"/>
  <c r="B164" i="3"/>
  <c r="D164" i="3" s="1"/>
  <c r="B165" i="3"/>
  <c r="D165" i="3" s="1"/>
  <c r="B166" i="3"/>
  <c r="D166" i="3" s="1"/>
  <c r="B167" i="3"/>
  <c r="D167" i="3" s="1"/>
  <c r="B168" i="3"/>
  <c r="D168" i="3" s="1"/>
  <c r="B169" i="3"/>
  <c r="D169" i="3" s="1"/>
  <c r="B170" i="3"/>
  <c r="D170" i="3" s="1"/>
  <c r="B171" i="3"/>
  <c r="D171" i="3" s="1"/>
  <c r="B172" i="3"/>
  <c r="D172" i="3" s="1"/>
  <c r="B173" i="3"/>
  <c r="D173" i="3" s="1"/>
  <c r="B174" i="3"/>
  <c r="D174" i="3" s="1"/>
  <c r="B175" i="3"/>
  <c r="D175" i="3" s="1"/>
  <c r="B176" i="3"/>
  <c r="D176" i="3" s="1"/>
  <c r="B177" i="3"/>
  <c r="D177" i="3" s="1"/>
  <c r="B178" i="3"/>
  <c r="D178" i="3" s="1"/>
  <c r="B179" i="3"/>
  <c r="D179" i="3" s="1"/>
  <c r="B180" i="3"/>
  <c r="D180" i="3" s="1"/>
  <c r="B181" i="3"/>
  <c r="D181" i="3" s="1"/>
  <c r="B182" i="3"/>
  <c r="D182" i="3" s="1"/>
  <c r="B183" i="3"/>
  <c r="D183" i="3" s="1"/>
  <c r="B184" i="3"/>
  <c r="D184" i="3" s="1"/>
  <c r="B185" i="3"/>
  <c r="D185" i="3" s="1"/>
  <c r="B186" i="3"/>
  <c r="D186" i="3" s="1"/>
  <c r="B187" i="3"/>
  <c r="D187" i="3" s="1"/>
  <c r="B188" i="3"/>
  <c r="D188" i="3" s="1"/>
  <c r="B189" i="3"/>
  <c r="D189" i="3" s="1"/>
  <c r="B190" i="3"/>
  <c r="D190" i="3" s="1"/>
  <c r="B191" i="3"/>
  <c r="D191" i="3" s="1"/>
  <c r="B192" i="3"/>
  <c r="D192" i="3" s="1"/>
  <c r="B193" i="3"/>
  <c r="D193" i="3" s="1"/>
  <c r="B194" i="3"/>
  <c r="D194" i="3" s="1"/>
  <c r="B195" i="3"/>
  <c r="D195" i="3" s="1"/>
  <c r="B196" i="3"/>
  <c r="D196" i="3" s="1"/>
  <c r="B197" i="3"/>
  <c r="D197" i="3" s="1"/>
  <c r="B198" i="3"/>
  <c r="D198" i="3" s="1"/>
  <c r="B199" i="3"/>
  <c r="D199" i="3" s="1"/>
  <c r="B200" i="3"/>
  <c r="D200" i="3" s="1"/>
  <c r="B201" i="3"/>
  <c r="D201" i="3" s="1"/>
  <c r="B202" i="3"/>
  <c r="D202" i="3" s="1"/>
  <c r="B203" i="3"/>
  <c r="D203" i="3" s="1"/>
  <c r="B204" i="3"/>
  <c r="D204" i="3" s="1"/>
  <c r="B205" i="3"/>
  <c r="D205" i="3" s="1"/>
  <c r="B206" i="3"/>
  <c r="D206" i="3" s="1"/>
  <c r="B207" i="3"/>
  <c r="D207" i="3" s="1"/>
  <c r="B208" i="3"/>
  <c r="D208" i="3" s="1"/>
  <c r="B209" i="3"/>
  <c r="D209" i="3" s="1"/>
  <c r="B210" i="3"/>
  <c r="D210" i="3" s="1"/>
  <c r="B211" i="3"/>
  <c r="D211" i="3" s="1"/>
  <c r="B212" i="3"/>
  <c r="D212" i="3" s="1"/>
  <c r="B213" i="3"/>
  <c r="D213" i="3" s="1"/>
  <c r="B214" i="3"/>
  <c r="D214" i="3" s="1"/>
  <c r="B215" i="3"/>
  <c r="D215" i="3" s="1"/>
  <c r="B216" i="3"/>
  <c r="D216" i="3" s="1"/>
  <c r="B217" i="3"/>
  <c r="D217" i="3" s="1"/>
  <c r="B218" i="3"/>
  <c r="D218" i="3" s="1"/>
  <c r="B219" i="3"/>
  <c r="D219" i="3" s="1"/>
  <c r="B220" i="3"/>
  <c r="D220" i="3" s="1"/>
  <c r="B221" i="3"/>
  <c r="D221" i="3" s="1"/>
  <c r="B222" i="3"/>
  <c r="D222" i="3" s="1"/>
  <c r="B223" i="3"/>
  <c r="D223" i="3" s="1"/>
  <c r="B224" i="3"/>
  <c r="D224" i="3" s="1"/>
  <c r="B225" i="3"/>
  <c r="D225" i="3" s="1"/>
  <c r="B226" i="3"/>
  <c r="D226" i="3" s="1"/>
  <c r="B227" i="3"/>
  <c r="D227" i="3" s="1"/>
  <c r="B228" i="3"/>
  <c r="D228" i="3" s="1"/>
  <c r="B229" i="3"/>
  <c r="D229" i="3" s="1"/>
  <c r="B230" i="3"/>
  <c r="D230" i="3" s="1"/>
  <c r="B231" i="3"/>
  <c r="D231" i="3" s="1"/>
  <c r="B232" i="3"/>
  <c r="D232" i="3" s="1"/>
  <c r="B233" i="3"/>
  <c r="D233" i="3" s="1"/>
  <c r="B234" i="3"/>
  <c r="D234" i="3" s="1"/>
  <c r="B235" i="3"/>
  <c r="D235" i="3" s="1"/>
  <c r="B236" i="3"/>
  <c r="D236" i="3" s="1"/>
  <c r="B237" i="3"/>
  <c r="D237" i="3" s="1"/>
  <c r="B238" i="3"/>
  <c r="D238" i="3" s="1"/>
  <c r="B239" i="3"/>
  <c r="D239" i="3" s="1"/>
  <c r="B240" i="3"/>
  <c r="D240" i="3" s="1"/>
  <c r="B241" i="3"/>
  <c r="D241" i="3" s="1"/>
  <c r="B242" i="3"/>
  <c r="D242" i="3" s="1"/>
  <c r="B243" i="3"/>
  <c r="D243" i="3" s="1"/>
  <c r="B244" i="3"/>
  <c r="D244" i="3" s="1"/>
  <c r="B245" i="3"/>
  <c r="D245" i="3" s="1"/>
  <c r="B246" i="3"/>
  <c r="D246" i="3" s="1"/>
  <c r="B247" i="3"/>
  <c r="D247" i="3" s="1"/>
  <c r="B248" i="3"/>
  <c r="D248" i="3" s="1"/>
  <c r="B249" i="3"/>
  <c r="D249" i="3" s="1"/>
  <c r="B250" i="3"/>
  <c r="D250" i="3" s="1"/>
  <c r="B251" i="3"/>
  <c r="D251" i="3" s="1"/>
  <c r="B252" i="3"/>
  <c r="D252" i="3" s="1"/>
  <c r="B253" i="3"/>
  <c r="D253" i="3" s="1"/>
  <c r="B254" i="3"/>
  <c r="D254" i="3" s="1"/>
  <c r="B255" i="3"/>
  <c r="D255" i="3" s="1"/>
  <c r="B256" i="3"/>
  <c r="D256" i="3" s="1"/>
  <c r="B257" i="3"/>
  <c r="D257" i="3" s="1"/>
  <c r="B258" i="3"/>
  <c r="D258" i="3" s="1"/>
  <c r="B259" i="3"/>
  <c r="D259" i="3" s="1"/>
  <c r="B260" i="3"/>
  <c r="D260" i="3" s="1"/>
  <c r="B261" i="3"/>
  <c r="D261" i="3" s="1"/>
  <c r="B262" i="3"/>
  <c r="D262" i="3" s="1"/>
  <c r="B263" i="3"/>
  <c r="D263" i="3" s="1"/>
  <c r="B264" i="3"/>
  <c r="D264" i="3" s="1"/>
  <c r="B265" i="3"/>
  <c r="D265" i="3" s="1"/>
  <c r="B266" i="3"/>
  <c r="D266" i="3" s="1"/>
  <c r="B267" i="3"/>
  <c r="D267" i="3" s="1"/>
  <c r="B268" i="3"/>
  <c r="D268" i="3" s="1"/>
  <c r="B269" i="3"/>
  <c r="D269" i="3" s="1"/>
  <c r="B270" i="3"/>
  <c r="D270" i="3" s="1"/>
  <c r="B271" i="3"/>
  <c r="D271" i="3" s="1"/>
  <c r="B272" i="3"/>
  <c r="D272" i="3" s="1"/>
  <c r="B273" i="3"/>
  <c r="D273" i="3" s="1"/>
  <c r="B274" i="3"/>
  <c r="D274" i="3" s="1"/>
  <c r="B275" i="3"/>
  <c r="D275" i="3" s="1"/>
  <c r="B276" i="3"/>
  <c r="D276" i="3" s="1"/>
  <c r="B277" i="3"/>
  <c r="D277" i="3" s="1"/>
  <c r="B278" i="3"/>
  <c r="D278" i="3" s="1"/>
  <c r="B279" i="3"/>
  <c r="D279" i="3" s="1"/>
  <c r="B280" i="3"/>
  <c r="D280" i="3" s="1"/>
  <c r="B281" i="3"/>
  <c r="D281" i="3" s="1"/>
  <c r="B282" i="3"/>
  <c r="D282" i="3" s="1"/>
  <c r="B283" i="3"/>
  <c r="D283" i="3" s="1"/>
  <c r="B284" i="3"/>
  <c r="D284" i="3" s="1"/>
  <c r="B285" i="3"/>
  <c r="D285" i="3" s="1"/>
  <c r="B286" i="3"/>
  <c r="D286" i="3" s="1"/>
  <c r="B287" i="3"/>
  <c r="D287" i="3" s="1"/>
  <c r="B288" i="3"/>
  <c r="D288" i="3" s="1"/>
  <c r="B289" i="3"/>
  <c r="D289" i="3" s="1"/>
  <c r="B290" i="3"/>
  <c r="D290" i="3" s="1"/>
  <c r="B291" i="3"/>
  <c r="D291" i="3" s="1"/>
  <c r="B292" i="3"/>
  <c r="D292" i="3" s="1"/>
  <c r="B293" i="3"/>
  <c r="D293" i="3" s="1"/>
  <c r="B294" i="3"/>
  <c r="D294" i="3" s="1"/>
  <c r="B295" i="3"/>
  <c r="D295" i="3" s="1"/>
  <c r="B296" i="3"/>
  <c r="D296" i="3" s="1"/>
  <c r="B297" i="3"/>
  <c r="D297" i="3" s="1"/>
  <c r="B298" i="3"/>
  <c r="D298" i="3" s="1"/>
  <c r="B299" i="3"/>
  <c r="D299" i="3" s="1"/>
  <c r="B300" i="3"/>
  <c r="D300" i="3" s="1"/>
  <c r="B301" i="3"/>
  <c r="D301" i="3" s="1"/>
  <c r="B302" i="3"/>
  <c r="D302" i="3" s="1"/>
  <c r="B303" i="3"/>
  <c r="D303" i="3" s="1"/>
  <c r="B304" i="3"/>
  <c r="D304" i="3" s="1"/>
  <c r="B305" i="3"/>
  <c r="D305" i="3" s="1"/>
  <c r="B306" i="3"/>
  <c r="D306" i="3" s="1"/>
  <c r="B307" i="3"/>
  <c r="D307" i="3" s="1"/>
  <c r="B308" i="3"/>
  <c r="D308" i="3" s="1"/>
  <c r="B309" i="3"/>
  <c r="D309" i="3" s="1"/>
  <c r="B310" i="3"/>
  <c r="D310" i="3" s="1"/>
  <c r="B311" i="3"/>
  <c r="D311" i="3" s="1"/>
  <c r="B312" i="3"/>
  <c r="D312" i="3" s="1"/>
  <c r="B313" i="3"/>
  <c r="D313" i="3" s="1"/>
  <c r="B314" i="3"/>
  <c r="D314" i="3" s="1"/>
  <c r="B315" i="3"/>
  <c r="D315" i="3" s="1"/>
  <c r="B316" i="3"/>
  <c r="D316" i="3" s="1"/>
  <c r="B317" i="3"/>
  <c r="D317" i="3" s="1"/>
  <c r="B318" i="3"/>
  <c r="D318" i="3" s="1"/>
  <c r="B319" i="3"/>
  <c r="D319" i="3" s="1"/>
  <c r="B320" i="3"/>
  <c r="D320" i="3" s="1"/>
  <c r="B321" i="3"/>
  <c r="D321" i="3" s="1"/>
  <c r="B322" i="3"/>
  <c r="D322" i="3" s="1"/>
  <c r="B323" i="3"/>
  <c r="D323" i="3" s="1"/>
  <c r="B324" i="3"/>
  <c r="D324" i="3" s="1"/>
  <c r="B325" i="3"/>
  <c r="D325" i="3" s="1"/>
  <c r="B326" i="3"/>
  <c r="D326" i="3" s="1"/>
  <c r="B327" i="3"/>
  <c r="D327" i="3" s="1"/>
  <c r="B328" i="3"/>
  <c r="D328" i="3" s="1"/>
  <c r="B329" i="3"/>
  <c r="D329" i="3" s="1"/>
  <c r="B330" i="3"/>
  <c r="D330" i="3" s="1"/>
  <c r="B331" i="3"/>
  <c r="D331" i="3" s="1"/>
  <c r="B332" i="3"/>
  <c r="D332" i="3" s="1"/>
  <c r="B333" i="3"/>
  <c r="D333" i="3" s="1"/>
  <c r="B334" i="3"/>
  <c r="D334" i="3" s="1"/>
  <c r="B335" i="3"/>
  <c r="D335" i="3" s="1"/>
  <c r="B336" i="3"/>
  <c r="D336" i="3" s="1"/>
  <c r="B337" i="3"/>
  <c r="D337" i="3" s="1"/>
  <c r="B338" i="3"/>
  <c r="D338" i="3" s="1"/>
  <c r="B339" i="3"/>
  <c r="D339" i="3" s="1"/>
  <c r="B340" i="3"/>
  <c r="D340" i="3" s="1"/>
  <c r="B341" i="3"/>
  <c r="D341" i="3" s="1"/>
  <c r="B342" i="3"/>
  <c r="D342" i="3" s="1"/>
  <c r="B343" i="3"/>
  <c r="D343" i="3" s="1"/>
  <c r="B344" i="3"/>
  <c r="D344" i="3" s="1"/>
  <c r="B345" i="3"/>
  <c r="D345" i="3" s="1"/>
  <c r="B346" i="3"/>
  <c r="D346" i="3" s="1"/>
  <c r="B347" i="3"/>
  <c r="D347" i="3" s="1"/>
  <c r="B348" i="3"/>
  <c r="D348" i="3" s="1"/>
  <c r="B349" i="3"/>
  <c r="D349" i="3" s="1"/>
  <c r="B350" i="3"/>
  <c r="D350" i="3" s="1"/>
  <c r="B351" i="3"/>
  <c r="D351" i="3" s="1"/>
  <c r="B352" i="3"/>
  <c r="D352" i="3" s="1"/>
  <c r="B353" i="3"/>
  <c r="D353" i="3" s="1"/>
  <c r="B354" i="3"/>
  <c r="D354" i="3" s="1"/>
  <c r="B355" i="3"/>
  <c r="D355" i="3" s="1"/>
  <c r="B356" i="3"/>
  <c r="D356" i="3" s="1"/>
  <c r="B357" i="3"/>
  <c r="D357" i="3" s="1"/>
  <c r="B358" i="3"/>
  <c r="D358" i="3" s="1"/>
  <c r="B359" i="3"/>
  <c r="D359" i="3" s="1"/>
  <c r="B360" i="3"/>
  <c r="D360" i="3" s="1"/>
  <c r="B361" i="3"/>
  <c r="D361" i="3" s="1"/>
  <c r="B362" i="3"/>
  <c r="D362" i="3" s="1"/>
  <c r="B363" i="3"/>
  <c r="D363" i="3" s="1"/>
  <c r="B364" i="3"/>
  <c r="D364" i="3" s="1"/>
  <c r="B365" i="3"/>
  <c r="D365" i="3" s="1"/>
  <c r="B366" i="3"/>
  <c r="D366" i="3" s="1"/>
  <c r="B367" i="3"/>
  <c r="D367" i="3" s="1"/>
  <c r="B368" i="3"/>
  <c r="D368" i="3" s="1"/>
  <c r="B369" i="3"/>
  <c r="D369" i="3" s="1"/>
  <c r="B370" i="3"/>
  <c r="D370" i="3" s="1"/>
  <c r="B371" i="3"/>
  <c r="D371" i="3" s="1"/>
  <c r="B372" i="3"/>
  <c r="D372" i="3" s="1"/>
  <c r="B373" i="3"/>
  <c r="D373" i="3" s="1"/>
  <c r="B374" i="3"/>
  <c r="D374" i="3" s="1"/>
  <c r="B375" i="3"/>
  <c r="D375" i="3" s="1"/>
  <c r="B376" i="3"/>
  <c r="D376" i="3" s="1"/>
  <c r="B377" i="3"/>
  <c r="D377" i="3" s="1"/>
  <c r="B378" i="3"/>
  <c r="D378" i="3" s="1"/>
  <c r="B379" i="3"/>
  <c r="D379" i="3" s="1"/>
  <c r="B380" i="3"/>
  <c r="D380" i="3" s="1"/>
  <c r="B381" i="3"/>
  <c r="D381" i="3" s="1"/>
  <c r="B382" i="3"/>
  <c r="D382" i="3" s="1"/>
  <c r="B383" i="3"/>
  <c r="D383" i="3" s="1"/>
  <c r="B384" i="3"/>
  <c r="D384" i="3" s="1"/>
  <c r="B385" i="3"/>
  <c r="D385" i="3" s="1"/>
  <c r="B386" i="3"/>
  <c r="D386" i="3" s="1"/>
  <c r="B387" i="3"/>
  <c r="D387" i="3" s="1"/>
  <c r="B388" i="3"/>
  <c r="D388" i="3" s="1"/>
  <c r="B389" i="3"/>
  <c r="D389" i="3" s="1"/>
  <c r="B390" i="3"/>
  <c r="D390" i="3" s="1"/>
  <c r="B391" i="3"/>
  <c r="D391" i="3" s="1"/>
  <c r="B392" i="3"/>
  <c r="D392" i="3" s="1"/>
  <c r="B393" i="3"/>
  <c r="D393" i="3" s="1"/>
  <c r="B394" i="3"/>
  <c r="D394" i="3" s="1"/>
  <c r="B395" i="3"/>
  <c r="D395" i="3" s="1"/>
  <c r="B396" i="3"/>
  <c r="D396" i="3" s="1"/>
  <c r="B397" i="3"/>
  <c r="D397" i="3" s="1"/>
  <c r="B398" i="3"/>
  <c r="D398" i="3" s="1"/>
  <c r="B399" i="3"/>
  <c r="D399" i="3" s="1"/>
  <c r="B400" i="3"/>
  <c r="D400" i="3" s="1"/>
  <c r="B401" i="3"/>
  <c r="D401" i="3" s="1"/>
  <c r="B402" i="3"/>
  <c r="D402" i="3" s="1"/>
  <c r="B403" i="3"/>
  <c r="D403" i="3" s="1"/>
  <c r="B404" i="3"/>
  <c r="D404" i="3" s="1"/>
  <c r="B405" i="3"/>
  <c r="D405" i="3" s="1"/>
  <c r="B406" i="3"/>
  <c r="D406" i="3" s="1"/>
  <c r="B407" i="3"/>
  <c r="D407" i="3" s="1"/>
  <c r="B408" i="3"/>
  <c r="D408" i="3" s="1"/>
  <c r="B409" i="3"/>
  <c r="D409" i="3" s="1"/>
  <c r="B410" i="3"/>
  <c r="D410" i="3" s="1"/>
  <c r="B411" i="3"/>
  <c r="D411" i="3" s="1"/>
  <c r="B412" i="3"/>
  <c r="D412" i="3" s="1"/>
  <c r="B413" i="3"/>
  <c r="D413" i="3" s="1"/>
  <c r="B414" i="3"/>
  <c r="D414" i="3" s="1"/>
  <c r="B415" i="3"/>
  <c r="D415" i="3" s="1"/>
  <c r="B416" i="3"/>
  <c r="D416" i="3" s="1"/>
  <c r="B417" i="3"/>
  <c r="D417" i="3" s="1"/>
  <c r="B418" i="3"/>
  <c r="D418" i="3" s="1"/>
  <c r="B419" i="3"/>
  <c r="D419" i="3" s="1"/>
  <c r="B420" i="3"/>
  <c r="D420" i="3" s="1"/>
  <c r="B421" i="3"/>
  <c r="D421" i="3" s="1"/>
  <c r="B422" i="3"/>
  <c r="D422" i="3" s="1"/>
  <c r="B423" i="3"/>
  <c r="D423" i="3" s="1"/>
  <c r="B424" i="3"/>
  <c r="D424" i="3" s="1"/>
  <c r="B425" i="3"/>
  <c r="D425" i="3" s="1"/>
  <c r="B426" i="3"/>
  <c r="D426" i="3" s="1"/>
  <c r="B427" i="3"/>
  <c r="D427" i="3" s="1"/>
  <c r="B428" i="3"/>
  <c r="D428" i="3" s="1"/>
  <c r="B429" i="3"/>
  <c r="D429" i="3" s="1"/>
  <c r="B430" i="3"/>
  <c r="D430" i="3" s="1"/>
  <c r="B431" i="3"/>
  <c r="D431" i="3" s="1"/>
  <c r="B432" i="3"/>
  <c r="D432" i="3" s="1"/>
  <c r="B433" i="3"/>
  <c r="D433" i="3" s="1"/>
  <c r="B434" i="3"/>
  <c r="D434" i="3" s="1"/>
  <c r="B435" i="3"/>
  <c r="D435" i="3" s="1"/>
  <c r="B436" i="3"/>
  <c r="D436" i="3" s="1"/>
  <c r="B437" i="3"/>
  <c r="D437" i="3" s="1"/>
  <c r="B438" i="3"/>
  <c r="D438" i="3" s="1"/>
  <c r="B439" i="3"/>
  <c r="D439" i="3" s="1"/>
  <c r="B440" i="3"/>
  <c r="D440" i="3" s="1"/>
  <c r="B441" i="3"/>
  <c r="D441" i="3" s="1"/>
  <c r="B442" i="3"/>
  <c r="D442" i="3" s="1"/>
  <c r="B443" i="3"/>
  <c r="D443" i="3" s="1"/>
  <c r="B444" i="3"/>
  <c r="D444" i="3" s="1"/>
  <c r="B445" i="3"/>
  <c r="D445" i="3" s="1"/>
  <c r="B446" i="3"/>
  <c r="D446" i="3" s="1"/>
  <c r="B447" i="3"/>
  <c r="D447" i="3" s="1"/>
  <c r="B448" i="3"/>
  <c r="D448" i="3" s="1"/>
  <c r="B449" i="3"/>
  <c r="D449" i="3" s="1"/>
  <c r="B450" i="3"/>
  <c r="D450" i="3" s="1"/>
  <c r="B451" i="3"/>
  <c r="D451" i="3" s="1"/>
  <c r="B452" i="3"/>
  <c r="D452" i="3" s="1"/>
  <c r="B453" i="3"/>
  <c r="D453" i="3" s="1"/>
  <c r="B454" i="3"/>
  <c r="D454" i="3" s="1"/>
  <c r="B455" i="3"/>
  <c r="D455" i="3" s="1"/>
  <c r="B456" i="3"/>
  <c r="D456" i="3" s="1"/>
  <c r="B457" i="3"/>
  <c r="D457" i="3" s="1"/>
  <c r="B458" i="3"/>
  <c r="D458" i="3" s="1"/>
  <c r="B459" i="3"/>
  <c r="D459" i="3" s="1"/>
  <c r="B460" i="3"/>
  <c r="D460" i="3" s="1"/>
  <c r="B461" i="3"/>
  <c r="D461" i="3" s="1"/>
  <c r="B462" i="3"/>
  <c r="D462" i="3" s="1"/>
  <c r="B463" i="3"/>
  <c r="D463" i="3" s="1"/>
  <c r="B464" i="3"/>
  <c r="D464" i="3" s="1"/>
  <c r="B465" i="3"/>
  <c r="D465" i="3" s="1"/>
  <c r="B466" i="3"/>
  <c r="D466" i="3" s="1"/>
  <c r="B467" i="3"/>
  <c r="D467" i="3" s="1"/>
  <c r="B468" i="3"/>
  <c r="D468" i="3" s="1"/>
  <c r="B469" i="3"/>
  <c r="D469" i="3" s="1"/>
  <c r="B470" i="3"/>
  <c r="D470" i="3" s="1"/>
  <c r="B471" i="3"/>
  <c r="D471" i="3" s="1"/>
  <c r="B472" i="3"/>
  <c r="D472" i="3" s="1"/>
  <c r="B473" i="3"/>
  <c r="D473" i="3" s="1"/>
  <c r="B474" i="3"/>
  <c r="D474" i="3" s="1"/>
  <c r="B475" i="3"/>
  <c r="D475" i="3" s="1"/>
  <c r="B476" i="3"/>
  <c r="D476" i="3" s="1"/>
  <c r="B477" i="3"/>
  <c r="D477" i="3" s="1"/>
  <c r="B478" i="3"/>
  <c r="D478" i="3" s="1"/>
  <c r="B479" i="3"/>
  <c r="D479" i="3" s="1"/>
  <c r="B480" i="3"/>
  <c r="D480" i="3" s="1"/>
  <c r="B481" i="3"/>
  <c r="D481" i="3" s="1"/>
  <c r="B482" i="3"/>
  <c r="D482" i="3" s="1"/>
  <c r="B483" i="3"/>
  <c r="D483" i="3" s="1"/>
  <c r="B484" i="3"/>
  <c r="D484" i="3" s="1"/>
  <c r="B485" i="3"/>
  <c r="D485" i="3" s="1"/>
  <c r="B486" i="3"/>
  <c r="D486" i="3" s="1"/>
  <c r="B487" i="3"/>
  <c r="D487" i="3" s="1"/>
  <c r="B488" i="3"/>
  <c r="D488" i="3" s="1"/>
  <c r="B489" i="3"/>
  <c r="D489" i="3" s="1"/>
  <c r="B490" i="3"/>
  <c r="D490" i="3" s="1"/>
  <c r="B491" i="3"/>
  <c r="D491" i="3" s="1"/>
  <c r="B492" i="3"/>
  <c r="D492" i="3" s="1"/>
  <c r="B493" i="3"/>
  <c r="D493" i="3" s="1"/>
  <c r="B494" i="3"/>
  <c r="D494" i="3" s="1"/>
  <c r="B495" i="3"/>
  <c r="D495" i="3" s="1"/>
  <c r="B496" i="3"/>
  <c r="D496" i="3" s="1"/>
  <c r="B497" i="3"/>
  <c r="D497" i="3" s="1"/>
  <c r="B498" i="3"/>
  <c r="D498" i="3" s="1"/>
  <c r="B499" i="3"/>
  <c r="D499" i="3" s="1"/>
  <c r="B500" i="3"/>
  <c r="D500" i="3" s="1"/>
  <c r="B501" i="3"/>
  <c r="D501" i="3" s="1"/>
  <c r="B502" i="3"/>
  <c r="D502" i="3" s="1"/>
  <c r="B503" i="3"/>
  <c r="D503" i="3" s="1"/>
  <c r="B504" i="3"/>
  <c r="D504" i="3" s="1"/>
  <c r="B505" i="3"/>
  <c r="D505" i="3" s="1"/>
  <c r="B506" i="3"/>
  <c r="D506" i="3" s="1"/>
  <c r="B507" i="3"/>
  <c r="D507" i="3" s="1"/>
  <c r="B508" i="3"/>
  <c r="D508" i="3" s="1"/>
  <c r="B509" i="3"/>
  <c r="D509" i="3" s="1"/>
  <c r="B510" i="3"/>
  <c r="D510" i="3" s="1"/>
  <c r="B511" i="3"/>
  <c r="D511" i="3" s="1"/>
  <c r="B512" i="3"/>
  <c r="D512" i="3" s="1"/>
  <c r="B513" i="3"/>
  <c r="D513" i="3" s="1"/>
  <c r="B514" i="3"/>
  <c r="D514" i="3" s="1"/>
  <c r="B515" i="3"/>
  <c r="D515" i="3" s="1"/>
  <c r="B516" i="3"/>
  <c r="D516" i="3" s="1"/>
  <c r="B517" i="3"/>
  <c r="D517" i="3" s="1"/>
  <c r="B518" i="3"/>
  <c r="D518" i="3" s="1"/>
  <c r="B519" i="3"/>
  <c r="D519" i="3" s="1"/>
  <c r="B520" i="3"/>
  <c r="D520" i="3" s="1"/>
  <c r="B521" i="3"/>
  <c r="D521" i="3" s="1"/>
  <c r="B522" i="3"/>
  <c r="D522" i="3" s="1"/>
  <c r="B523" i="3"/>
  <c r="D523" i="3" s="1"/>
  <c r="B524" i="3"/>
  <c r="D524" i="3" s="1"/>
  <c r="B525" i="3"/>
  <c r="D525" i="3" s="1"/>
  <c r="B526" i="3"/>
  <c r="D526" i="3" s="1"/>
  <c r="B527" i="3"/>
  <c r="D527" i="3" s="1"/>
  <c r="B528" i="3"/>
  <c r="D528" i="3" s="1"/>
  <c r="B529" i="3"/>
  <c r="D529" i="3" s="1"/>
  <c r="B530" i="3"/>
  <c r="D530" i="3" s="1"/>
  <c r="B531" i="3"/>
  <c r="D531" i="3" s="1"/>
  <c r="B532" i="3"/>
  <c r="D532" i="3" s="1"/>
  <c r="B533" i="3"/>
  <c r="D533" i="3" s="1"/>
  <c r="B534" i="3"/>
  <c r="D534" i="3" s="1"/>
  <c r="B535" i="3"/>
  <c r="D535" i="3" s="1"/>
  <c r="B536" i="3"/>
  <c r="D536" i="3" s="1"/>
  <c r="B537" i="3"/>
  <c r="D537" i="3" s="1"/>
  <c r="B538" i="3"/>
  <c r="D538" i="3" s="1"/>
  <c r="B539" i="3"/>
  <c r="D539" i="3" s="1"/>
  <c r="B540" i="3"/>
  <c r="D540" i="3" s="1"/>
  <c r="B541" i="3"/>
  <c r="D541" i="3" s="1"/>
  <c r="B542" i="3"/>
  <c r="D542" i="3" s="1"/>
  <c r="B543" i="3"/>
  <c r="D543" i="3" s="1"/>
  <c r="B544" i="3"/>
  <c r="D544" i="3" s="1"/>
  <c r="B545" i="3"/>
  <c r="D545" i="3" s="1"/>
  <c r="B546" i="3"/>
  <c r="D546" i="3" s="1"/>
  <c r="B547" i="3"/>
  <c r="D547" i="3" s="1"/>
  <c r="B548" i="3"/>
  <c r="D548" i="3" s="1"/>
  <c r="B549" i="3"/>
  <c r="D549" i="3" s="1"/>
  <c r="B550" i="3"/>
  <c r="D550" i="3" s="1"/>
  <c r="B551" i="3"/>
  <c r="D551" i="3" s="1"/>
  <c r="B552" i="3"/>
  <c r="D552" i="3" s="1"/>
  <c r="B553" i="3"/>
  <c r="D553" i="3" s="1"/>
  <c r="B554" i="3"/>
  <c r="D554" i="3" s="1"/>
  <c r="B555" i="3"/>
  <c r="D555" i="3" s="1"/>
  <c r="B556" i="3"/>
  <c r="D556" i="3" s="1"/>
  <c r="B557" i="3"/>
  <c r="D557" i="3" s="1"/>
  <c r="B558" i="3"/>
  <c r="D558" i="3" s="1"/>
  <c r="B559" i="3"/>
  <c r="D559" i="3" s="1"/>
  <c r="B560" i="3"/>
  <c r="D560" i="3" s="1"/>
  <c r="B561" i="3"/>
  <c r="D561" i="3" s="1"/>
  <c r="B562" i="3"/>
  <c r="D562" i="3" s="1"/>
  <c r="B563" i="3"/>
  <c r="D563" i="3" s="1"/>
  <c r="B564" i="3"/>
  <c r="D564" i="3" s="1"/>
  <c r="B565" i="3"/>
  <c r="D565" i="3" s="1"/>
  <c r="B566" i="3"/>
  <c r="D566" i="3" s="1"/>
  <c r="B567" i="3"/>
  <c r="D567" i="3" s="1"/>
  <c r="B568" i="3"/>
  <c r="D568" i="3" s="1"/>
  <c r="B569" i="3"/>
  <c r="D569" i="3" s="1"/>
  <c r="B570" i="3"/>
  <c r="D570" i="3" s="1"/>
  <c r="B571" i="3"/>
  <c r="D571" i="3" s="1"/>
  <c r="B572" i="3"/>
  <c r="D572" i="3" s="1"/>
  <c r="B573" i="3"/>
  <c r="D573" i="3" s="1"/>
  <c r="B574" i="3"/>
  <c r="D574" i="3" s="1"/>
  <c r="B575" i="3"/>
  <c r="D575" i="3" s="1"/>
  <c r="B576" i="3"/>
  <c r="D576" i="3" s="1"/>
  <c r="B577" i="3"/>
  <c r="D577" i="3" s="1"/>
  <c r="B578" i="3"/>
  <c r="D578" i="3" s="1"/>
  <c r="B579" i="3"/>
  <c r="D579" i="3" s="1"/>
  <c r="B580" i="3"/>
  <c r="D580" i="3" s="1"/>
  <c r="B581" i="3"/>
  <c r="D581" i="3" s="1"/>
  <c r="B582" i="3"/>
  <c r="D582" i="3" s="1"/>
  <c r="B583" i="3"/>
  <c r="D583" i="3" s="1"/>
  <c r="B584" i="3"/>
  <c r="D584" i="3" s="1"/>
  <c r="B585" i="3"/>
  <c r="D585" i="3" s="1"/>
  <c r="B586" i="3"/>
  <c r="D586" i="3" s="1"/>
  <c r="B587" i="3"/>
  <c r="D587" i="3" s="1"/>
  <c r="B588" i="3"/>
  <c r="D588" i="3" s="1"/>
  <c r="B589" i="3"/>
  <c r="D589" i="3" s="1"/>
  <c r="B590" i="3"/>
  <c r="D590" i="3" s="1"/>
  <c r="B591" i="3"/>
  <c r="D591" i="3" s="1"/>
  <c r="B592" i="3"/>
  <c r="D592" i="3" s="1"/>
  <c r="B593" i="3"/>
  <c r="D593" i="3" s="1"/>
  <c r="B594" i="3"/>
  <c r="D594" i="3" s="1"/>
  <c r="B595" i="3"/>
  <c r="D595" i="3" s="1"/>
  <c r="B596" i="3"/>
  <c r="D596" i="3" s="1"/>
  <c r="B597" i="3"/>
  <c r="D597" i="3" s="1"/>
  <c r="B598" i="3"/>
  <c r="D598" i="3" s="1"/>
  <c r="B599" i="3"/>
  <c r="D599" i="3" s="1"/>
  <c r="B600" i="3"/>
  <c r="D600" i="3" s="1"/>
  <c r="B601" i="3"/>
  <c r="D601" i="3" s="1"/>
  <c r="B602" i="3"/>
  <c r="D602" i="3" s="1"/>
  <c r="B603" i="3"/>
  <c r="D603" i="3" s="1"/>
  <c r="B604" i="3"/>
  <c r="D604" i="3" s="1"/>
  <c r="B605" i="3"/>
  <c r="D605" i="3" s="1"/>
  <c r="B606" i="3"/>
  <c r="D606" i="3" s="1"/>
  <c r="B607" i="3"/>
  <c r="D607" i="3" s="1"/>
  <c r="B608" i="3"/>
  <c r="D608" i="3" s="1"/>
  <c r="B609" i="3"/>
  <c r="D609" i="3" s="1"/>
  <c r="B610" i="3"/>
  <c r="D610" i="3" s="1"/>
  <c r="B611" i="3"/>
  <c r="D611" i="3" s="1"/>
  <c r="B612" i="3"/>
  <c r="D612" i="3" s="1"/>
  <c r="B613" i="3"/>
  <c r="D613" i="3" s="1"/>
  <c r="B614" i="3"/>
  <c r="D614" i="3" s="1"/>
  <c r="B615" i="3"/>
  <c r="D615" i="3" s="1"/>
  <c r="B616" i="3"/>
  <c r="D616" i="3" s="1"/>
  <c r="B617" i="3"/>
  <c r="D617" i="3" s="1"/>
  <c r="B618" i="3"/>
  <c r="D618" i="3" s="1"/>
  <c r="B619" i="3"/>
  <c r="D619" i="3" s="1"/>
  <c r="B620" i="3"/>
  <c r="D620" i="3" s="1"/>
  <c r="B621" i="3"/>
  <c r="D621" i="3" s="1"/>
  <c r="B622" i="3"/>
  <c r="D622" i="3" s="1"/>
  <c r="B623" i="3"/>
  <c r="D623" i="3" s="1"/>
  <c r="B624" i="3"/>
  <c r="D624" i="3" s="1"/>
  <c r="B625" i="3"/>
  <c r="D625" i="3" s="1"/>
  <c r="B626" i="3"/>
  <c r="D626" i="3" s="1"/>
  <c r="B627" i="3"/>
  <c r="D627" i="3" s="1"/>
  <c r="B628" i="3"/>
  <c r="D628" i="3" s="1"/>
  <c r="B629" i="3"/>
  <c r="D629" i="3" s="1"/>
  <c r="B630" i="3"/>
  <c r="D630" i="3" s="1"/>
  <c r="B631" i="3"/>
  <c r="D631" i="3" s="1"/>
  <c r="B632" i="3"/>
  <c r="D632" i="3" s="1"/>
  <c r="B633" i="3"/>
  <c r="D633" i="3" s="1"/>
  <c r="B634" i="3"/>
  <c r="D634" i="3" s="1"/>
  <c r="B635" i="3"/>
  <c r="D635" i="3" s="1"/>
  <c r="B636" i="3"/>
  <c r="D636" i="3" s="1"/>
  <c r="B637" i="3"/>
  <c r="D637" i="3" s="1"/>
  <c r="B638" i="3"/>
  <c r="D638" i="3" s="1"/>
  <c r="B639" i="3"/>
  <c r="D639" i="3" s="1"/>
  <c r="B640" i="3"/>
  <c r="D640" i="3" s="1"/>
  <c r="B641" i="3"/>
  <c r="D641" i="3" s="1"/>
  <c r="B642" i="3"/>
  <c r="D642" i="3" s="1"/>
  <c r="B643" i="3"/>
  <c r="D643" i="3" s="1"/>
  <c r="B644" i="3"/>
  <c r="D644" i="3" s="1"/>
  <c r="B645" i="3"/>
  <c r="D645" i="3" s="1"/>
  <c r="B646" i="3"/>
  <c r="D646" i="3" s="1"/>
  <c r="B647" i="3"/>
  <c r="D647" i="3" s="1"/>
  <c r="B648" i="3"/>
  <c r="D648" i="3" s="1"/>
  <c r="B649" i="3"/>
  <c r="D649" i="3" s="1"/>
  <c r="B650" i="3"/>
  <c r="D650" i="3" s="1"/>
  <c r="B651" i="3"/>
  <c r="D651" i="3" s="1"/>
  <c r="B652" i="3"/>
  <c r="D652" i="3" s="1"/>
  <c r="B653" i="3"/>
  <c r="D653" i="3" s="1"/>
  <c r="B654" i="3"/>
  <c r="D654" i="3" s="1"/>
  <c r="B655" i="3"/>
  <c r="D655" i="3" s="1"/>
  <c r="B656" i="3"/>
  <c r="D656" i="3" s="1"/>
  <c r="B657" i="3"/>
  <c r="D657" i="3" s="1"/>
  <c r="B658" i="3"/>
  <c r="D658" i="3" s="1"/>
  <c r="B659" i="3"/>
  <c r="D659" i="3" s="1"/>
  <c r="B660" i="3"/>
  <c r="D660" i="3" s="1"/>
  <c r="B661" i="3"/>
  <c r="D661" i="3" s="1"/>
  <c r="B662" i="3"/>
  <c r="D662" i="3" s="1"/>
  <c r="B663" i="3"/>
  <c r="D663" i="3" s="1"/>
  <c r="B664" i="3"/>
  <c r="D664" i="3" s="1"/>
  <c r="B665" i="3"/>
  <c r="D665" i="3" s="1"/>
  <c r="B666" i="3"/>
  <c r="D666" i="3" s="1"/>
  <c r="B667" i="3"/>
  <c r="D667" i="3" s="1"/>
  <c r="B668" i="3"/>
  <c r="D668" i="3" s="1"/>
  <c r="B669" i="3"/>
  <c r="D669" i="3" s="1"/>
  <c r="B670" i="3"/>
  <c r="D670" i="3" s="1"/>
  <c r="B671" i="3"/>
  <c r="D671" i="3" s="1"/>
  <c r="B672" i="3"/>
  <c r="D672" i="3" s="1"/>
  <c r="B673" i="3"/>
  <c r="D673" i="3" s="1"/>
  <c r="B674" i="3"/>
  <c r="D674" i="3" s="1"/>
  <c r="B675" i="3"/>
  <c r="D675" i="3" s="1"/>
  <c r="B676" i="3"/>
  <c r="D676" i="3" s="1"/>
  <c r="B677" i="3"/>
  <c r="D677" i="3" s="1"/>
  <c r="B678" i="3"/>
  <c r="D678" i="3" s="1"/>
  <c r="B679" i="3"/>
  <c r="D679" i="3" s="1"/>
  <c r="B680" i="3"/>
  <c r="D680" i="3" s="1"/>
  <c r="B681" i="3"/>
  <c r="D681" i="3" s="1"/>
  <c r="B682" i="3"/>
  <c r="D682" i="3" s="1"/>
  <c r="B683" i="3"/>
  <c r="D683" i="3" s="1"/>
  <c r="B684" i="3"/>
  <c r="D684" i="3" s="1"/>
  <c r="B685" i="3"/>
  <c r="D685" i="3" s="1"/>
  <c r="B686" i="3"/>
  <c r="D686" i="3" s="1"/>
  <c r="B687" i="3"/>
  <c r="D687" i="3" s="1"/>
  <c r="B688" i="3"/>
  <c r="D688" i="3" s="1"/>
  <c r="B689" i="3"/>
  <c r="D689" i="3" s="1"/>
  <c r="B690" i="3"/>
  <c r="D690" i="3" s="1"/>
  <c r="B691" i="3"/>
  <c r="D691" i="3" s="1"/>
  <c r="B692" i="3"/>
  <c r="D692" i="3" s="1"/>
  <c r="B693" i="3"/>
  <c r="D693" i="3" s="1"/>
  <c r="B694" i="3"/>
  <c r="D694" i="3" s="1"/>
  <c r="B695" i="3"/>
  <c r="D695" i="3" s="1"/>
  <c r="B696" i="3"/>
  <c r="D696" i="3" s="1"/>
  <c r="B697" i="3"/>
  <c r="D697" i="3" s="1"/>
  <c r="B698" i="3"/>
  <c r="D698" i="3" s="1"/>
  <c r="B699" i="3"/>
  <c r="D699" i="3" s="1"/>
  <c r="B700" i="3"/>
  <c r="D700" i="3" s="1"/>
  <c r="B701" i="3"/>
  <c r="D701" i="3" s="1"/>
  <c r="B702" i="3"/>
  <c r="D702" i="3" s="1"/>
  <c r="B703" i="3"/>
  <c r="D703" i="3" s="1"/>
  <c r="B704" i="3"/>
  <c r="D704" i="3" s="1"/>
  <c r="B705" i="3"/>
  <c r="D705" i="3" s="1"/>
  <c r="B706" i="3"/>
  <c r="D706" i="3" s="1"/>
  <c r="B707" i="3"/>
  <c r="D707" i="3" s="1"/>
  <c r="B708" i="3"/>
  <c r="D708" i="3" s="1"/>
  <c r="B709" i="3"/>
  <c r="D709" i="3" s="1"/>
  <c r="B710" i="3"/>
  <c r="D710" i="3" s="1"/>
  <c r="B711" i="3"/>
  <c r="D711" i="3" s="1"/>
  <c r="B712" i="3"/>
  <c r="D712" i="3" s="1"/>
  <c r="B713" i="3"/>
  <c r="D713" i="3" s="1"/>
  <c r="B714" i="3"/>
  <c r="D714" i="3" s="1"/>
  <c r="B715" i="3"/>
  <c r="D715" i="3" s="1"/>
  <c r="B716" i="3"/>
  <c r="D716" i="3" s="1"/>
  <c r="B717" i="3"/>
  <c r="D717" i="3" s="1"/>
  <c r="B718" i="3"/>
  <c r="D718" i="3" s="1"/>
  <c r="B719" i="3"/>
  <c r="D719" i="3" s="1"/>
  <c r="B720" i="3"/>
  <c r="D720" i="3" s="1"/>
  <c r="B721" i="3"/>
  <c r="D721" i="3" s="1"/>
  <c r="B722" i="3"/>
  <c r="D722" i="3" s="1"/>
  <c r="B723" i="3"/>
  <c r="D723" i="3" s="1"/>
  <c r="B724" i="3"/>
  <c r="D724" i="3" s="1"/>
  <c r="B725" i="3"/>
  <c r="D725" i="3" s="1"/>
  <c r="B726" i="3"/>
  <c r="D726" i="3" s="1"/>
  <c r="B727" i="3"/>
  <c r="D727" i="3" s="1"/>
  <c r="B728" i="3"/>
  <c r="D728" i="3" s="1"/>
  <c r="B729" i="3"/>
  <c r="D729" i="3" s="1"/>
  <c r="B730" i="3"/>
  <c r="D730" i="3" s="1"/>
  <c r="B731" i="3"/>
  <c r="D731" i="3" s="1"/>
  <c r="B732" i="3"/>
  <c r="D732" i="3" s="1"/>
  <c r="B733" i="3"/>
  <c r="D733" i="3" s="1"/>
  <c r="B734" i="3"/>
  <c r="D734" i="3" s="1"/>
  <c r="B735" i="3"/>
  <c r="D735" i="3" s="1"/>
  <c r="B736" i="3"/>
  <c r="D736" i="3" s="1"/>
  <c r="B737" i="3"/>
  <c r="D737" i="3" s="1"/>
  <c r="B738" i="3"/>
  <c r="D738" i="3" s="1"/>
  <c r="B739" i="3"/>
  <c r="D739" i="3" s="1"/>
  <c r="B740" i="3"/>
  <c r="D740" i="3" s="1"/>
  <c r="B741" i="3"/>
  <c r="D741" i="3" s="1"/>
  <c r="B742" i="3"/>
  <c r="D742" i="3" s="1"/>
  <c r="B743" i="3"/>
  <c r="D743" i="3" s="1"/>
  <c r="B744" i="3"/>
  <c r="D744" i="3" s="1"/>
  <c r="B745" i="3"/>
  <c r="D745" i="3" s="1"/>
  <c r="B746" i="3"/>
  <c r="D746" i="3" s="1"/>
  <c r="B747" i="3"/>
  <c r="D747" i="3" s="1"/>
  <c r="B748" i="3"/>
  <c r="D748" i="3" s="1"/>
  <c r="B749" i="3"/>
  <c r="D749" i="3" s="1"/>
  <c r="B750" i="3"/>
  <c r="D750" i="3" s="1"/>
  <c r="B751" i="3"/>
  <c r="D751" i="3" s="1"/>
  <c r="B752" i="3"/>
  <c r="D752" i="3" s="1"/>
  <c r="B753" i="3"/>
  <c r="D753" i="3" s="1"/>
  <c r="B754" i="3"/>
  <c r="D754" i="3" s="1"/>
  <c r="B755" i="3"/>
  <c r="D755" i="3" s="1"/>
  <c r="B756" i="3"/>
  <c r="D756" i="3" s="1"/>
  <c r="B757" i="3"/>
  <c r="D757" i="3" s="1"/>
  <c r="B758" i="3"/>
  <c r="D758" i="3" s="1"/>
  <c r="B759" i="3"/>
  <c r="D759" i="3" s="1"/>
  <c r="B760" i="3"/>
  <c r="D760" i="3" s="1"/>
  <c r="B761" i="3"/>
  <c r="D761" i="3" s="1"/>
  <c r="B762" i="3"/>
  <c r="D762" i="3" s="1"/>
  <c r="B763" i="3"/>
  <c r="D763" i="3" s="1"/>
  <c r="B764" i="3"/>
  <c r="D764" i="3" s="1"/>
  <c r="B765" i="3"/>
  <c r="D765" i="3" s="1"/>
  <c r="B766" i="3"/>
  <c r="D766" i="3" s="1"/>
  <c r="B767" i="3"/>
  <c r="D767" i="3" s="1"/>
  <c r="B768" i="3"/>
  <c r="D768" i="3" s="1"/>
  <c r="B769" i="3"/>
  <c r="D769" i="3" s="1"/>
  <c r="B770" i="3"/>
  <c r="D770" i="3" s="1"/>
  <c r="B771" i="3"/>
  <c r="D771" i="3" s="1"/>
  <c r="B772" i="3"/>
  <c r="D772" i="3" s="1"/>
  <c r="B773" i="3"/>
  <c r="D773" i="3" s="1"/>
  <c r="B774" i="3"/>
  <c r="D774" i="3" s="1"/>
  <c r="B775" i="3"/>
  <c r="D775" i="3" s="1"/>
  <c r="B776" i="3"/>
  <c r="D776" i="3" s="1"/>
  <c r="B777" i="3"/>
  <c r="D777" i="3" s="1"/>
  <c r="B778" i="3"/>
  <c r="D778" i="3" s="1"/>
  <c r="B779" i="3"/>
  <c r="D779" i="3" s="1"/>
  <c r="B780" i="3"/>
  <c r="D780" i="3" s="1"/>
  <c r="B781" i="3"/>
  <c r="D781" i="3" s="1"/>
  <c r="B782" i="3"/>
  <c r="D782" i="3" s="1"/>
  <c r="B783" i="3"/>
  <c r="D783" i="3" s="1"/>
  <c r="B784" i="3"/>
  <c r="D784" i="3" s="1"/>
  <c r="B785" i="3"/>
  <c r="D785" i="3" s="1"/>
  <c r="B786" i="3"/>
  <c r="D786" i="3" s="1"/>
  <c r="B787" i="3"/>
  <c r="D787" i="3" s="1"/>
  <c r="B788" i="3"/>
  <c r="D788" i="3" s="1"/>
  <c r="B789" i="3"/>
  <c r="D789" i="3" s="1"/>
  <c r="B790" i="3"/>
  <c r="D790" i="3" s="1"/>
  <c r="B791" i="3"/>
  <c r="D791" i="3" s="1"/>
  <c r="B792" i="3"/>
  <c r="D792" i="3" s="1"/>
  <c r="B793" i="3"/>
  <c r="D793" i="3" s="1"/>
  <c r="B794" i="3"/>
  <c r="D794" i="3" s="1"/>
  <c r="B795" i="3"/>
  <c r="D795" i="3" s="1"/>
  <c r="B796" i="3"/>
  <c r="D796" i="3" s="1"/>
  <c r="B797" i="3"/>
  <c r="D797" i="3" s="1"/>
  <c r="B798" i="3"/>
  <c r="D798" i="3" s="1"/>
  <c r="B799" i="3"/>
  <c r="D799" i="3" s="1"/>
  <c r="B800" i="3"/>
  <c r="D800" i="3" s="1"/>
  <c r="B801" i="3"/>
  <c r="D801" i="3" s="1"/>
  <c r="B802" i="3"/>
  <c r="D802" i="3" s="1"/>
  <c r="B803" i="3"/>
  <c r="D803" i="3" s="1"/>
  <c r="B804" i="3"/>
  <c r="D804" i="3" s="1"/>
  <c r="B805" i="3"/>
  <c r="D805" i="3" s="1"/>
  <c r="B806" i="3"/>
  <c r="D806" i="3" s="1"/>
  <c r="B807" i="3"/>
  <c r="D807" i="3" s="1"/>
  <c r="B808" i="3"/>
  <c r="D808" i="3" s="1"/>
  <c r="B809" i="3"/>
  <c r="D809" i="3" s="1"/>
  <c r="B810" i="3"/>
  <c r="D810" i="3" s="1"/>
  <c r="B811" i="3"/>
  <c r="D811" i="3" s="1"/>
  <c r="B812" i="3"/>
  <c r="D812" i="3" s="1"/>
  <c r="B813" i="3"/>
  <c r="D813" i="3" s="1"/>
  <c r="B814" i="3"/>
  <c r="D814" i="3" s="1"/>
  <c r="B815" i="3"/>
  <c r="D815" i="3" s="1"/>
  <c r="B816" i="3"/>
  <c r="D816" i="3" s="1"/>
  <c r="B817" i="3"/>
  <c r="D817" i="3" s="1"/>
  <c r="B818" i="3"/>
  <c r="D818" i="3" s="1"/>
  <c r="B819" i="3"/>
  <c r="D819" i="3" s="1"/>
  <c r="B820" i="3"/>
  <c r="D820" i="3" s="1"/>
  <c r="B821" i="3"/>
  <c r="D821" i="3" s="1"/>
  <c r="B822" i="3"/>
  <c r="D822" i="3" s="1"/>
  <c r="B823" i="3"/>
  <c r="D823" i="3" s="1"/>
  <c r="B824" i="3"/>
  <c r="D824" i="3" s="1"/>
  <c r="B825" i="3"/>
  <c r="D825" i="3" s="1"/>
  <c r="B826" i="3"/>
  <c r="D826" i="3" s="1"/>
  <c r="B827" i="3"/>
  <c r="D827" i="3" s="1"/>
  <c r="B828" i="3"/>
  <c r="D828" i="3" s="1"/>
  <c r="B829" i="3"/>
  <c r="D829" i="3" s="1"/>
  <c r="B830" i="3"/>
  <c r="D830" i="3" s="1"/>
  <c r="B831" i="3"/>
  <c r="D831" i="3" s="1"/>
  <c r="B832" i="3"/>
  <c r="D832" i="3" s="1"/>
  <c r="B833" i="3"/>
  <c r="D833" i="3" s="1"/>
  <c r="B834" i="3"/>
  <c r="D834" i="3" s="1"/>
  <c r="B835" i="3"/>
  <c r="D835" i="3" s="1"/>
  <c r="B836" i="3"/>
  <c r="D836" i="3" s="1"/>
  <c r="B837" i="3"/>
  <c r="D837" i="3" s="1"/>
  <c r="B838" i="3"/>
  <c r="D838" i="3" s="1"/>
  <c r="B839" i="3"/>
  <c r="D839" i="3" s="1"/>
  <c r="B840" i="3"/>
  <c r="D840" i="3" s="1"/>
  <c r="B841" i="3"/>
  <c r="D841" i="3" s="1"/>
  <c r="B842" i="3"/>
  <c r="D842" i="3" s="1"/>
  <c r="B843" i="3"/>
  <c r="D843" i="3" s="1"/>
  <c r="B844" i="3"/>
  <c r="D844" i="3" s="1"/>
  <c r="B845" i="3"/>
  <c r="D845" i="3" s="1"/>
  <c r="B846" i="3"/>
  <c r="D846" i="3" s="1"/>
  <c r="B847" i="3"/>
  <c r="D847" i="3" s="1"/>
  <c r="B848" i="3"/>
  <c r="D848" i="3" s="1"/>
  <c r="B849" i="3"/>
  <c r="D849" i="3" s="1"/>
  <c r="B850" i="3"/>
  <c r="D850" i="3" s="1"/>
  <c r="B851" i="3"/>
  <c r="D851" i="3" s="1"/>
  <c r="B852" i="3"/>
  <c r="D852" i="3" s="1"/>
  <c r="B853" i="3"/>
  <c r="D853" i="3" s="1"/>
  <c r="B854" i="3"/>
  <c r="D854" i="3" s="1"/>
  <c r="B855" i="3"/>
  <c r="D855" i="3" s="1"/>
  <c r="B856" i="3"/>
  <c r="D856" i="3" s="1"/>
  <c r="B857" i="3"/>
  <c r="D857" i="3" s="1"/>
  <c r="B858" i="3"/>
  <c r="D858" i="3" s="1"/>
  <c r="B859" i="3"/>
  <c r="D859" i="3" s="1"/>
  <c r="B860" i="3"/>
  <c r="D860" i="3" s="1"/>
  <c r="B861" i="3"/>
  <c r="D861" i="3" s="1"/>
  <c r="B862" i="3"/>
  <c r="D862" i="3" s="1"/>
  <c r="B863" i="3"/>
  <c r="D863" i="3" s="1"/>
  <c r="B864" i="3"/>
  <c r="D864" i="3" s="1"/>
  <c r="B865" i="3"/>
  <c r="D865" i="3" s="1"/>
  <c r="B866" i="3"/>
  <c r="D866" i="3" s="1"/>
  <c r="B867" i="3"/>
  <c r="D867" i="3" s="1"/>
  <c r="B868" i="3"/>
  <c r="D868" i="3" s="1"/>
  <c r="B869" i="3"/>
  <c r="D869" i="3" s="1"/>
  <c r="B870" i="3"/>
  <c r="D870" i="3" s="1"/>
  <c r="B871" i="3"/>
  <c r="D871" i="3" s="1"/>
  <c r="B872" i="3"/>
  <c r="D872" i="3" s="1"/>
  <c r="B873" i="3"/>
  <c r="D873" i="3" s="1"/>
  <c r="B874" i="3"/>
  <c r="D874" i="3" s="1"/>
  <c r="B875" i="3"/>
  <c r="D875" i="3" s="1"/>
  <c r="B876" i="3"/>
  <c r="D876" i="3" s="1"/>
  <c r="B877" i="3"/>
  <c r="D877" i="3" s="1"/>
  <c r="B878" i="3"/>
  <c r="D878" i="3" s="1"/>
  <c r="B879" i="3"/>
  <c r="D879" i="3" s="1"/>
  <c r="B880" i="3"/>
  <c r="D880" i="3" s="1"/>
  <c r="B881" i="3"/>
  <c r="D881" i="3" s="1"/>
  <c r="B882" i="3"/>
  <c r="D882" i="3" s="1"/>
  <c r="B883" i="3"/>
  <c r="D883" i="3" s="1"/>
  <c r="B884" i="3"/>
  <c r="D884" i="3" s="1"/>
  <c r="B885" i="3"/>
  <c r="D885" i="3" s="1"/>
  <c r="B886" i="3"/>
  <c r="D886" i="3" s="1"/>
  <c r="B887" i="3"/>
  <c r="D887" i="3" s="1"/>
  <c r="B888" i="3"/>
  <c r="D888" i="3" s="1"/>
  <c r="B889" i="3"/>
  <c r="D889" i="3" s="1"/>
  <c r="B890" i="3"/>
  <c r="D890" i="3" s="1"/>
  <c r="B891" i="3"/>
  <c r="D891" i="3" s="1"/>
  <c r="B892" i="3"/>
  <c r="D892" i="3" s="1"/>
  <c r="B893" i="3"/>
  <c r="D893" i="3" s="1"/>
  <c r="B894" i="3"/>
  <c r="D894" i="3" s="1"/>
  <c r="B895" i="3"/>
  <c r="D895" i="3" s="1"/>
  <c r="B896" i="3"/>
  <c r="D896" i="3" s="1"/>
  <c r="B897" i="3"/>
  <c r="D897" i="3" s="1"/>
  <c r="B898" i="3"/>
  <c r="D898" i="3" s="1"/>
  <c r="B899" i="3"/>
  <c r="D899" i="3" s="1"/>
  <c r="B900" i="3"/>
  <c r="D900" i="3" s="1"/>
  <c r="B901" i="3"/>
  <c r="D901" i="3" s="1"/>
  <c r="B902" i="3"/>
  <c r="D902" i="3" s="1"/>
  <c r="B903" i="3"/>
  <c r="D903" i="3" s="1"/>
  <c r="B904" i="3"/>
  <c r="D904" i="3" s="1"/>
  <c r="B905" i="3"/>
  <c r="D905" i="3" s="1"/>
  <c r="B906" i="3"/>
  <c r="D906" i="3" s="1"/>
  <c r="B907" i="3"/>
  <c r="D907" i="3" s="1"/>
  <c r="B908" i="3"/>
  <c r="D908" i="3" s="1"/>
  <c r="B909" i="3"/>
  <c r="D909" i="3" s="1"/>
  <c r="B910" i="3"/>
  <c r="D910" i="3" s="1"/>
  <c r="B911" i="3"/>
  <c r="D911" i="3" s="1"/>
  <c r="B912" i="3"/>
  <c r="D912" i="3" s="1"/>
  <c r="B913" i="3"/>
  <c r="D913" i="3" s="1"/>
  <c r="B914" i="3"/>
  <c r="D914" i="3" s="1"/>
  <c r="B915" i="3"/>
  <c r="D915" i="3" s="1"/>
  <c r="B916" i="3"/>
  <c r="D916" i="3" s="1"/>
  <c r="B917" i="3"/>
  <c r="D917" i="3" s="1"/>
  <c r="B918" i="3"/>
  <c r="D918" i="3" s="1"/>
  <c r="B919" i="3"/>
  <c r="D919" i="3" s="1"/>
  <c r="B920" i="3"/>
  <c r="D920" i="3" s="1"/>
  <c r="B921" i="3"/>
  <c r="D921" i="3" s="1"/>
  <c r="B922" i="3"/>
  <c r="D922" i="3" s="1"/>
  <c r="B923" i="3"/>
  <c r="D923" i="3" s="1"/>
  <c r="B924" i="3"/>
  <c r="D924" i="3" s="1"/>
  <c r="B925" i="3"/>
  <c r="D925" i="3" s="1"/>
  <c r="B926" i="3"/>
  <c r="D926" i="3" s="1"/>
  <c r="B927" i="3"/>
  <c r="D927" i="3" s="1"/>
  <c r="B928" i="3"/>
  <c r="D928" i="3" s="1"/>
  <c r="B929" i="3"/>
  <c r="D929" i="3" s="1"/>
  <c r="B930" i="3"/>
  <c r="D930" i="3" s="1"/>
  <c r="B931" i="3"/>
  <c r="D931" i="3" s="1"/>
  <c r="B932" i="3"/>
  <c r="D932" i="3" s="1"/>
  <c r="B933" i="3"/>
  <c r="D933" i="3" s="1"/>
  <c r="B934" i="3"/>
  <c r="D934" i="3" s="1"/>
  <c r="B935" i="3"/>
  <c r="D935" i="3" s="1"/>
  <c r="B936" i="3"/>
  <c r="D936" i="3" s="1"/>
  <c r="B937" i="3"/>
  <c r="D937" i="3" s="1"/>
  <c r="B938" i="3"/>
  <c r="D938" i="3" s="1"/>
  <c r="B939" i="3"/>
  <c r="D939" i="3" s="1"/>
  <c r="B940" i="3"/>
  <c r="D940" i="3" s="1"/>
  <c r="B941" i="3"/>
  <c r="D941" i="3" s="1"/>
  <c r="B942" i="3"/>
  <c r="D942" i="3" s="1"/>
  <c r="B943" i="3"/>
  <c r="D943" i="3" s="1"/>
  <c r="B944" i="3"/>
  <c r="D944" i="3" s="1"/>
  <c r="B945" i="3"/>
  <c r="D945" i="3" s="1"/>
  <c r="B946" i="3"/>
  <c r="D946" i="3" s="1"/>
  <c r="B947" i="3"/>
  <c r="D947" i="3" s="1"/>
  <c r="B948" i="3"/>
  <c r="D948" i="3" s="1"/>
  <c r="B949" i="3"/>
  <c r="D949" i="3" s="1"/>
  <c r="B950" i="3"/>
  <c r="D950" i="3" s="1"/>
  <c r="B951" i="3"/>
  <c r="D951" i="3" s="1"/>
  <c r="B952" i="3"/>
  <c r="D952" i="3" s="1"/>
  <c r="B953" i="3"/>
  <c r="D953" i="3" s="1"/>
  <c r="B954" i="3"/>
  <c r="D954" i="3" s="1"/>
  <c r="B955" i="3"/>
  <c r="D955" i="3" s="1"/>
  <c r="B956" i="3"/>
  <c r="D956" i="3" s="1"/>
  <c r="B957" i="3"/>
  <c r="D957" i="3" s="1"/>
  <c r="B958" i="3"/>
  <c r="D958" i="3" s="1"/>
  <c r="B959" i="3"/>
  <c r="D959" i="3" s="1"/>
  <c r="B960" i="3"/>
  <c r="D960" i="3" s="1"/>
  <c r="B961" i="3"/>
  <c r="D961" i="3" s="1"/>
  <c r="B962" i="3"/>
  <c r="D962" i="3" s="1"/>
  <c r="B963" i="3"/>
  <c r="D963" i="3" s="1"/>
  <c r="B964" i="3"/>
  <c r="D964" i="3" s="1"/>
  <c r="B965" i="3"/>
  <c r="D965" i="3" s="1"/>
  <c r="B966" i="3"/>
  <c r="D966" i="3" s="1"/>
  <c r="B967" i="3"/>
  <c r="D967" i="3" s="1"/>
  <c r="B968" i="3"/>
  <c r="D968" i="3" s="1"/>
  <c r="B969" i="3"/>
  <c r="D969" i="3" s="1"/>
  <c r="B970" i="3"/>
  <c r="D970" i="3" s="1"/>
  <c r="B971" i="3"/>
  <c r="D971" i="3" s="1"/>
  <c r="B972" i="3"/>
  <c r="D972" i="3" s="1"/>
  <c r="B973" i="3"/>
  <c r="D973" i="3" s="1"/>
  <c r="B974" i="3"/>
  <c r="D974" i="3" s="1"/>
  <c r="B975" i="3"/>
  <c r="D975" i="3" s="1"/>
  <c r="B976" i="3"/>
  <c r="D976" i="3" s="1"/>
  <c r="B977" i="3"/>
  <c r="D977" i="3" s="1"/>
  <c r="B978" i="3"/>
  <c r="D978" i="3" s="1"/>
  <c r="B979" i="3"/>
  <c r="D979" i="3" s="1"/>
  <c r="B980" i="3"/>
  <c r="D980" i="3" s="1"/>
  <c r="B981" i="3"/>
  <c r="D981" i="3" s="1"/>
  <c r="B982" i="3"/>
  <c r="D982" i="3" s="1"/>
  <c r="B983" i="3"/>
  <c r="D983" i="3" s="1"/>
  <c r="B984" i="3"/>
  <c r="D984" i="3" s="1"/>
  <c r="B985" i="3"/>
  <c r="D985" i="3" s="1"/>
  <c r="B986" i="3"/>
  <c r="D986" i="3" s="1"/>
  <c r="B987" i="3"/>
  <c r="D987" i="3" s="1"/>
  <c r="B988" i="3"/>
  <c r="D988" i="3" s="1"/>
  <c r="B989" i="3"/>
  <c r="D989" i="3" s="1"/>
  <c r="B990" i="3"/>
  <c r="D990" i="3" s="1"/>
  <c r="B991" i="3"/>
  <c r="D991" i="3" s="1"/>
  <c r="B992" i="3"/>
  <c r="D992" i="3" s="1"/>
  <c r="B993" i="3"/>
  <c r="D993" i="3" s="1"/>
  <c r="B994" i="3"/>
  <c r="D994" i="3" s="1"/>
  <c r="B995" i="3"/>
  <c r="D995" i="3" s="1"/>
  <c r="B996" i="3"/>
  <c r="D996" i="3" s="1"/>
  <c r="B997" i="3"/>
  <c r="D997" i="3" s="1"/>
  <c r="B998" i="3"/>
  <c r="D998" i="3" s="1"/>
  <c r="B999" i="3"/>
  <c r="D999" i="3" s="1"/>
  <c r="B1000" i="3"/>
  <c r="D1000" i="3" s="1"/>
  <c r="B1001" i="3"/>
  <c r="D1001" i="3" s="1"/>
  <c r="B1002" i="3"/>
  <c r="D1002" i="3" s="1"/>
  <c r="B1003" i="3"/>
  <c r="D1003" i="3" s="1"/>
  <c r="B1004" i="3"/>
  <c r="D1004" i="3" s="1"/>
  <c r="B1005" i="3"/>
  <c r="D1005" i="3" s="1"/>
  <c r="B1006" i="3"/>
  <c r="D1006" i="3" s="1"/>
  <c r="B1007" i="3"/>
  <c r="D1007" i="3" s="1"/>
  <c r="B1008" i="3"/>
  <c r="D1008" i="3" s="1"/>
  <c r="B1009" i="3"/>
  <c r="D1009" i="3" s="1"/>
  <c r="B1010" i="3"/>
  <c r="D1010" i="3" s="1"/>
  <c r="B1011" i="3"/>
  <c r="D1011" i="3" s="1"/>
  <c r="B1012" i="3"/>
  <c r="D1012" i="3" s="1"/>
  <c r="B1013" i="3"/>
  <c r="D1013" i="3" s="1"/>
  <c r="B1014" i="3"/>
  <c r="D1014" i="3" s="1"/>
  <c r="B1015" i="3"/>
  <c r="D1015" i="3" s="1"/>
  <c r="B1016" i="3"/>
  <c r="D1016" i="3" s="1"/>
  <c r="B1017" i="3"/>
  <c r="D1017" i="3" s="1"/>
  <c r="B1018" i="3"/>
  <c r="D1018" i="3" s="1"/>
  <c r="B1019" i="3"/>
  <c r="D1019" i="3" s="1"/>
  <c r="B1020" i="3"/>
  <c r="D1020" i="3" s="1"/>
  <c r="B1021" i="3"/>
  <c r="D1021" i="3" s="1"/>
  <c r="B1022" i="3"/>
  <c r="D1022" i="3" s="1"/>
  <c r="B1023" i="3"/>
  <c r="D1023" i="3" s="1"/>
  <c r="B1024" i="3"/>
  <c r="D1024" i="3" s="1"/>
  <c r="B1025" i="3"/>
  <c r="D1025" i="3" s="1"/>
  <c r="B1026" i="3"/>
  <c r="D1026" i="3" s="1"/>
  <c r="B1027" i="3"/>
  <c r="D1027" i="3" s="1"/>
  <c r="B1028" i="3"/>
  <c r="D1028" i="3" s="1"/>
  <c r="B1029" i="3"/>
  <c r="D1029" i="3" s="1"/>
  <c r="B1030" i="3"/>
  <c r="D1030" i="3" s="1"/>
  <c r="B1031" i="3"/>
  <c r="D1031" i="3" s="1"/>
  <c r="B1032" i="3"/>
  <c r="D1032" i="3" s="1"/>
  <c r="B1033" i="3"/>
  <c r="D1033" i="3" s="1"/>
  <c r="B1034" i="3"/>
  <c r="D1034" i="3" s="1"/>
  <c r="B1035" i="3"/>
  <c r="D1035" i="3" s="1"/>
  <c r="B1036" i="3"/>
  <c r="D1036" i="3" s="1"/>
  <c r="B1037" i="3"/>
  <c r="D1037" i="3" s="1"/>
  <c r="B1038" i="3"/>
  <c r="D1038" i="3" s="1"/>
  <c r="B1039" i="3"/>
  <c r="D1039" i="3" s="1"/>
  <c r="B1040" i="3"/>
  <c r="D1040" i="3" s="1"/>
  <c r="B1041" i="3"/>
  <c r="D1041" i="3" s="1"/>
  <c r="B1042" i="3"/>
  <c r="D1042" i="3" s="1"/>
  <c r="B1043" i="3"/>
  <c r="D1043" i="3" s="1"/>
  <c r="B1044" i="3"/>
  <c r="D1044" i="3" s="1"/>
  <c r="B1045" i="3"/>
  <c r="D1045" i="3" s="1"/>
  <c r="B1046" i="3"/>
  <c r="D1046" i="3" s="1"/>
  <c r="B1047" i="3"/>
  <c r="D1047" i="3" s="1"/>
  <c r="B1048" i="3"/>
  <c r="D1048" i="3" s="1"/>
  <c r="B1049" i="3"/>
  <c r="D1049" i="3" s="1"/>
  <c r="B1050" i="3"/>
  <c r="D1050" i="3" s="1"/>
  <c r="B1051" i="3"/>
  <c r="D1051" i="3" s="1"/>
  <c r="B1052" i="3"/>
  <c r="D1052" i="3" s="1"/>
  <c r="B1053" i="3"/>
  <c r="D1053" i="3" s="1"/>
  <c r="B1054" i="3"/>
  <c r="D1054" i="3" s="1"/>
  <c r="B1055" i="3"/>
  <c r="D1055" i="3" s="1"/>
  <c r="B1056" i="3"/>
  <c r="D1056" i="3" s="1"/>
  <c r="B1057" i="3"/>
  <c r="D1057" i="3" s="1"/>
  <c r="B1058" i="3"/>
  <c r="D1058" i="3" s="1"/>
  <c r="B1059" i="3"/>
  <c r="D1059" i="3" s="1"/>
  <c r="B1060" i="3"/>
  <c r="D1060" i="3" s="1"/>
  <c r="B1061" i="3"/>
  <c r="D1061" i="3" s="1"/>
  <c r="B1062" i="3"/>
  <c r="D1062" i="3" s="1"/>
  <c r="B1063" i="3"/>
  <c r="D1063" i="3" s="1"/>
  <c r="B1064" i="3"/>
  <c r="D1064" i="3" s="1"/>
  <c r="B1065" i="3"/>
  <c r="D1065" i="3" s="1"/>
  <c r="B1066" i="3"/>
  <c r="D1066" i="3" s="1"/>
  <c r="B1067" i="3"/>
  <c r="D1067" i="3" s="1"/>
  <c r="B1068" i="3"/>
  <c r="D1068" i="3" s="1"/>
  <c r="B1069" i="3"/>
  <c r="D1069" i="3" s="1"/>
  <c r="B1070" i="3"/>
  <c r="D1070" i="3" s="1"/>
  <c r="B1071" i="3"/>
  <c r="D1071" i="3" s="1"/>
  <c r="B1072" i="3"/>
  <c r="D1072" i="3" s="1"/>
  <c r="B1073" i="3"/>
  <c r="D1073" i="3" s="1"/>
  <c r="B1074" i="3"/>
  <c r="B1075" i="3"/>
  <c r="D1075" i="3" s="1"/>
  <c r="B1076" i="3"/>
  <c r="D1076" i="3" s="1"/>
  <c r="B1077" i="3"/>
  <c r="D1077" i="3" s="1"/>
  <c r="B1078" i="3"/>
  <c r="D1078" i="3" s="1"/>
  <c r="B1079" i="3"/>
  <c r="D1079" i="3" s="1"/>
  <c r="B1080" i="3"/>
  <c r="D1080" i="3" s="1"/>
  <c r="B1081" i="3"/>
  <c r="D1081" i="3" s="1"/>
  <c r="B1082" i="3"/>
  <c r="D1082" i="3" s="1"/>
  <c r="B1083" i="3"/>
  <c r="D1083" i="3" s="1"/>
  <c r="B1084" i="3"/>
  <c r="D1084" i="3" s="1"/>
  <c r="B1085" i="3"/>
  <c r="D1085" i="3" s="1"/>
  <c r="B1086" i="3"/>
  <c r="D1086" i="3" s="1"/>
  <c r="B1087" i="3"/>
  <c r="D1087" i="3" s="1"/>
  <c r="B1088" i="3"/>
  <c r="D1088" i="3" s="1"/>
  <c r="B1089" i="3"/>
  <c r="D1089" i="3" s="1"/>
  <c r="B1090" i="3"/>
  <c r="D1090" i="3" s="1"/>
  <c r="B1091" i="3"/>
  <c r="D1091" i="3" s="1"/>
  <c r="B1092" i="3"/>
  <c r="D1092" i="3" s="1"/>
  <c r="B1093" i="3"/>
  <c r="D1093" i="3" s="1"/>
  <c r="B1094" i="3"/>
  <c r="D1094" i="3" s="1"/>
  <c r="B1095" i="3"/>
  <c r="D1095" i="3" s="1"/>
  <c r="B1096" i="3"/>
  <c r="D1096" i="3" s="1"/>
  <c r="B1097" i="3"/>
  <c r="D1097" i="3" s="1"/>
  <c r="B1098" i="3"/>
  <c r="D1098" i="3" s="1"/>
  <c r="B1099" i="3"/>
  <c r="D1099" i="3" s="1"/>
  <c r="B1100" i="3"/>
  <c r="D1100" i="3" s="1"/>
  <c r="B1101" i="3"/>
  <c r="D1101" i="3" s="1"/>
  <c r="B1102" i="3"/>
  <c r="D1102" i="3" s="1"/>
  <c r="B1103" i="3"/>
  <c r="D1103" i="3" s="1"/>
  <c r="B1104" i="3"/>
  <c r="D1104" i="3" s="1"/>
  <c r="B1105" i="3"/>
  <c r="D1105" i="3" s="1"/>
  <c r="B1106" i="3"/>
  <c r="B1107" i="3"/>
  <c r="D1107" i="3" s="1"/>
  <c r="B1108" i="3"/>
  <c r="D1108" i="3" s="1"/>
  <c r="B1109" i="3"/>
  <c r="D1109" i="3" s="1"/>
  <c r="B1110" i="3"/>
  <c r="D1110" i="3" s="1"/>
  <c r="B1111" i="3"/>
  <c r="D1111" i="3" s="1"/>
  <c r="B1112" i="3"/>
  <c r="D1112" i="3" s="1"/>
  <c r="B1113" i="3"/>
  <c r="D1113" i="3" s="1"/>
  <c r="B1114" i="3"/>
  <c r="B1115" i="3"/>
  <c r="D1115" i="3" s="1"/>
  <c r="B1116" i="3"/>
  <c r="D1116" i="3" s="1"/>
  <c r="B1117" i="3"/>
  <c r="D1117" i="3" s="1"/>
  <c r="B1118" i="3"/>
  <c r="D1118" i="3" s="1"/>
  <c r="B1119" i="3"/>
  <c r="D1119" i="3" s="1"/>
  <c r="B1120" i="3"/>
  <c r="D1120" i="3" s="1"/>
  <c r="B1121" i="3"/>
  <c r="D1121" i="3" s="1"/>
  <c r="B1122" i="3"/>
  <c r="D1122" i="3" s="1"/>
  <c r="B1123" i="3"/>
  <c r="D1123" i="3" s="1"/>
  <c r="B1124" i="3"/>
  <c r="D1124" i="3" s="1"/>
  <c r="B1125" i="3"/>
  <c r="D1125" i="3" s="1"/>
  <c r="B1126" i="3"/>
  <c r="D1126" i="3" s="1"/>
  <c r="B1127" i="3"/>
  <c r="D1127" i="3" s="1"/>
  <c r="B1128" i="3"/>
  <c r="D1128" i="3" s="1"/>
  <c r="B1129" i="3"/>
  <c r="D1129" i="3" s="1"/>
  <c r="B1130" i="3"/>
  <c r="D1130" i="3" s="1"/>
  <c r="B1131" i="3"/>
  <c r="D1131" i="3" s="1"/>
  <c r="B1132" i="3"/>
  <c r="D1132" i="3" s="1"/>
  <c r="B1133" i="3"/>
  <c r="D1133" i="3" s="1"/>
  <c r="B1134" i="3"/>
  <c r="D1134" i="3" s="1"/>
  <c r="B1135" i="3"/>
  <c r="D1135" i="3" s="1"/>
  <c r="B1136" i="3"/>
  <c r="D1136" i="3" s="1"/>
  <c r="B1137" i="3"/>
  <c r="D1137" i="3" s="1"/>
  <c r="B1138" i="3"/>
  <c r="D1138" i="3" s="1"/>
  <c r="B1139" i="3"/>
  <c r="D1139" i="3" s="1"/>
  <c r="B1140" i="3"/>
  <c r="D1140" i="3" s="1"/>
  <c r="B1141" i="3"/>
  <c r="D1141" i="3" s="1"/>
  <c r="B1142" i="3"/>
  <c r="D1142" i="3" s="1"/>
  <c r="B1143" i="3"/>
  <c r="D1143" i="3" s="1"/>
  <c r="B1144" i="3"/>
  <c r="D1144" i="3" s="1"/>
  <c r="B1145" i="3"/>
  <c r="D1145" i="3" s="1"/>
  <c r="B1146" i="3"/>
  <c r="D1146" i="3" s="1"/>
  <c r="B1147" i="3"/>
  <c r="D1147" i="3" s="1"/>
  <c r="B1148" i="3"/>
  <c r="D1148" i="3" s="1"/>
  <c r="B1149" i="3"/>
  <c r="D1149" i="3" s="1"/>
  <c r="B1150" i="3"/>
  <c r="D1150" i="3" s="1"/>
  <c r="B1151" i="3"/>
  <c r="D1151" i="3" s="1"/>
  <c r="B1152" i="3"/>
  <c r="D1152" i="3" s="1"/>
  <c r="B1153" i="3"/>
  <c r="D1153" i="3" s="1"/>
  <c r="B1154" i="3"/>
  <c r="D1154" i="3" s="1"/>
  <c r="B1155" i="3"/>
  <c r="D1155" i="3" s="1"/>
  <c r="B1156" i="3"/>
  <c r="D1156" i="3" s="1"/>
  <c r="B1157" i="3"/>
  <c r="D1157" i="3" s="1"/>
  <c r="B1158" i="3"/>
  <c r="D1158" i="3" s="1"/>
  <c r="B1159" i="3"/>
  <c r="D1159" i="3" s="1"/>
  <c r="B1160" i="3"/>
  <c r="D1160" i="3" s="1"/>
  <c r="B1161" i="3"/>
  <c r="D1161" i="3" s="1"/>
  <c r="B1162" i="3"/>
  <c r="D1162" i="3" s="1"/>
  <c r="B1163" i="3"/>
  <c r="D1163" i="3" s="1"/>
  <c r="B1164" i="3"/>
  <c r="D1164" i="3" s="1"/>
  <c r="B1165" i="3"/>
  <c r="D1165" i="3" s="1"/>
  <c r="B1166" i="3"/>
  <c r="D1166" i="3" s="1"/>
  <c r="B1167" i="3"/>
  <c r="D1167" i="3" s="1"/>
  <c r="B1168" i="3"/>
  <c r="D1168" i="3" s="1"/>
  <c r="B1169" i="3"/>
  <c r="D1169" i="3" s="1"/>
  <c r="B1170" i="3"/>
  <c r="D1170" i="3" s="1"/>
  <c r="B1171" i="3"/>
  <c r="D1171" i="3" s="1"/>
  <c r="B1172" i="3"/>
  <c r="D1172" i="3" s="1"/>
  <c r="B1173" i="3"/>
  <c r="D1173" i="3" s="1"/>
  <c r="B1174" i="3"/>
  <c r="D1174" i="3" s="1"/>
  <c r="B1175" i="3"/>
  <c r="D1175" i="3" s="1"/>
  <c r="B1176" i="3"/>
  <c r="D1176" i="3" s="1"/>
  <c r="B1177" i="3"/>
  <c r="D1177" i="3" s="1"/>
  <c r="B1178" i="3"/>
  <c r="D1178" i="3" s="1"/>
  <c r="B1179" i="3"/>
  <c r="D1179" i="3" s="1"/>
  <c r="B1180" i="3"/>
  <c r="D1180" i="3" s="1"/>
  <c r="B1181" i="3"/>
  <c r="D1181" i="3" s="1"/>
  <c r="B1182" i="3"/>
  <c r="D1182" i="3" s="1"/>
  <c r="B1183" i="3"/>
  <c r="D1183" i="3" s="1"/>
  <c r="B1184" i="3"/>
  <c r="D1184" i="3" s="1"/>
  <c r="B1185" i="3"/>
  <c r="D1185" i="3" s="1"/>
  <c r="B1186" i="3"/>
  <c r="D1186" i="3" s="1"/>
  <c r="B1187" i="3"/>
  <c r="D1187" i="3" s="1"/>
  <c r="B1188" i="3"/>
  <c r="D1188" i="3" s="1"/>
  <c r="B1189" i="3"/>
  <c r="D1189" i="3" s="1"/>
  <c r="B1190" i="3"/>
  <c r="D1190" i="3" s="1"/>
  <c r="B1191" i="3"/>
  <c r="D1191" i="3" s="1"/>
  <c r="B1192" i="3"/>
  <c r="D1192" i="3" s="1"/>
  <c r="B1193" i="3"/>
  <c r="D1193" i="3" s="1"/>
  <c r="B1194" i="3"/>
  <c r="D1194" i="3" s="1"/>
  <c r="B1195" i="3"/>
  <c r="D1195" i="3" s="1"/>
  <c r="B1196" i="3"/>
  <c r="D1196" i="3" s="1"/>
  <c r="B1197" i="3"/>
  <c r="D1197" i="3" s="1"/>
  <c r="B1198" i="3"/>
  <c r="D1198" i="3" s="1"/>
  <c r="B1199" i="3"/>
  <c r="D1199" i="3" s="1"/>
  <c r="B1200" i="3"/>
  <c r="D1200" i="3" s="1"/>
  <c r="B1201" i="3"/>
  <c r="D1201" i="3" s="1"/>
  <c r="B1202" i="3"/>
  <c r="D1202" i="3" s="1"/>
  <c r="B1203" i="3"/>
  <c r="D1203" i="3" s="1"/>
  <c r="B1204" i="3"/>
  <c r="D1204" i="3" s="1"/>
  <c r="B1205" i="3"/>
  <c r="D1205" i="3" s="1"/>
  <c r="B1206" i="3"/>
  <c r="D1206" i="3" s="1"/>
  <c r="B1207" i="3"/>
  <c r="D1207" i="3" s="1"/>
  <c r="B1208" i="3"/>
  <c r="D1208" i="3" s="1"/>
  <c r="B1209" i="3"/>
  <c r="D1209" i="3" s="1"/>
  <c r="B1210" i="3"/>
  <c r="D1210" i="3" s="1"/>
  <c r="B1211" i="3"/>
  <c r="D1211" i="3" s="1"/>
  <c r="B1212" i="3"/>
  <c r="D1212" i="3" s="1"/>
  <c r="B1213" i="3"/>
  <c r="D1213" i="3" s="1"/>
  <c r="B1214" i="3"/>
  <c r="D1214" i="3" s="1"/>
  <c r="B1215" i="3"/>
  <c r="D1215" i="3" s="1"/>
  <c r="B1216" i="3"/>
  <c r="D1216" i="3" s="1"/>
  <c r="B1217" i="3"/>
  <c r="D1217" i="3" s="1"/>
  <c r="B1218" i="3"/>
  <c r="D1218" i="3" s="1"/>
  <c r="B1219" i="3"/>
  <c r="D1219" i="3" s="1"/>
  <c r="B1220" i="3"/>
  <c r="D1220" i="3" s="1"/>
  <c r="B1221" i="3"/>
  <c r="D1221" i="3" s="1"/>
  <c r="B1222" i="3"/>
  <c r="D1222" i="3" s="1"/>
  <c r="B1223" i="3"/>
  <c r="D1223" i="3" s="1"/>
  <c r="B1224" i="3"/>
  <c r="D1224" i="3" s="1"/>
  <c r="B1225" i="3"/>
  <c r="D1225" i="3" s="1"/>
  <c r="B1226" i="3"/>
  <c r="D1226" i="3" s="1"/>
  <c r="B1227" i="3"/>
  <c r="D1227" i="3" s="1"/>
  <c r="B1228" i="3"/>
  <c r="D1228" i="3" s="1"/>
  <c r="B1229" i="3"/>
  <c r="D1229" i="3" s="1"/>
  <c r="B1230" i="3"/>
  <c r="D1230" i="3" s="1"/>
  <c r="B1231" i="3"/>
  <c r="D1231" i="3" s="1"/>
  <c r="B1232" i="3"/>
  <c r="D1232" i="3" s="1"/>
  <c r="B1233" i="3"/>
  <c r="D1233" i="3" s="1"/>
  <c r="B1234" i="3"/>
  <c r="D1234" i="3" s="1"/>
  <c r="B1235" i="3"/>
  <c r="D1235" i="3" s="1"/>
  <c r="B1236" i="3"/>
  <c r="D1236" i="3" s="1"/>
  <c r="B1237" i="3"/>
  <c r="D1237" i="3" s="1"/>
  <c r="B1238" i="3"/>
  <c r="D1238" i="3" s="1"/>
  <c r="B1239" i="3"/>
  <c r="D1239" i="3" s="1"/>
  <c r="B1240" i="3"/>
  <c r="D1240" i="3" s="1"/>
  <c r="B1241" i="3"/>
  <c r="D1241" i="3" s="1"/>
  <c r="B1242" i="3"/>
  <c r="D1242" i="3" s="1"/>
  <c r="B1243" i="3"/>
  <c r="D1243" i="3" s="1"/>
  <c r="B1244" i="3"/>
  <c r="D1244" i="3" s="1"/>
  <c r="B1245" i="3"/>
  <c r="D1245" i="3" s="1"/>
  <c r="B1246" i="3"/>
  <c r="D1246" i="3" s="1"/>
  <c r="B1247" i="3"/>
  <c r="D1247" i="3" s="1"/>
  <c r="B1248" i="3"/>
  <c r="D1248" i="3" s="1"/>
  <c r="B1249" i="3"/>
  <c r="D1249" i="3" s="1"/>
  <c r="B1250" i="3"/>
  <c r="D1250" i="3" s="1"/>
  <c r="B1251" i="3"/>
  <c r="D1251" i="3" s="1"/>
  <c r="B1252" i="3"/>
  <c r="D1252" i="3" s="1"/>
  <c r="B1253" i="3"/>
  <c r="D1253" i="3" s="1"/>
  <c r="B1254" i="3"/>
  <c r="D1254" i="3" s="1"/>
  <c r="B1255" i="3"/>
  <c r="D1255" i="3" s="1"/>
  <c r="B1256" i="3"/>
  <c r="D1256" i="3" s="1"/>
  <c r="B1257" i="3"/>
  <c r="D1257" i="3" s="1"/>
  <c r="B1258" i="3"/>
  <c r="D1258" i="3" s="1"/>
  <c r="B1259" i="3"/>
  <c r="D1259" i="3" s="1"/>
  <c r="B1260" i="3"/>
  <c r="D1260" i="3" s="1"/>
  <c r="B1261" i="3"/>
  <c r="D1261" i="3" s="1"/>
  <c r="B1262" i="3"/>
  <c r="D1262" i="3" s="1"/>
  <c r="B1263" i="3"/>
  <c r="D1263" i="3" s="1"/>
  <c r="B1264" i="3"/>
  <c r="D1264" i="3" s="1"/>
  <c r="B1265" i="3"/>
  <c r="D1265" i="3" s="1"/>
  <c r="B1266" i="3"/>
  <c r="D1266" i="3" s="1"/>
  <c r="B1267" i="3"/>
  <c r="D1267" i="3" s="1"/>
  <c r="B1268" i="3"/>
  <c r="D1268" i="3" s="1"/>
  <c r="B1269" i="3"/>
  <c r="D1269" i="3" s="1"/>
  <c r="B1270" i="3"/>
  <c r="D1270" i="3" s="1"/>
  <c r="B1271" i="3"/>
  <c r="D1271" i="3" s="1"/>
  <c r="B1272" i="3"/>
  <c r="D1272" i="3" s="1"/>
  <c r="B1273" i="3"/>
  <c r="D1273" i="3" s="1"/>
  <c r="B1274" i="3"/>
  <c r="D1274" i="3" s="1"/>
  <c r="B1275" i="3"/>
  <c r="D1275" i="3" s="1"/>
  <c r="B1276" i="3"/>
  <c r="D1276" i="3" s="1"/>
  <c r="B1277" i="3"/>
  <c r="D1277" i="3" s="1"/>
  <c r="B1278" i="3"/>
  <c r="D1278" i="3" s="1"/>
  <c r="B1279" i="3"/>
  <c r="D1279" i="3" s="1"/>
  <c r="B1280" i="3"/>
  <c r="D1280" i="3" s="1"/>
  <c r="B1281" i="3"/>
  <c r="D1281" i="3" s="1"/>
  <c r="B1282" i="3"/>
  <c r="D1282" i="3" s="1"/>
  <c r="B1283" i="3"/>
  <c r="D1283" i="3" s="1"/>
  <c r="B1284" i="3"/>
  <c r="D1284" i="3" s="1"/>
  <c r="B1285" i="3"/>
  <c r="D1285" i="3" s="1"/>
  <c r="B1286" i="3"/>
  <c r="D1286" i="3" s="1"/>
  <c r="B1287" i="3"/>
  <c r="D1287" i="3" s="1"/>
  <c r="B1288" i="3"/>
  <c r="D1288" i="3" s="1"/>
  <c r="B1289" i="3"/>
  <c r="D1289" i="3" s="1"/>
  <c r="B1290" i="3"/>
  <c r="D1290" i="3" s="1"/>
  <c r="B1291" i="3"/>
  <c r="D1291" i="3" s="1"/>
  <c r="B1292" i="3"/>
  <c r="D1292" i="3" s="1"/>
  <c r="B1293" i="3"/>
  <c r="D1293" i="3" s="1"/>
  <c r="B1294" i="3"/>
  <c r="D1294" i="3" s="1"/>
  <c r="B1295" i="3"/>
  <c r="D1295" i="3" s="1"/>
  <c r="B1296" i="3"/>
  <c r="D1296" i="3" s="1"/>
  <c r="B1297" i="3"/>
  <c r="D1297" i="3" s="1"/>
  <c r="B1298" i="3"/>
  <c r="D1298" i="3" s="1"/>
  <c r="B1299" i="3"/>
  <c r="D1299" i="3" s="1"/>
  <c r="B1300" i="3"/>
  <c r="D1300" i="3" s="1"/>
  <c r="B1301" i="3"/>
  <c r="D1301" i="3" s="1"/>
  <c r="B1302" i="3"/>
  <c r="D1302" i="3" s="1"/>
  <c r="B1303" i="3"/>
  <c r="D1303" i="3" s="1"/>
  <c r="B1304" i="3"/>
  <c r="D1304" i="3" s="1"/>
  <c r="B1305" i="3"/>
  <c r="D1305" i="3" s="1"/>
  <c r="B1306" i="3"/>
  <c r="D1306" i="3" s="1"/>
  <c r="B1307" i="3"/>
  <c r="D1307" i="3" s="1"/>
  <c r="B1308" i="3"/>
  <c r="D1308" i="3" s="1"/>
  <c r="B1309" i="3"/>
  <c r="D1309" i="3" s="1"/>
  <c r="B1310" i="3"/>
  <c r="D1310" i="3" s="1"/>
  <c r="B1311" i="3"/>
  <c r="D1311" i="3" s="1"/>
  <c r="B1312" i="3"/>
  <c r="D1312" i="3" s="1"/>
  <c r="B1313" i="3"/>
  <c r="D1313" i="3" s="1"/>
  <c r="B1314" i="3"/>
  <c r="D1314" i="3" s="1"/>
  <c r="B1315" i="3"/>
  <c r="D1315" i="3" s="1"/>
  <c r="B1316" i="3"/>
  <c r="D1316" i="3" s="1"/>
  <c r="B1317" i="3"/>
  <c r="D1317" i="3" s="1"/>
  <c r="B1318" i="3"/>
  <c r="D1318" i="3" s="1"/>
  <c r="B1319" i="3"/>
  <c r="D1319" i="3" s="1"/>
  <c r="B1320" i="3"/>
  <c r="D1320" i="3" s="1"/>
  <c r="B1321" i="3"/>
  <c r="D1321" i="3" s="1"/>
  <c r="B1322" i="3"/>
  <c r="D1322" i="3" s="1"/>
  <c r="B1323" i="3"/>
  <c r="D1323" i="3" s="1"/>
  <c r="B1324" i="3"/>
  <c r="D1324" i="3" s="1"/>
  <c r="B1325" i="3"/>
  <c r="D1325" i="3" s="1"/>
  <c r="B1326" i="3"/>
  <c r="D1326" i="3" s="1"/>
  <c r="B1327" i="3"/>
  <c r="D1327" i="3" s="1"/>
  <c r="B1328" i="3"/>
  <c r="D1328" i="3" s="1"/>
  <c r="B1329" i="3"/>
  <c r="D1329" i="3" s="1"/>
  <c r="B1330" i="3"/>
  <c r="D1330" i="3" s="1"/>
  <c r="B1331" i="3"/>
  <c r="D1331" i="3" s="1"/>
  <c r="B1332" i="3"/>
  <c r="D1332" i="3" s="1"/>
  <c r="B1333" i="3"/>
  <c r="D1333" i="3" s="1"/>
  <c r="B1334" i="3"/>
  <c r="D1334" i="3" s="1"/>
  <c r="B1335" i="3"/>
  <c r="D1335" i="3" s="1"/>
  <c r="B1336" i="3"/>
  <c r="D1336" i="3" s="1"/>
  <c r="B1337" i="3"/>
  <c r="D1337" i="3" s="1"/>
  <c r="B1338" i="3"/>
  <c r="D1338" i="3" s="1"/>
  <c r="B1339" i="3"/>
  <c r="D1339" i="3" s="1"/>
  <c r="B1340" i="3"/>
  <c r="D1340" i="3" s="1"/>
  <c r="B1341" i="3"/>
  <c r="D1341" i="3" s="1"/>
  <c r="B1342" i="3"/>
  <c r="D1342" i="3" s="1"/>
  <c r="B1343" i="3"/>
  <c r="D1343" i="3" s="1"/>
  <c r="B1344" i="3"/>
  <c r="D1344" i="3" s="1"/>
  <c r="B1345" i="3"/>
  <c r="D1345" i="3" s="1"/>
  <c r="B1346" i="3"/>
  <c r="D1346" i="3" s="1"/>
  <c r="B1347" i="3"/>
  <c r="D1347" i="3" s="1"/>
  <c r="B1348" i="3"/>
  <c r="D1348" i="3" s="1"/>
  <c r="B1349" i="3"/>
  <c r="D1349" i="3" s="1"/>
  <c r="B1350" i="3"/>
  <c r="D1350" i="3" s="1"/>
  <c r="B1351" i="3"/>
  <c r="D1351" i="3" s="1"/>
  <c r="B1352" i="3"/>
  <c r="D1352" i="3" s="1"/>
  <c r="B1353" i="3"/>
  <c r="D1353" i="3" s="1"/>
  <c r="B1354" i="3"/>
  <c r="D1354" i="3" s="1"/>
  <c r="B1355" i="3"/>
  <c r="D1355" i="3" s="1"/>
  <c r="B1356" i="3"/>
  <c r="D1356" i="3" s="1"/>
  <c r="B1357" i="3"/>
  <c r="D1357" i="3" s="1"/>
  <c r="B1358" i="3"/>
  <c r="D1358" i="3" s="1"/>
  <c r="B1359" i="3"/>
  <c r="D1359" i="3" s="1"/>
  <c r="B1360" i="3"/>
  <c r="D1360" i="3" s="1"/>
  <c r="B1361" i="3"/>
  <c r="D1361" i="3" s="1"/>
  <c r="B1362" i="3"/>
  <c r="D1362" i="3" s="1"/>
  <c r="B1363" i="3"/>
  <c r="D1363" i="3" s="1"/>
  <c r="B1364" i="3"/>
  <c r="D1364" i="3" s="1"/>
  <c r="B1365" i="3"/>
  <c r="D1365" i="3" s="1"/>
  <c r="B1366" i="3"/>
  <c r="D1366" i="3" s="1"/>
  <c r="B1367" i="3"/>
  <c r="D1367" i="3" s="1"/>
  <c r="B1368" i="3"/>
  <c r="D1368" i="3" s="1"/>
  <c r="B1369" i="3"/>
  <c r="D1369" i="3" s="1"/>
  <c r="B1370" i="3"/>
  <c r="D1370" i="3" s="1"/>
  <c r="B1371" i="3"/>
  <c r="D1371" i="3" s="1"/>
  <c r="B1372" i="3"/>
  <c r="D1372" i="3" s="1"/>
  <c r="B1373" i="3"/>
  <c r="D1373" i="3" s="1"/>
  <c r="B1374" i="3"/>
  <c r="D1374" i="3" s="1"/>
  <c r="B1375" i="3"/>
  <c r="D1375" i="3" s="1"/>
  <c r="B1376" i="3"/>
  <c r="D1376" i="3" s="1"/>
  <c r="B1377" i="3"/>
  <c r="D1377" i="3" s="1"/>
  <c r="B1378" i="3"/>
  <c r="D1378" i="3" s="1"/>
  <c r="B1379" i="3"/>
  <c r="D1379" i="3" s="1"/>
  <c r="B1380" i="3"/>
  <c r="D1380" i="3" s="1"/>
  <c r="B1381" i="3"/>
  <c r="D1381" i="3" s="1"/>
  <c r="B1382" i="3"/>
  <c r="D1382" i="3" s="1"/>
  <c r="B1383" i="3"/>
  <c r="D1383" i="3" s="1"/>
  <c r="B1384" i="3"/>
  <c r="D1384" i="3" s="1"/>
  <c r="B1385" i="3"/>
  <c r="D1385" i="3" s="1"/>
  <c r="B1386" i="3"/>
  <c r="D1386" i="3" s="1"/>
  <c r="B1387" i="3"/>
  <c r="D1387" i="3" s="1"/>
  <c r="B1388" i="3"/>
  <c r="D1388" i="3" s="1"/>
  <c r="B1389" i="3"/>
  <c r="D1389" i="3" s="1"/>
  <c r="B1390" i="3"/>
  <c r="D1390" i="3" s="1"/>
  <c r="B1391" i="3"/>
  <c r="D1391" i="3" s="1"/>
  <c r="B1392" i="3"/>
  <c r="D1392" i="3" s="1"/>
  <c r="B1393" i="3"/>
  <c r="D1393" i="3" s="1"/>
  <c r="B1394" i="3"/>
  <c r="D1394" i="3" s="1"/>
  <c r="B1395" i="3"/>
  <c r="D1395" i="3" s="1"/>
  <c r="B1396" i="3"/>
  <c r="D1396" i="3" s="1"/>
  <c r="B1397" i="3"/>
  <c r="D1397" i="3" s="1"/>
  <c r="B1398" i="3"/>
  <c r="D1398" i="3" s="1"/>
  <c r="B1399" i="3"/>
  <c r="D1399" i="3" s="1"/>
  <c r="B1400" i="3"/>
  <c r="D1400" i="3" s="1"/>
  <c r="B1401" i="3"/>
  <c r="D1401" i="3" s="1"/>
  <c r="B1402" i="3"/>
  <c r="D1402" i="3" s="1"/>
  <c r="B1403" i="3"/>
  <c r="D1403" i="3" s="1"/>
  <c r="B1404" i="3"/>
  <c r="D1404" i="3" s="1"/>
  <c r="B1405" i="3"/>
  <c r="D1405" i="3" s="1"/>
  <c r="B1406" i="3"/>
  <c r="D1406" i="3" s="1"/>
  <c r="B1407" i="3"/>
  <c r="D1407" i="3" s="1"/>
  <c r="B1408" i="3"/>
  <c r="D1408" i="3" s="1"/>
  <c r="B1409" i="3"/>
  <c r="D1409" i="3" s="1"/>
  <c r="B1410" i="3"/>
  <c r="D1410" i="3" s="1"/>
  <c r="B1411" i="3"/>
  <c r="D1411" i="3" s="1"/>
  <c r="B1412" i="3"/>
  <c r="D1412" i="3" s="1"/>
  <c r="B1413" i="3"/>
  <c r="D1413" i="3" s="1"/>
  <c r="B1414" i="3"/>
  <c r="D1414" i="3" s="1"/>
  <c r="B1415" i="3"/>
  <c r="D1415" i="3" s="1"/>
  <c r="B1416" i="3"/>
  <c r="D1416" i="3" s="1"/>
  <c r="B1417" i="3"/>
  <c r="D1417" i="3" s="1"/>
  <c r="B1418" i="3"/>
  <c r="D1418" i="3" s="1"/>
  <c r="B1419" i="3"/>
  <c r="D1419" i="3" s="1"/>
  <c r="B1420" i="3"/>
  <c r="D1420" i="3" s="1"/>
  <c r="B1421" i="3"/>
  <c r="D1421" i="3" s="1"/>
  <c r="B1422" i="3"/>
  <c r="D1422" i="3" s="1"/>
  <c r="B1423" i="3"/>
  <c r="D1423" i="3" s="1"/>
  <c r="B1424" i="3"/>
  <c r="D1424" i="3" s="1"/>
  <c r="B1425" i="3"/>
  <c r="D1425" i="3" s="1"/>
  <c r="B1426" i="3"/>
  <c r="D1426" i="3" s="1"/>
  <c r="B1427" i="3"/>
  <c r="D1427" i="3" s="1"/>
  <c r="B1428" i="3"/>
  <c r="D1428" i="3" s="1"/>
  <c r="B1429" i="3"/>
  <c r="D1429" i="3" s="1"/>
  <c r="B1430" i="3"/>
  <c r="D1430" i="3" s="1"/>
  <c r="B1431" i="3"/>
  <c r="D1431" i="3" s="1"/>
  <c r="B1432" i="3"/>
  <c r="D1432" i="3" s="1"/>
  <c r="B1433" i="3"/>
  <c r="D1433" i="3" s="1"/>
  <c r="B1434" i="3"/>
  <c r="D1434" i="3" s="1"/>
  <c r="B1435" i="3"/>
  <c r="D1435" i="3" s="1"/>
  <c r="B1436" i="3"/>
  <c r="D1436" i="3" s="1"/>
  <c r="B1437" i="3"/>
  <c r="D1437" i="3" s="1"/>
  <c r="B1438" i="3"/>
  <c r="D1438" i="3" s="1"/>
  <c r="B1439" i="3"/>
  <c r="D1439" i="3" s="1"/>
  <c r="B1440" i="3"/>
  <c r="D1440" i="3" s="1"/>
  <c r="B1441" i="3"/>
  <c r="D1441" i="3" s="1"/>
  <c r="B1442" i="3"/>
  <c r="D1442" i="3" s="1"/>
  <c r="B1443" i="3"/>
  <c r="D1443" i="3" s="1"/>
  <c r="B1444" i="3"/>
  <c r="D1444" i="3" s="1"/>
  <c r="B1445" i="3"/>
  <c r="D1445" i="3" s="1"/>
  <c r="B1446" i="3"/>
  <c r="D1446" i="3" s="1"/>
  <c r="B1447" i="3"/>
  <c r="D1447" i="3" s="1"/>
  <c r="B1448" i="3"/>
  <c r="D1448" i="3" s="1"/>
  <c r="B1449" i="3"/>
  <c r="D1449" i="3" s="1"/>
  <c r="B1450" i="3"/>
  <c r="D1450" i="3" s="1"/>
  <c r="B1451" i="3"/>
  <c r="D1451" i="3" s="1"/>
  <c r="B1452" i="3"/>
  <c r="D1452" i="3" s="1"/>
  <c r="B1453" i="3"/>
  <c r="D1453" i="3" s="1"/>
  <c r="B1454" i="3"/>
  <c r="D1454" i="3" s="1"/>
  <c r="B1455" i="3"/>
  <c r="D1455" i="3" s="1"/>
  <c r="B1456" i="3"/>
  <c r="D1456" i="3" s="1"/>
  <c r="B1457" i="3"/>
  <c r="D1457" i="3" s="1"/>
  <c r="B1458" i="3"/>
  <c r="D1458" i="3" s="1"/>
  <c r="B1459" i="3"/>
  <c r="D1459" i="3" s="1"/>
  <c r="B1460" i="3"/>
  <c r="D1460" i="3" s="1"/>
  <c r="B1461" i="3"/>
  <c r="D1461" i="3" s="1"/>
  <c r="B1462" i="3"/>
  <c r="D1462" i="3" s="1"/>
  <c r="B1463" i="3"/>
  <c r="D1463" i="3" s="1"/>
  <c r="B1464" i="3"/>
  <c r="D1464" i="3" s="1"/>
  <c r="B1465" i="3"/>
  <c r="D1465" i="3" s="1"/>
  <c r="B1466" i="3"/>
  <c r="D1466" i="3" s="1"/>
  <c r="B1467" i="3"/>
  <c r="D1467" i="3" s="1"/>
  <c r="B1468" i="3"/>
  <c r="D1468" i="3" s="1"/>
  <c r="B1469" i="3"/>
  <c r="D1469" i="3" s="1"/>
  <c r="B1470" i="3"/>
  <c r="D1470" i="3" s="1"/>
  <c r="B1471" i="3"/>
  <c r="D1471" i="3" s="1"/>
  <c r="B1472" i="3"/>
  <c r="D1472" i="3" s="1"/>
  <c r="B1473" i="3"/>
  <c r="D1473" i="3" s="1"/>
  <c r="B1474" i="3"/>
  <c r="D1474" i="3" s="1"/>
  <c r="B1475" i="3"/>
  <c r="D1475" i="3" s="1"/>
  <c r="B1476" i="3"/>
  <c r="D1476" i="3" s="1"/>
  <c r="B1477" i="3"/>
  <c r="D1477" i="3" s="1"/>
  <c r="B1478" i="3"/>
  <c r="D1478" i="3" s="1"/>
  <c r="B1479" i="3"/>
  <c r="D1479" i="3" s="1"/>
  <c r="B1480" i="3"/>
  <c r="D1480" i="3" s="1"/>
  <c r="B1481" i="3"/>
  <c r="D1481" i="3" s="1"/>
  <c r="B1482" i="3"/>
  <c r="D1482" i="3" s="1"/>
  <c r="C2" i="3"/>
  <c r="B2" i="3"/>
  <c r="D28" i="2"/>
  <c r="D29" i="2" s="1"/>
  <c r="D30" i="2" s="1"/>
  <c r="D31" i="2" s="1"/>
  <c r="D1106" i="3" l="1"/>
  <c r="D1114" i="3"/>
  <c r="D1074" i="3"/>
  <c r="D10" i="3"/>
  <c r="D9" i="3"/>
  <c r="D11" i="3"/>
  <c r="D8" i="3"/>
  <c r="D3" i="3"/>
  <c r="D7" i="3"/>
  <c r="D6" i="3"/>
  <c r="D5" i="3"/>
  <c r="D2" i="3"/>
  <c r="D4" i="3"/>
  <c r="F12" i="1" l="1"/>
  <c r="E8" i="1"/>
  <c r="E17" i="1"/>
  <c r="F13" i="1"/>
  <c r="E9" i="1"/>
  <c r="E14" i="1"/>
  <c r="F14" i="1"/>
  <c r="E10" i="1"/>
  <c r="F7" i="1"/>
  <c r="F15" i="1"/>
  <c r="E11" i="1"/>
  <c r="F8" i="1"/>
  <c r="F16" i="1"/>
  <c r="E12" i="1"/>
  <c r="F9" i="1"/>
  <c r="F17" i="1"/>
  <c r="E13" i="1"/>
  <c r="F10" i="1"/>
  <c r="F6" i="1"/>
  <c r="E15" i="1"/>
  <c r="F11" i="1"/>
  <c r="E7" i="1"/>
  <c r="E16" i="1"/>
  <c r="O33" i="1"/>
  <c r="O34" i="1"/>
  <c r="O35" i="1"/>
  <c r="P35" i="1"/>
  <c r="Q35" i="1" s="1"/>
  <c r="P34" i="1"/>
  <c r="Q34" i="1" s="1"/>
  <c r="P33" i="1"/>
  <c r="Q33" i="1" s="1"/>
  <c r="P31" i="1"/>
  <c r="P32" i="1"/>
  <c r="O26" i="1"/>
  <c r="P25" i="1"/>
  <c r="P28" i="1"/>
  <c r="O31" i="1"/>
  <c r="O30" i="1"/>
  <c r="O27" i="1"/>
  <c r="O25" i="1"/>
  <c r="P24" i="1"/>
  <c r="P26" i="1"/>
  <c r="O29" i="1"/>
  <c r="P30" i="1"/>
  <c r="Q30" i="1" s="1"/>
  <c r="O28" i="1"/>
  <c r="P27" i="1"/>
  <c r="O32" i="1"/>
  <c r="Q32" i="1" s="1"/>
  <c r="O24" i="1"/>
  <c r="P29" i="1"/>
  <c r="F25" i="1"/>
  <c r="F33" i="1"/>
  <c r="G33" i="1" s="1"/>
  <c r="E29" i="1"/>
  <c r="U7" i="1"/>
  <c r="U15" i="1"/>
  <c r="T11" i="1"/>
  <c r="K11" i="1"/>
  <c r="U13" i="1"/>
  <c r="F32" i="1"/>
  <c r="K12" i="1"/>
  <c r="F26" i="1"/>
  <c r="F34" i="1"/>
  <c r="G34" i="1" s="1"/>
  <c r="E30" i="1"/>
  <c r="U8" i="1"/>
  <c r="U16" i="1"/>
  <c r="T12" i="1"/>
  <c r="K10" i="1"/>
  <c r="T9" i="1"/>
  <c r="E28" i="1"/>
  <c r="F27" i="1"/>
  <c r="F35" i="1"/>
  <c r="G35" i="1" s="1"/>
  <c r="E31" i="1"/>
  <c r="U9" i="1"/>
  <c r="U17" i="1"/>
  <c r="T13" i="1"/>
  <c r="K17" i="1"/>
  <c r="L17" i="1" s="1"/>
  <c r="K9" i="1"/>
  <c r="T17" i="1"/>
  <c r="Y17" i="1" s="1"/>
  <c r="T6" i="1"/>
  <c r="F28" i="1"/>
  <c r="G28" i="1" s="1"/>
  <c r="F24" i="1"/>
  <c r="E32" i="1"/>
  <c r="U10" i="1"/>
  <c r="U6" i="1"/>
  <c r="T14" i="1"/>
  <c r="K16" i="1"/>
  <c r="L16" i="1" s="1"/>
  <c r="K8" i="1"/>
  <c r="E27" i="1"/>
  <c r="K13" i="1"/>
  <c r="U14" i="1"/>
  <c r="F29" i="1"/>
  <c r="G29" i="1" s="1"/>
  <c r="E25" i="1"/>
  <c r="E33" i="1"/>
  <c r="U11" i="1"/>
  <c r="T7" i="1"/>
  <c r="Y7" i="1" s="1"/>
  <c r="T15" i="1"/>
  <c r="Y15" i="1" s="1"/>
  <c r="K15" i="1"/>
  <c r="L15" i="1" s="1"/>
  <c r="K7" i="1"/>
  <c r="E35" i="1"/>
  <c r="E24" i="1"/>
  <c r="F30" i="1"/>
  <c r="G30" i="1" s="1"/>
  <c r="E26" i="1"/>
  <c r="E34" i="1"/>
  <c r="U12" i="1"/>
  <c r="T8" i="1"/>
  <c r="T16" i="1"/>
  <c r="Y16" i="1" s="1"/>
  <c r="K14" i="1"/>
  <c r="K6" i="1"/>
  <c r="P6" i="1" s="1"/>
  <c r="F31" i="1"/>
  <c r="G31" i="1" s="1"/>
  <c r="T10" i="1"/>
  <c r="G12" i="1"/>
  <c r="J31" i="1"/>
  <c r="J28" i="1"/>
  <c r="J33" i="1"/>
  <c r="G15" i="1"/>
  <c r="J10" i="1"/>
  <c r="J6" i="1"/>
  <c r="J11" i="1"/>
  <c r="J17" i="1"/>
  <c r="O17" i="1" s="1"/>
  <c r="J9" i="1"/>
  <c r="J13" i="1"/>
  <c r="J16" i="1"/>
  <c r="J8" i="1"/>
  <c r="J12" i="1"/>
  <c r="O12" i="1" s="1"/>
  <c r="J15" i="1"/>
  <c r="J7" i="1"/>
  <c r="O7" i="1" s="1"/>
  <c r="J14" i="1"/>
  <c r="K27" i="1"/>
  <c r="K25" i="1"/>
  <c r="K26" i="1"/>
  <c r="P11" i="1"/>
  <c r="J29" i="1"/>
  <c r="P14" i="1"/>
  <c r="J35" i="1"/>
  <c r="J30" i="1"/>
  <c r="J25" i="1"/>
  <c r="K31" i="1"/>
  <c r="P13" i="1"/>
  <c r="Q29" i="1" l="1"/>
  <c r="Q25" i="1"/>
  <c r="Q26" i="1"/>
  <c r="E18" i="1"/>
  <c r="Q24" i="1"/>
  <c r="P36" i="1"/>
  <c r="O36" i="1"/>
  <c r="Q31" i="1"/>
  <c r="Q27" i="1"/>
  <c r="Q28" i="1"/>
  <c r="K33" i="1"/>
  <c r="L33" i="1" s="1"/>
  <c r="P15" i="1"/>
  <c r="Q15" i="1" s="1"/>
  <c r="O14" i="1"/>
  <c r="Q14" i="1" s="1"/>
  <c r="O15" i="1"/>
  <c r="J32" i="1"/>
  <c r="P12" i="1"/>
  <c r="Q12" i="1" s="1"/>
  <c r="K30" i="1"/>
  <c r="L30" i="1" s="1"/>
  <c r="G10" i="1"/>
  <c r="L25" i="1"/>
  <c r="O8" i="1"/>
  <c r="J26" i="1"/>
  <c r="L26" i="1" s="1"/>
  <c r="Y8" i="1"/>
  <c r="L13" i="1"/>
  <c r="F36" i="1"/>
  <c r="G24" i="1"/>
  <c r="Z9" i="1"/>
  <c r="V9" i="1"/>
  <c r="Z16" i="1"/>
  <c r="AA16" i="1" s="1"/>
  <c r="V16" i="1"/>
  <c r="L11" i="1"/>
  <c r="O13" i="1"/>
  <c r="Q13" i="1" s="1"/>
  <c r="Z12" i="1"/>
  <c r="V12" i="1"/>
  <c r="Z8" i="1"/>
  <c r="V8" i="1"/>
  <c r="Y11" i="1"/>
  <c r="L8" i="1"/>
  <c r="Y6" i="1"/>
  <c r="T19" i="1"/>
  <c r="V15" i="1"/>
  <c r="Z15" i="1"/>
  <c r="AA15" i="1" s="1"/>
  <c r="Y10" i="1"/>
  <c r="Z11" i="1"/>
  <c r="V11" i="1"/>
  <c r="G27" i="1"/>
  <c r="Z7" i="1"/>
  <c r="AA7" i="1" s="1"/>
  <c r="V7" i="1"/>
  <c r="Y14" i="1"/>
  <c r="L9" i="1"/>
  <c r="G26" i="1"/>
  <c r="E36" i="1"/>
  <c r="Z6" i="1"/>
  <c r="V6" i="1"/>
  <c r="U19" i="1"/>
  <c r="U18" i="1"/>
  <c r="Y9" i="1"/>
  <c r="L12" i="1"/>
  <c r="L31" i="1"/>
  <c r="L14" i="1"/>
  <c r="Z10" i="1"/>
  <c r="V10" i="1"/>
  <c r="Y13" i="1"/>
  <c r="L10" i="1"/>
  <c r="G32" i="1"/>
  <c r="G25" i="1"/>
  <c r="L7" i="1"/>
  <c r="V14" i="1"/>
  <c r="Z14" i="1"/>
  <c r="Z17" i="1"/>
  <c r="AA17" i="1" s="1"/>
  <c r="V17" i="1"/>
  <c r="T18" i="1"/>
  <c r="Y12" i="1"/>
  <c r="V13" i="1"/>
  <c r="Z13" i="1"/>
  <c r="G9" i="1"/>
  <c r="G11" i="1"/>
  <c r="G6" i="1"/>
  <c r="O10" i="1"/>
  <c r="G13" i="1"/>
  <c r="K24" i="1"/>
  <c r="P9" i="1"/>
  <c r="P10" i="1"/>
  <c r="G8" i="1"/>
  <c r="P8" i="1"/>
  <c r="O11" i="1"/>
  <c r="Q11" i="1" s="1"/>
  <c r="P7" i="1"/>
  <c r="Q7" i="1" s="1"/>
  <c r="K29" i="1"/>
  <c r="L29" i="1" s="1"/>
  <c r="K28" i="1"/>
  <c r="L28" i="1" s="1"/>
  <c r="F18" i="1"/>
  <c r="G14" i="1"/>
  <c r="J18" i="1"/>
  <c r="J19" i="1"/>
  <c r="K32" i="1"/>
  <c r="G7" i="1"/>
  <c r="K18" i="1"/>
  <c r="L6" i="1"/>
  <c r="K19" i="1"/>
  <c r="G16" i="1"/>
  <c r="P16" i="1"/>
  <c r="Q16" i="1" s="1"/>
  <c r="K34" i="1"/>
  <c r="L34" i="1" s="1"/>
  <c r="J27" i="1"/>
  <c r="L27" i="1" s="1"/>
  <c r="O9" i="1"/>
  <c r="J34" i="1"/>
  <c r="O16" i="1"/>
  <c r="K35" i="1"/>
  <c r="L35" i="1" s="1"/>
  <c r="G17" i="1"/>
  <c r="P17" i="1"/>
  <c r="Q17" i="1" s="1"/>
  <c r="O6" i="1"/>
  <c r="O19" i="1" s="1"/>
  <c r="J24" i="1"/>
  <c r="J37" i="1" s="1"/>
  <c r="Z19" i="1" l="1"/>
  <c r="Y19" i="1"/>
  <c r="J36" i="1"/>
  <c r="L32" i="1"/>
  <c r="Q8" i="1"/>
  <c r="AA8" i="1"/>
  <c r="AA6" i="1"/>
  <c r="AA11" i="1"/>
  <c r="L24" i="1"/>
  <c r="K36" i="1"/>
  <c r="AA13" i="1"/>
  <c r="Z18" i="1"/>
  <c r="AA9" i="1"/>
  <c r="Q6" i="1"/>
  <c r="O18" i="1"/>
  <c r="Y18" i="1"/>
  <c r="AA12" i="1"/>
  <c r="AA14" i="1"/>
  <c r="AA10" i="1"/>
  <c r="P18" i="1"/>
  <c r="Q9" i="1"/>
  <c r="Q10" i="1"/>
</calcChain>
</file>

<file path=xl/sharedStrings.xml><?xml version="1.0" encoding="utf-8"?>
<sst xmlns="http://schemas.openxmlformats.org/spreadsheetml/2006/main" count="6005" uniqueCount="1501">
  <si>
    <t>Emetteur :</t>
  </si>
  <si>
    <t>TABLEAU DE BORD INDICATEURS TRANSPORT - CUMUL 9  MOIS</t>
  </si>
  <si>
    <t>Date réalisation :</t>
  </si>
  <si>
    <t>1. Nombre ordres de transport (OT)</t>
  </si>
  <si>
    <t>2. Poids transporté (Kg)</t>
  </si>
  <si>
    <t>3. Poids moyen (Kg/OT)</t>
  </si>
  <si>
    <t>4. KM réalisés (km)</t>
  </si>
  <si>
    <t>5. KM moyen (KM/OT)</t>
  </si>
  <si>
    <t>%A/A-1</t>
  </si>
  <si>
    <t>janvier</t>
  </si>
  <si>
    <t>février</t>
  </si>
  <si>
    <t>mars</t>
  </si>
  <si>
    <t>avril</t>
  </si>
  <si>
    <t>mai</t>
  </si>
  <si>
    <t>juin</t>
  </si>
  <si>
    <t>juillet</t>
  </si>
  <si>
    <t>aout</t>
  </si>
  <si>
    <t>septembre</t>
  </si>
  <si>
    <t>octobre</t>
  </si>
  <si>
    <t>novembre</t>
  </si>
  <si>
    <t>décembre</t>
  </si>
  <si>
    <t>Cumul 9 mois</t>
  </si>
  <si>
    <t>total</t>
  </si>
  <si>
    <t>6. Coût total Transport (€)</t>
  </si>
  <si>
    <t>7. Prix moyen transport (€/OT)</t>
  </si>
  <si>
    <t>8. Emission GES  (kg eq CO2 émis )</t>
  </si>
  <si>
    <r>
      <rPr>
        <b/>
        <sz val="16"/>
        <color theme="1"/>
        <rFont val="Arial"/>
        <family val="2"/>
      </rPr>
      <t>Informations sur les modes de calcul des indicateurs 3, 5 et 7</t>
    </r>
    <r>
      <rPr>
        <b/>
        <sz val="14"/>
        <color theme="1"/>
        <rFont val="Arial"/>
        <family val="2"/>
      </rPr>
      <t xml:space="preserve">
</t>
    </r>
    <r>
      <rPr>
        <sz val="14"/>
        <color theme="1"/>
        <rFont val="Arial"/>
        <family val="2"/>
      </rPr>
      <t>-L'indicateur 3 est calculé à partir des indicateurs 1 et 2.
-L'indicateur 5 est calculé à partir des indicateurs 1 et 4.
-L'indicateur 7 est calculé à partir des indicateurs 1 et 6.</t>
    </r>
  </si>
  <si>
    <t>Taux Emissions CO2e par type de véhicule</t>
  </si>
  <si>
    <t>1er segment transport</t>
  </si>
  <si>
    <t>Type TRANSPORT</t>
  </si>
  <si>
    <t>% répartition segment 1</t>
  </si>
  <si>
    <t>taux d'émission de CO2e par unité transportée et par km (kg/TxKM)</t>
  </si>
  <si>
    <t>AFF</t>
  </si>
  <si>
    <t>Articulé - 44 à 60 tonnes - Diesel routier, incorporation 7 % de biodiesel</t>
  </si>
  <si>
    <t>V</t>
  </si>
  <si>
    <t>VUL - &lt; 3,5 tonnes - Essence</t>
  </si>
  <si>
    <t>C</t>
  </si>
  <si>
    <t>Rigide - 3,5 à 7,5 tonnes - Diesel routier, incorporation 7 % de biodiesel</t>
  </si>
  <si>
    <t>GV</t>
  </si>
  <si>
    <t>Rigide - 7,5 à 12 tonnes - Diesel routier, incorporation 7 % de biodiesel</t>
  </si>
  <si>
    <t>NAV</t>
  </si>
  <si>
    <t>PL</t>
  </si>
  <si>
    <t>Rigide - 12 à 20 tonnes - Diesel routier, incorporation 7 % de biodiesel</t>
  </si>
  <si>
    <t>PLR</t>
  </si>
  <si>
    <t>PALEX</t>
  </si>
  <si>
    <t>PAEX</t>
  </si>
  <si>
    <t>POLE</t>
  </si>
  <si>
    <t>POLE DCR</t>
  </si>
  <si>
    <t>2nd segment transport</t>
  </si>
  <si>
    <t>si 0% , l'intégralité du transport est réalisé avec le mode de transport défini en segment 1</t>
  </si>
  <si>
    <t>% répartition segment 2</t>
  </si>
  <si>
    <t>Mois</t>
  </si>
  <si>
    <t>67100 STRASBOURG</t>
  </si>
  <si>
    <t>59100ROUBAIX</t>
  </si>
  <si>
    <t>67000 STRASBOURG</t>
  </si>
  <si>
    <t>91100VILLABE</t>
  </si>
  <si>
    <t>93120 COURNEUVE/LA</t>
  </si>
  <si>
    <t>67100STRASBOURG</t>
  </si>
  <si>
    <t>91100 VILLABE</t>
  </si>
  <si>
    <t>13000MARSEILLE</t>
  </si>
  <si>
    <t>8090CHARLEVILLE MEZ</t>
  </si>
  <si>
    <t>66000PERPIGNAN</t>
  </si>
  <si>
    <t>26750 ROMANS SUR ISER</t>
  </si>
  <si>
    <t>93120COURNEUVE/LA</t>
  </si>
  <si>
    <t>6700ST LAURENT DU VA</t>
  </si>
  <si>
    <t>26750ROMANS SUR ISER</t>
  </si>
  <si>
    <t>1 311 972</t>
  </si>
  <si>
    <t>94440 MAROLLES EN BRI</t>
  </si>
  <si>
    <t>97302CAYENNE</t>
  </si>
  <si>
    <t>7.086,72</t>
  </si>
  <si>
    <t>21300CHENOVE</t>
  </si>
  <si>
    <t>59200TOURCOING</t>
  </si>
  <si>
    <t>60000BEAUVAIS</t>
  </si>
  <si>
    <t>40300 PEYREHORADE</t>
  </si>
  <si>
    <t>21300 CHENOVE</t>
  </si>
  <si>
    <t>51800STE MENEHOULD</t>
  </si>
  <si>
    <t>67800BISCHHEIM</t>
  </si>
  <si>
    <t>59100 ROUBAIX</t>
  </si>
  <si>
    <t>75001PARIS 01</t>
  </si>
  <si>
    <t>59243QUAROUBLE</t>
  </si>
  <si>
    <t>62780CUCQ</t>
  </si>
  <si>
    <t>44260LAVAU SUR LOIRE</t>
  </si>
  <si>
    <t>59810LESQUIN</t>
  </si>
  <si>
    <t>39570LONS LE SAUNIER</t>
  </si>
  <si>
    <t>77230MOUSSY LE NEUF</t>
  </si>
  <si>
    <t>40300PEYREHORADE</t>
  </si>
  <si>
    <t>28630CHARTRES</t>
  </si>
  <si>
    <t>91090 LISSES</t>
  </si>
  <si>
    <t>92230GENNEVILLIERS</t>
  </si>
  <si>
    <t>59810 LESQUIN</t>
  </si>
  <si>
    <t>62780 CUCQ</t>
  </si>
  <si>
    <t>39570 LONS LE SAUNIER</t>
  </si>
  <si>
    <t>59243 QUAROUBLE</t>
  </si>
  <si>
    <t>59800LILLE</t>
  </si>
  <si>
    <t>1 336 708</t>
  </si>
  <si>
    <t>2098.00</t>
  </si>
  <si>
    <t>97217LES ANSES D'ARLET</t>
  </si>
  <si>
    <t>6,871.60</t>
  </si>
  <si>
    <t>94440MAROLLES EN BRI</t>
  </si>
  <si>
    <t>80400HAM</t>
  </si>
  <si>
    <t>21600OUGES</t>
  </si>
  <si>
    <t>52200LANGRES</t>
  </si>
  <si>
    <t>8090 CHARLEVILLE MEZ</t>
  </si>
  <si>
    <t>75019PARIS 19</t>
  </si>
  <si>
    <t>74200THONON LES BAIN</t>
  </si>
  <si>
    <t>62620RUITZ</t>
  </si>
  <si>
    <t>80400 HAM</t>
  </si>
  <si>
    <t>91460MARCOUSSIS</t>
  </si>
  <si>
    <t>4100MANOSQUE</t>
  </si>
  <si>
    <t>62138 HAISNES</t>
  </si>
  <si>
    <t>21600 OUGES</t>
  </si>
  <si>
    <t>75015PARIS 15</t>
  </si>
  <si>
    <t>89440JOUX LA VILLE</t>
  </si>
  <si>
    <t>60000 BEAUVAIS</t>
  </si>
  <si>
    <t>1 364 031</t>
  </si>
  <si>
    <t>1 364 350</t>
  </si>
  <si>
    <t>62450BAPAUME</t>
  </si>
  <si>
    <t>1 364 897</t>
  </si>
  <si>
    <t>1 364 918</t>
  </si>
  <si>
    <t>1 364 913</t>
  </si>
  <si>
    <t>1 364 892</t>
  </si>
  <si>
    <t>1 364 886</t>
  </si>
  <si>
    <t>1 364 905</t>
  </si>
  <si>
    <t>1 364 877</t>
  </si>
  <si>
    <t>1 365 616</t>
  </si>
  <si>
    <t>1 365 549</t>
  </si>
  <si>
    <t>1 366 171</t>
  </si>
  <si>
    <t>62138HAISNES</t>
  </si>
  <si>
    <t>1 366 714</t>
  </si>
  <si>
    <t>1 365 472</t>
  </si>
  <si>
    <t>1 365 611</t>
  </si>
  <si>
    <t>1 366 022</t>
  </si>
  <si>
    <t>1 365 567</t>
  </si>
  <si>
    <t>1 367 285</t>
  </si>
  <si>
    <t>1 365 038</t>
  </si>
  <si>
    <t>34000 MONTPELLIER</t>
  </si>
  <si>
    <t>1 367 812</t>
  </si>
  <si>
    <t>1 367 798</t>
  </si>
  <si>
    <t>1 365 194</t>
  </si>
  <si>
    <t>1 368 435</t>
  </si>
  <si>
    <t>1 368 438</t>
  </si>
  <si>
    <t>1 368 479</t>
  </si>
  <si>
    <t>1 368 862</t>
  </si>
  <si>
    <t>1 368 472</t>
  </si>
  <si>
    <t>1 369 338</t>
  </si>
  <si>
    <t>1 370 254</t>
  </si>
  <si>
    <t>93000BOBIGNY</t>
  </si>
  <si>
    <t>1 369 762</t>
  </si>
  <si>
    <t>1 369 760</t>
  </si>
  <si>
    <t>1 369 761</t>
  </si>
  <si>
    <t>1 370 412</t>
  </si>
  <si>
    <t>1 370 143</t>
  </si>
  <si>
    <t>1 370 844</t>
  </si>
  <si>
    <t>93000 BOBIGNY</t>
  </si>
  <si>
    <t>1 370 989</t>
  </si>
  <si>
    <t>1 371 122</t>
  </si>
  <si>
    <t>95310ST OUEN L'AUMON</t>
  </si>
  <si>
    <t>1 371 124</t>
  </si>
  <si>
    <t>95800CERGY LE HAUT</t>
  </si>
  <si>
    <t>1 371 344</t>
  </si>
  <si>
    <t>92140CLAMART</t>
  </si>
  <si>
    <t>1 370 374</t>
  </si>
  <si>
    <t>1 371 811</t>
  </si>
  <si>
    <t>1 370 373</t>
  </si>
  <si>
    <t>1 370 830</t>
  </si>
  <si>
    <t>1 370 913</t>
  </si>
  <si>
    <t>1 371 882</t>
  </si>
  <si>
    <t>62450 BAPAUME</t>
  </si>
  <si>
    <t>1 371 465</t>
  </si>
  <si>
    <t>1 371 982</t>
  </si>
  <si>
    <t>1 372 434</t>
  </si>
  <si>
    <t>1 372 433</t>
  </si>
  <si>
    <t>1 372 435</t>
  </si>
  <si>
    <t>1 373 651</t>
  </si>
  <si>
    <t>33185HAILLAN/LE</t>
  </si>
  <si>
    <t>1 372 391</t>
  </si>
  <si>
    <t>1 369 759</t>
  </si>
  <si>
    <t>1 373 074</t>
  </si>
  <si>
    <t>1 373 073</t>
  </si>
  <si>
    <t>1 373 589</t>
  </si>
  <si>
    <t>1 374 250</t>
  </si>
  <si>
    <t>1 374 639</t>
  </si>
  <si>
    <t>1 374 125</t>
  </si>
  <si>
    <t>1 375 106</t>
  </si>
  <si>
    <t>1 375 107</t>
  </si>
  <si>
    <t>1 376 211</t>
  </si>
  <si>
    <t>94240HAYES LES ROSES</t>
  </si>
  <si>
    <t>1 375 108</t>
  </si>
  <si>
    <t>1 375 702</t>
  </si>
  <si>
    <t>1 377 064</t>
  </si>
  <si>
    <t>1 375 701</t>
  </si>
  <si>
    <t>1 377 081</t>
  </si>
  <si>
    <t>1 377 985</t>
  </si>
  <si>
    <t>75018PARIS 18</t>
  </si>
  <si>
    <t>1 377 988</t>
  </si>
  <si>
    <t>92700COLOMBES</t>
  </si>
  <si>
    <t>1 377 990</t>
  </si>
  <si>
    <t>75014PARIS 14</t>
  </si>
  <si>
    <t>1 376 775</t>
  </si>
  <si>
    <t>1 378 162</t>
  </si>
  <si>
    <t>1 377 351</t>
  </si>
  <si>
    <t>1 377 816</t>
  </si>
  <si>
    <t>1 377 817</t>
  </si>
  <si>
    <t>1 377 818</t>
  </si>
  <si>
    <t>1 378 407</t>
  </si>
  <si>
    <t>1 378 766</t>
  </si>
  <si>
    <t>1 377 815</t>
  </si>
  <si>
    <t>1 379 751</t>
  </si>
  <si>
    <t>1 378 914</t>
  </si>
  <si>
    <t>1 380 010</t>
  </si>
  <si>
    <t>1 379 496</t>
  </si>
  <si>
    <t>1 380 064</t>
  </si>
  <si>
    <t>1 380 614</t>
  </si>
  <si>
    <t>1 380 615</t>
  </si>
  <si>
    <t>1 381 197</t>
  </si>
  <si>
    <t>1 381 767</t>
  </si>
  <si>
    <t>1 378 406</t>
  </si>
  <si>
    <t>1 382 967</t>
  </si>
  <si>
    <t>78200MANTES LA JOLIE</t>
  </si>
  <si>
    <t>1 382 822</t>
  </si>
  <si>
    <t>1 382 905</t>
  </si>
  <si>
    <t>1 382 305</t>
  </si>
  <si>
    <t>1 383 358</t>
  </si>
  <si>
    <t>1 383 359</t>
  </si>
  <si>
    <t>1 380 616</t>
  </si>
  <si>
    <t>1 383 889</t>
  </si>
  <si>
    <t>1 383 357</t>
  </si>
  <si>
    <t>1 383 888</t>
  </si>
  <si>
    <t>1 384 436</t>
  </si>
  <si>
    <t>1 386 246</t>
  </si>
  <si>
    <t>93410VAUJOURS</t>
  </si>
  <si>
    <t>1 386 243</t>
  </si>
  <si>
    <t>1 385 035</t>
  </si>
  <si>
    <t>1 385 583</t>
  </si>
  <si>
    <t>1 386 106</t>
  </si>
  <si>
    <t>1 386 793</t>
  </si>
  <si>
    <t>1 386 107</t>
  </si>
  <si>
    <t>1 386 802</t>
  </si>
  <si>
    <t>1 386 108</t>
  </si>
  <si>
    <t>1 386 105</t>
  </si>
  <si>
    <t>1 386 595</t>
  </si>
  <si>
    <t>1 386 797</t>
  </si>
  <si>
    <t>1 387 626</t>
  </si>
  <si>
    <t>1 387 051</t>
  </si>
  <si>
    <t>1 388 075</t>
  </si>
  <si>
    <t>1 388 338</t>
  </si>
  <si>
    <t>1 388 072</t>
  </si>
  <si>
    <t>1 388 073</t>
  </si>
  <si>
    <t>1 388 074</t>
  </si>
  <si>
    <t>1 388 636</t>
  </si>
  <si>
    <t>1 388 635</t>
  </si>
  <si>
    <t>1 389 155</t>
  </si>
  <si>
    <t>1 389 649</t>
  </si>
  <si>
    <t>1 390 118</t>
  </si>
  <si>
    <t>1 390 467</t>
  </si>
  <si>
    <t>1 390 468</t>
  </si>
  <si>
    <t>1 390 542</t>
  </si>
  <si>
    <t>1 390 540</t>
  </si>
  <si>
    <t>1 390 541</t>
  </si>
  <si>
    <t>1 390 539</t>
  </si>
  <si>
    <t>1 391 679</t>
  </si>
  <si>
    <t>1 391 084</t>
  </si>
  <si>
    <t>1 391 083</t>
  </si>
  <si>
    <t>1 392 212</t>
  </si>
  <si>
    <t>1 392 223</t>
  </si>
  <si>
    <t>35330CAMPEL</t>
  </si>
  <si>
    <t>1 391 590</t>
  </si>
  <si>
    <t>1 392 032</t>
  </si>
  <si>
    <t>1 392 477</t>
  </si>
  <si>
    <t>1 392 890</t>
  </si>
  <si>
    <t>1 393 348</t>
  </si>
  <si>
    <t>1 394 028</t>
  </si>
  <si>
    <t>93100MONTREUIL</t>
  </si>
  <si>
    <t>1 392 892</t>
  </si>
  <si>
    <t>1 393 857</t>
  </si>
  <si>
    <t>1 393 347</t>
  </si>
  <si>
    <t>1 393 778</t>
  </si>
  <si>
    <t>1 394 313</t>
  </si>
  <si>
    <t>1 394 609</t>
  </si>
  <si>
    <t>1 394 175</t>
  </si>
  <si>
    <t>1 394 517</t>
  </si>
  <si>
    <t>1 394 828</t>
  </si>
  <si>
    <t>1 395 221</t>
  </si>
  <si>
    <t>1 395 922</t>
  </si>
  <si>
    <t>1 395 632</t>
  </si>
  <si>
    <t>1 395 637</t>
  </si>
  <si>
    <t>1 395 860</t>
  </si>
  <si>
    <t>1 395 861</t>
  </si>
  <si>
    <t>1 395 727</t>
  </si>
  <si>
    <t>1 395 532</t>
  </si>
  <si>
    <t>1 395 822</t>
  </si>
  <si>
    <t>1 396 870</t>
  </si>
  <si>
    <t>1 396 873</t>
  </si>
  <si>
    <t>1 396 137</t>
  </si>
  <si>
    <t>1 396 367</t>
  </si>
  <si>
    <t>1 396 338</t>
  </si>
  <si>
    <t>62620 RUITZ</t>
  </si>
  <si>
    <t>1 396 738</t>
  </si>
  <si>
    <t>1 396 369</t>
  </si>
  <si>
    <t>1 396 913</t>
  </si>
  <si>
    <t>1 397 311</t>
  </si>
  <si>
    <t>1 397 099</t>
  </si>
  <si>
    <t>1 397 665</t>
  </si>
  <si>
    <t>1 398 101</t>
  </si>
  <si>
    <t>1 397 664</t>
  </si>
  <si>
    <t>1 398 110</t>
  </si>
  <si>
    <t>1 397 848</t>
  </si>
  <si>
    <t>1 397 408</t>
  </si>
  <si>
    <t>1 397 920</t>
  </si>
  <si>
    <t>1 397 734</t>
  </si>
  <si>
    <t>1 398 509</t>
  </si>
  <si>
    <t>1 397 986</t>
  </si>
  <si>
    <t>1 397 988</t>
  </si>
  <si>
    <t>1 397 987</t>
  </si>
  <si>
    <t>1 398 455</t>
  </si>
  <si>
    <t>1 397 989</t>
  </si>
  <si>
    <t>1 398 454</t>
  </si>
  <si>
    <t>1 398 956</t>
  </si>
  <si>
    <t>1 400 050</t>
  </si>
  <si>
    <t>1 400 054</t>
  </si>
  <si>
    <t>1 400 047</t>
  </si>
  <si>
    <t>1 399 390</t>
  </si>
  <si>
    <t>1 399 697</t>
  </si>
  <si>
    <t>1 399 772</t>
  </si>
  <si>
    <t>1 400 106</t>
  </si>
  <si>
    <t>1 400 109</t>
  </si>
  <si>
    <t>1 400 107</t>
  </si>
  <si>
    <t>1 400 108</t>
  </si>
  <si>
    <t>1 400 591</t>
  </si>
  <si>
    <t>1 400 643</t>
  </si>
  <si>
    <t>1 400 590</t>
  </si>
  <si>
    <t>1 401 066</t>
  </si>
  <si>
    <t>1 401 377</t>
  </si>
  <si>
    <t>1 402 212</t>
  </si>
  <si>
    <t>1 400 839</t>
  </si>
  <si>
    <t>1 402 057</t>
  </si>
  <si>
    <t>1 402 476</t>
  </si>
  <si>
    <t>1 401 606</t>
  </si>
  <si>
    <t>1 403 076</t>
  </si>
  <si>
    <t>1 402 477</t>
  </si>
  <si>
    <t>1 402 208</t>
  </si>
  <si>
    <t>1 402 475</t>
  </si>
  <si>
    <t>1 404 080</t>
  </si>
  <si>
    <t>72000MANS/LE</t>
  </si>
  <si>
    <t>1 403 597</t>
  </si>
  <si>
    <t>1 405 348</t>
  </si>
  <si>
    <t>37220ILE BOUCHARD/L''</t>
  </si>
  <si>
    <t>1 405 216</t>
  </si>
  <si>
    <t>1 404 765</t>
  </si>
  <si>
    <t>1 405 321</t>
  </si>
  <si>
    <t>1 405 910</t>
  </si>
  <si>
    <t>1 405 322</t>
  </si>
  <si>
    <t>1 405 320</t>
  </si>
  <si>
    <t>1 402 474</t>
  </si>
  <si>
    <t>1 403 075</t>
  </si>
  <si>
    <t>1 406 506</t>
  </si>
  <si>
    <t>1 408 407</t>
  </si>
  <si>
    <t>1 404 190</t>
  </si>
  <si>
    <t>1 407 973</t>
  </si>
  <si>
    <t>1 407 972</t>
  </si>
  <si>
    <t>1 407 971</t>
  </si>
  <si>
    <t>1 408 874</t>
  </si>
  <si>
    <t>1 409 229</t>
  </si>
  <si>
    <t>91380CHILLY MAZARIN</t>
  </si>
  <si>
    <t>1 408 379</t>
  </si>
  <si>
    <t>1 410 110</t>
  </si>
  <si>
    <t>1 409 327</t>
  </si>
  <si>
    <t>1 410 529</t>
  </si>
  <si>
    <t>1 410 827</t>
  </si>
  <si>
    <t>59220ROUVIGNIES</t>
  </si>
  <si>
    <t>1 411 021</t>
  </si>
  <si>
    <t>33800BORDEAUX</t>
  </si>
  <si>
    <t>1 411 640</t>
  </si>
  <si>
    <t>1 411 641</t>
  </si>
  <si>
    <t>1 410 398</t>
  </si>
  <si>
    <t>1 411 644</t>
  </si>
  <si>
    <t>1 411 440</t>
  </si>
  <si>
    <t>1 411 969</t>
  </si>
  <si>
    <t>1 450 191</t>
  </si>
  <si>
    <t>1 448 943</t>
  </si>
  <si>
    <t>1 450 194</t>
  </si>
  <si>
    <t>1 451 225</t>
  </si>
  <si>
    <t>1 451 971</t>
  </si>
  <si>
    <t>1 452 476</t>
  </si>
  <si>
    <t>1 452 037</t>
  </si>
  <si>
    <t>24400LECHES/LES</t>
  </si>
  <si>
    <t>1 452 726</t>
  </si>
  <si>
    <t>1 453 720</t>
  </si>
  <si>
    <t>1 453 008</t>
  </si>
  <si>
    <t>1 453 723</t>
  </si>
  <si>
    <t>1 454 811</t>
  </si>
  <si>
    <t>1 455 266</t>
  </si>
  <si>
    <t>1 454 643</t>
  </si>
  <si>
    <t>1 454 622</t>
  </si>
  <si>
    <t>1 454 340</t>
  </si>
  <si>
    <t>1 456 262</t>
  </si>
  <si>
    <t>1 457 123</t>
  </si>
  <si>
    <t>1 457 742</t>
  </si>
  <si>
    <t>1 457 783</t>
  </si>
  <si>
    <t>1 457 781</t>
  </si>
  <si>
    <t>1 458 403</t>
  </si>
  <si>
    <t>1 458 359</t>
  </si>
  <si>
    <t>1 458 865</t>
  </si>
  <si>
    <t>1 459 220</t>
  </si>
  <si>
    <t>1 459 469</t>
  </si>
  <si>
    <t>73490RAVOIRE/LA</t>
  </si>
  <si>
    <t>1 459 977</t>
  </si>
  <si>
    <t>1 459 249</t>
  </si>
  <si>
    <t>1 460 405</t>
  </si>
  <si>
    <t>1 460 409</t>
  </si>
  <si>
    <t>1 458 804</t>
  </si>
  <si>
    <t>1 460 909</t>
  </si>
  <si>
    <t>1 462 195</t>
  </si>
  <si>
    <t>1 462 330</t>
  </si>
  <si>
    <t>1 462 708</t>
  </si>
  <si>
    <t>1 463 263</t>
  </si>
  <si>
    <t>1 463 751</t>
  </si>
  <si>
    <t>1 463 489</t>
  </si>
  <si>
    <t>1 462 304</t>
  </si>
  <si>
    <t>1 463 957</t>
  </si>
  <si>
    <t>1 464 684</t>
  </si>
  <si>
    <t>93130NOISY LE SEC</t>
  </si>
  <si>
    <t>1 464 679</t>
  </si>
  <si>
    <t>1 464 680</t>
  </si>
  <si>
    <t>1 464 682</t>
  </si>
  <si>
    <t>1 464 685</t>
  </si>
  <si>
    <t>1 464 672</t>
  </si>
  <si>
    <t>19410PERPEZAC LE NOI</t>
  </si>
  <si>
    <t>1 464 678</t>
  </si>
  <si>
    <t>1 464 666</t>
  </si>
  <si>
    <t>1 464 129</t>
  </si>
  <si>
    <t>1 465 465</t>
  </si>
  <si>
    <t>1 464 586</t>
  </si>
  <si>
    <t>1 464 977</t>
  </si>
  <si>
    <t>1 465 453</t>
  </si>
  <si>
    <t>1 465 450</t>
  </si>
  <si>
    <t>1 466 351</t>
  </si>
  <si>
    <t>1 467 156</t>
  </si>
  <si>
    <t>1 467 155</t>
  </si>
  <si>
    <t>1 466 612</t>
  </si>
  <si>
    <t>1 467 925</t>
  </si>
  <si>
    <t>1 467 994</t>
  </si>
  <si>
    <t>1 467 970</t>
  </si>
  <si>
    <t>1 467 141</t>
  </si>
  <si>
    <t>1 467 408</t>
  </si>
  <si>
    <t>1 467 684</t>
  </si>
  <si>
    <t>1 468 294</t>
  </si>
  <si>
    <t>1 469 677</t>
  </si>
  <si>
    <t>1 469 674</t>
  </si>
  <si>
    <t>1 469 675</t>
  </si>
  <si>
    <t>1 469 759</t>
  </si>
  <si>
    <t>1 469 758</t>
  </si>
  <si>
    <t>1 468 036</t>
  </si>
  <si>
    <t>1 469 560</t>
  </si>
  <si>
    <t>1 469 678</t>
  </si>
  <si>
    <t>1 469 760</t>
  </si>
  <si>
    <t>1 469 441</t>
  </si>
  <si>
    <t>1 469 458</t>
  </si>
  <si>
    <t>1 470 075</t>
  </si>
  <si>
    <t>1 470 076</t>
  </si>
  <si>
    <t>1 470 079</t>
  </si>
  <si>
    <t>1 468 214</t>
  </si>
  <si>
    <t>1 470 074</t>
  </si>
  <si>
    <t>1 469 887</t>
  </si>
  <si>
    <t>1 469 883</t>
  </si>
  <si>
    <t>1 470 078</t>
  </si>
  <si>
    <t>1 469 906</t>
  </si>
  <si>
    <t>1 470 000</t>
  </si>
  <si>
    <t>1 470 336</t>
  </si>
  <si>
    <t>1 471 171</t>
  </si>
  <si>
    <t>1 471 644</t>
  </si>
  <si>
    <t>1 469 982</t>
  </si>
  <si>
    <t>1 470 226</t>
  </si>
  <si>
    <t>13000 MARSEILLE</t>
  </si>
  <si>
    <t>1 471 796</t>
  </si>
  <si>
    <t>1 471 722</t>
  </si>
  <si>
    <t>1 470 227</t>
  </si>
  <si>
    <t>1 471 647</t>
  </si>
  <si>
    <t>1 473 154</t>
  </si>
  <si>
    <t>1 473 155</t>
  </si>
  <si>
    <t>1 473 153</t>
  </si>
  <si>
    <t>1 474 301</t>
  </si>
  <si>
    <t>1 472 547</t>
  </si>
  <si>
    <t>1 472 532</t>
  </si>
  <si>
    <t>1 473 584</t>
  </si>
  <si>
    <t>76380CANTELEU</t>
  </si>
  <si>
    <t>1 473 583</t>
  </si>
  <si>
    <t>1 473 532</t>
  </si>
  <si>
    <t>1 472 695</t>
  </si>
  <si>
    <t>1 473 585</t>
  </si>
  <si>
    <t>1 474 148</t>
  </si>
  <si>
    <t>1 473 651</t>
  </si>
  <si>
    <t>1 474 288</t>
  </si>
  <si>
    <t>1 474 149</t>
  </si>
  <si>
    <t>1 474 150</t>
  </si>
  <si>
    <t>33520BRUGES</t>
  </si>
  <si>
    <t>1 473 649</t>
  </si>
  <si>
    <t>1 474 855</t>
  </si>
  <si>
    <t>1 474 300</t>
  </si>
  <si>
    <t>1 473 711</t>
  </si>
  <si>
    <t>1 475 437</t>
  </si>
  <si>
    <t>1 475 438</t>
  </si>
  <si>
    <t>1 475 340</t>
  </si>
  <si>
    <t>13010 MARSEILLE</t>
  </si>
  <si>
    <t>1 475 871</t>
  </si>
  <si>
    <t>1 475 940</t>
  </si>
  <si>
    <t>1 475 338</t>
  </si>
  <si>
    <t>1 475 768</t>
  </si>
  <si>
    <t>1 476 557</t>
  </si>
  <si>
    <t>1 475 942</t>
  </si>
  <si>
    <t>1 477 055</t>
  </si>
  <si>
    <t>49280CHOLET</t>
  </si>
  <si>
    <t>1 477 056</t>
  </si>
  <si>
    <t>44150ANCENIS</t>
  </si>
  <si>
    <t>1 477 057</t>
  </si>
  <si>
    <t>25300PONTARLIER</t>
  </si>
  <si>
    <t>1 476 993</t>
  </si>
  <si>
    <t>1 477 058</t>
  </si>
  <si>
    <t>1 476 581</t>
  </si>
  <si>
    <t>1 477 744</t>
  </si>
  <si>
    <t>1 476 994</t>
  </si>
  <si>
    <t>1 476 989</t>
  </si>
  <si>
    <t>1 477 743</t>
  </si>
  <si>
    <t>1 478 396</t>
  </si>
  <si>
    <t>1 478 410</t>
  </si>
  <si>
    <t>1 478 412</t>
  </si>
  <si>
    <t>1 478 397</t>
  </si>
  <si>
    <t>1 478 394</t>
  </si>
  <si>
    <t>1 478 399</t>
  </si>
  <si>
    <t>85200FONTENAY LE COM</t>
  </si>
  <si>
    <t>1 478 408</t>
  </si>
  <si>
    <t>80090AMIENS</t>
  </si>
  <si>
    <t>1 476 992</t>
  </si>
  <si>
    <t>1 477 816</t>
  </si>
  <si>
    <t>1 478 323</t>
  </si>
  <si>
    <t>1 477 758</t>
  </si>
  <si>
    <t>1 478 325</t>
  </si>
  <si>
    <t>1 478 393</t>
  </si>
  <si>
    <t>42000ST ETIENNE</t>
  </si>
  <si>
    <t>1 478 874</t>
  </si>
  <si>
    <t>1 478 875</t>
  </si>
  <si>
    <t>1 478 872</t>
  </si>
  <si>
    <t>1 478 873</t>
  </si>
  <si>
    <t>1 478 871</t>
  </si>
  <si>
    <t>31390CARBONNE</t>
  </si>
  <si>
    <t>1 478 870</t>
  </si>
  <si>
    <t>1 478 759</t>
  </si>
  <si>
    <t>1 479 659</t>
  </si>
  <si>
    <t>1 479 705</t>
  </si>
  <si>
    <t>1 479 657</t>
  </si>
  <si>
    <t>1 478 756</t>
  </si>
  <si>
    <t>1 479 270</t>
  </si>
  <si>
    <t>1 479 658</t>
  </si>
  <si>
    <t>1 479 776</t>
  </si>
  <si>
    <t>1 478 775</t>
  </si>
  <si>
    <t>1 480 481</t>
  </si>
  <si>
    <t>1 480 274</t>
  </si>
  <si>
    <t>1 479 288</t>
  </si>
  <si>
    <t>1 480 278</t>
  </si>
  <si>
    <t>1 480 279</t>
  </si>
  <si>
    <t>1 480 275</t>
  </si>
  <si>
    <t>1 481 077</t>
  </si>
  <si>
    <t>1 480 214</t>
  </si>
  <si>
    <t>1 479 944</t>
  </si>
  <si>
    <t>1 479 770</t>
  </si>
  <si>
    <t>1 480 651</t>
  </si>
  <si>
    <t>1 481 448</t>
  </si>
  <si>
    <t>1 480 578</t>
  </si>
  <si>
    <t>1 481 372</t>
  </si>
  <si>
    <t>1 481 138</t>
  </si>
  <si>
    <t>19410 PERPEZAC LE NOI</t>
  </si>
  <si>
    <t>1 480 571</t>
  </si>
  <si>
    <t>59118WAMBRECHIES</t>
  </si>
  <si>
    <t>1 481 078</t>
  </si>
  <si>
    <t>40230ST GEOURS DE MA</t>
  </si>
  <si>
    <t>1 480 850</t>
  </si>
  <si>
    <t>1 480 992</t>
  </si>
  <si>
    <t>1 481 079</t>
  </si>
  <si>
    <t>64230SAUVAGNON</t>
  </si>
  <si>
    <t>1 481 628</t>
  </si>
  <si>
    <t>75010PARIS 10</t>
  </si>
  <si>
    <t>1 481 027</t>
  </si>
  <si>
    <t>1 481 946</t>
  </si>
  <si>
    <t>1 481 701</t>
  </si>
  <si>
    <t>1 481 389</t>
  </si>
  <si>
    <t>1 481 793</t>
  </si>
  <si>
    <t>1 479 290</t>
  </si>
  <si>
    <t>1 481 851</t>
  </si>
  <si>
    <t>1 482 314</t>
  </si>
  <si>
    <t>1 481 882</t>
  </si>
  <si>
    <t>59118 WAMBRECHIES</t>
  </si>
  <si>
    <t>1 482 545</t>
  </si>
  <si>
    <t>1 482 530</t>
  </si>
  <si>
    <t>1 483 081</t>
  </si>
  <si>
    <t>1 482 632</t>
  </si>
  <si>
    <t>1 482 894</t>
  </si>
  <si>
    <t>1 482 717</t>
  </si>
  <si>
    <t>1 483 766</t>
  </si>
  <si>
    <t>1 483 764</t>
  </si>
  <si>
    <t>1 483 765</t>
  </si>
  <si>
    <t>1 482 328</t>
  </si>
  <si>
    <t>1 483 666</t>
  </si>
  <si>
    <t>1 481 897</t>
  </si>
  <si>
    <t>1 483 767</t>
  </si>
  <si>
    <t>1 483 505</t>
  </si>
  <si>
    <t>1 483 506</t>
  </si>
  <si>
    <t>1 484 872</t>
  </si>
  <si>
    <t>1 484 873</t>
  </si>
  <si>
    <t>1 484 207</t>
  </si>
  <si>
    <t>1 484 874</t>
  </si>
  <si>
    <t>1 484 867</t>
  </si>
  <si>
    <t>1 482 898</t>
  </si>
  <si>
    <t>73490 RAVOIRE/LA</t>
  </si>
  <si>
    <t>1 484 217</t>
  </si>
  <si>
    <t>1 484 870</t>
  </si>
  <si>
    <t>1 484 869</t>
  </si>
  <si>
    <t>1 484 871</t>
  </si>
  <si>
    <t>1 484 210</t>
  </si>
  <si>
    <t>1 485 340</t>
  </si>
  <si>
    <t>91300MASSY</t>
  </si>
  <si>
    <t>1 485 338</t>
  </si>
  <si>
    <t>1 484 747</t>
  </si>
  <si>
    <t>1 484 684</t>
  </si>
  <si>
    <t>1 485 337</t>
  </si>
  <si>
    <t>1 485 061</t>
  </si>
  <si>
    <t>1 486 103</t>
  </si>
  <si>
    <t>1 485 666</t>
  </si>
  <si>
    <t>1 485 667</t>
  </si>
  <si>
    <t>1 485 665</t>
  </si>
  <si>
    <t>87000LIMOGES</t>
  </si>
  <si>
    <t>1 485 503</t>
  </si>
  <si>
    <t>1 485 668</t>
  </si>
  <si>
    <t>53120GORRON</t>
  </si>
  <si>
    <t>1 485 205</t>
  </si>
  <si>
    <t>1 484 546</t>
  </si>
  <si>
    <t>64230 SAUVAGNON</t>
  </si>
  <si>
    <t>1 485 213</t>
  </si>
  <si>
    <t>1 485 079</t>
  </si>
  <si>
    <t>1 486 656</t>
  </si>
  <si>
    <t>1 486 657</t>
  </si>
  <si>
    <t>69800ST PRIEST</t>
  </si>
  <si>
    <t>1 486 655</t>
  </si>
  <si>
    <t>1 485 751</t>
  </si>
  <si>
    <t>1 486 658</t>
  </si>
  <si>
    <t>1 486 022</t>
  </si>
  <si>
    <t>1 485 697</t>
  </si>
  <si>
    <t>1 485 653</t>
  </si>
  <si>
    <t>1 487 207</t>
  </si>
  <si>
    <t>1 487 401</t>
  </si>
  <si>
    <t>1 487 206</t>
  </si>
  <si>
    <t>1 487 390</t>
  </si>
  <si>
    <t>1 486 440</t>
  </si>
  <si>
    <t>1 487 399</t>
  </si>
  <si>
    <t>1 486 861</t>
  </si>
  <si>
    <t>1 487 203</t>
  </si>
  <si>
    <t>1 487 208</t>
  </si>
  <si>
    <t>6520GRASSE</t>
  </si>
  <si>
    <t>1 486 343</t>
  </si>
  <si>
    <t>1 487 204</t>
  </si>
  <si>
    <t>1 486 774</t>
  </si>
  <si>
    <t>62117BREBIERES</t>
  </si>
  <si>
    <t>1 486 219</t>
  </si>
  <si>
    <t>1 485 080</t>
  </si>
  <si>
    <t>1 486 647</t>
  </si>
  <si>
    <t>1 486 639</t>
  </si>
  <si>
    <t>1 487 403</t>
  </si>
  <si>
    <t>1 487 065</t>
  </si>
  <si>
    <t>1 486 630</t>
  </si>
  <si>
    <t>1 486 643</t>
  </si>
  <si>
    <t>1 488 466</t>
  </si>
  <si>
    <t>1 488 270</t>
  </si>
  <si>
    <t>1 489 621</t>
  </si>
  <si>
    <t>1 489 620</t>
  </si>
  <si>
    <t>1 489 612</t>
  </si>
  <si>
    <t>1 489 619</t>
  </si>
  <si>
    <t>1 489 800</t>
  </si>
  <si>
    <t>1 489 614</t>
  </si>
  <si>
    <t>1 485 644</t>
  </si>
  <si>
    <t>1 489 613</t>
  </si>
  <si>
    <t>1 488 917</t>
  </si>
  <si>
    <t>1 489 623</t>
  </si>
  <si>
    <t>1 489 616</t>
  </si>
  <si>
    <t>1 489 615</t>
  </si>
  <si>
    <t>1 488 915</t>
  </si>
  <si>
    <t>1 488 918</t>
  </si>
  <si>
    <t>1 490 327</t>
  </si>
  <si>
    <t>1 489 806</t>
  </si>
  <si>
    <t>1 489 212</t>
  </si>
  <si>
    <t>80090 AMIENS</t>
  </si>
  <si>
    <t>1 489 448</t>
  </si>
  <si>
    <t>1 490 328</t>
  </si>
  <si>
    <t>1 489 396</t>
  </si>
  <si>
    <t>1 490 263</t>
  </si>
  <si>
    <t>1 490 460</t>
  </si>
  <si>
    <t>1 492 622</t>
  </si>
  <si>
    <t>1 492 557</t>
  </si>
  <si>
    <t>1 492 578</t>
  </si>
  <si>
    <t>1 491 970</t>
  </si>
  <si>
    <t>1 492 309</t>
  </si>
  <si>
    <t>1 492 310</t>
  </si>
  <si>
    <t>1 493 720</t>
  </si>
  <si>
    <t>1 493 717</t>
  </si>
  <si>
    <t>1 493 789</t>
  </si>
  <si>
    <t>1 492 937</t>
  </si>
  <si>
    <t>1 492 938</t>
  </si>
  <si>
    <t>1 492 935</t>
  </si>
  <si>
    <t>1 494 403</t>
  </si>
  <si>
    <t>1 493 437</t>
  </si>
  <si>
    <t>76380 CANTELEU</t>
  </si>
  <si>
    <t>1 494 402</t>
  </si>
  <si>
    <t>1 493 539</t>
  </si>
  <si>
    <t>1 490 136</t>
  </si>
  <si>
    <t>1 494 397</t>
  </si>
  <si>
    <t>1 494 486</t>
  </si>
  <si>
    <t>1 494 401</t>
  </si>
  <si>
    <t>1 494 398</t>
  </si>
  <si>
    <t>1 494 399</t>
  </si>
  <si>
    <t>1 494 400</t>
  </si>
  <si>
    <t>1 494 426</t>
  </si>
  <si>
    <t>1 492 939</t>
  </si>
  <si>
    <t>1 495 037</t>
  </si>
  <si>
    <t>1 494 377</t>
  </si>
  <si>
    <t>1 494 638</t>
  </si>
  <si>
    <t>1 495 532</t>
  </si>
  <si>
    <t>1 495 552</t>
  </si>
  <si>
    <t>1 494 760</t>
  </si>
  <si>
    <t>1 495 533</t>
  </si>
  <si>
    <t>1 494 761</t>
  </si>
  <si>
    <t>1 495 546</t>
  </si>
  <si>
    <t>1 495 496</t>
  </si>
  <si>
    <t>59200 TOURCOING</t>
  </si>
  <si>
    <t>1 495 335</t>
  </si>
  <si>
    <t>1 495 332</t>
  </si>
  <si>
    <t>1 496 232</t>
  </si>
  <si>
    <t>1 496 520</t>
  </si>
  <si>
    <t>1 495 913</t>
  </si>
  <si>
    <t>1 496 518</t>
  </si>
  <si>
    <t>1 496 540</t>
  </si>
  <si>
    <t>1 496 537</t>
  </si>
  <si>
    <t>1 496 536</t>
  </si>
  <si>
    <t>1 496 539</t>
  </si>
  <si>
    <t>1 495 336</t>
  </si>
  <si>
    <t>1 497 337</t>
  </si>
  <si>
    <t>1 497 339</t>
  </si>
  <si>
    <t>1 497 345</t>
  </si>
  <si>
    <t>1 497 335</t>
  </si>
  <si>
    <t>1 497 338</t>
  </si>
  <si>
    <t>1 496 644</t>
  </si>
  <si>
    <t>1 497 343</t>
  </si>
  <si>
    <t>1 497 344</t>
  </si>
  <si>
    <t>83170BRIGNOLES</t>
  </si>
  <si>
    <t>1 497 340</t>
  </si>
  <si>
    <t>1 497 341</t>
  </si>
  <si>
    <t>1 497 147</t>
  </si>
  <si>
    <t>1 494 106</t>
  </si>
  <si>
    <t>1 497 175</t>
  </si>
  <si>
    <t>1 498 521</t>
  </si>
  <si>
    <t>1 498 519</t>
  </si>
  <si>
    <t>1 498 423</t>
  </si>
  <si>
    <t>1 498 522</t>
  </si>
  <si>
    <t>1300BELLEY</t>
  </si>
  <si>
    <t>1 498 520</t>
  </si>
  <si>
    <t>1 497 611</t>
  </si>
  <si>
    <t>1 498 347</t>
  </si>
  <si>
    <t>1 498 518</t>
  </si>
  <si>
    <t>1 497 680</t>
  </si>
  <si>
    <t>31390 CARBONNE</t>
  </si>
  <si>
    <t>1 498 567</t>
  </si>
  <si>
    <t>1 499 136</t>
  </si>
  <si>
    <t>93380PIERREFITTE SUR</t>
  </si>
  <si>
    <t>1 499 137</t>
  </si>
  <si>
    <t>1 499 138</t>
  </si>
  <si>
    <t>1 498 993</t>
  </si>
  <si>
    <t>1 497 612</t>
  </si>
  <si>
    <t>1 498 236</t>
  </si>
  <si>
    <t>1 498 232</t>
  </si>
  <si>
    <t>1 499 637</t>
  </si>
  <si>
    <t>1 499 640</t>
  </si>
  <si>
    <t>1 499 052</t>
  </si>
  <si>
    <t>1 498 019</t>
  </si>
  <si>
    <t>1 499 043</t>
  </si>
  <si>
    <t>1 499 639</t>
  </si>
  <si>
    <t>1 499 641</t>
  </si>
  <si>
    <t>25200GD CHARMONT</t>
  </si>
  <si>
    <t>1 499 642</t>
  </si>
  <si>
    <t>1 499 341</t>
  </si>
  <si>
    <t>1 500 363</t>
  </si>
  <si>
    <t>1 500 365</t>
  </si>
  <si>
    <t>1 500 364</t>
  </si>
  <si>
    <t>1 500 366</t>
  </si>
  <si>
    <t>1 500 362</t>
  </si>
  <si>
    <t>1 499 633</t>
  </si>
  <si>
    <t>1 498 237</t>
  </si>
  <si>
    <t>1 500 367</t>
  </si>
  <si>
    <t>1 500 498</t>
  </si>
  <si>
    <t>1 497 138</t>
  </si>
  <si>
    <t>1 501 212</t>
  </si>
  <si>
    <t>1 501 053</t>
  </si>
  <si>
    <t>1 500 499</t>
  </si>
  <si>
    <t>1 501 049</t>
  </si>
  <si>
    <t>1 501 716</t>
  </si>
  <si>
    <t>1 500 976</t>
  </si>
  <si>
    <t>1 501 718</t>
  </si>
  <si>
    <t>1 501 715</t>
  </si>
  <si>
    <t>1 501 714</t>
  </si>
  <si>
    <t>1 501 173</t>
  </si>
  <si>
    <t>1 502 507</t>
  </si>
  <si>
    <t>1 502 436</t>
  </si>
  <si>
    <t>1 502 432</t>
  </si>
  <si>
    <t>27940AUBEVOYE</t>
  </si>
  <si>
    <t>1 502 433</t>
  </si>
  <si>
    <t>1 501 901</t>
  </si>
  <si>
    <t>1 501 542</t>
  </si>
  <si>
    <t>1 502 438</t>
  </si>
  <si>
    <t>1 501 605</t>
  </si>
  <si>
    <t>1 502 129</t>
  </si>
  <si>
    <t>93130 NOISY LE SEC</t>
  </si>
  <si>
    <t>1 502 437</t>
  </si>
  <si>
    <t>1 502 435</t>
  </si>
  <si>
    <t>1 502 434</t>
  </si>
  <si>
    <t>1 503 009</t>
  </si>
  <si>
    <t>1 502 961</t>
  </si>
  <si>
    <t>1 501 134</t>
  </si>
  <si>
    <t>1 502 963</t>
  </si>
  <si>
    <t>1 502 964</t>
  </si>
  <si>
    <t>1 502 377</t>
  </si>
  <si>
    <t>1 503 010</t>
  </si>
  <si>
    <t>1 502 960</t>
  </si>
  <si>
    <t>1 502 962</t>
  </si>
  <si>
    <t>1 502 669</t>
  </si>
  <si>
    <t>1 503 573</t>
  </si>
  <si>
    <t>1 503 574</t>
  </si>
  <si>
    <t>1 502 131</t>
  </si>
  <si>
    <t>1 503 572</t>
  </si>
  <si>
    <t>1 503 575</t>
  </si>
  <si>
    <t>1 503 921</t>
  </si>
  <si>
    <t>1 503 429</t>
  </si>
  <si>
    <t>1 503 584</t>
  </si>
  <si>
    <t>1 503 430</t>
  </si>
  <si>
    <t>1 503 922</t>
  </si>
  <si>
    <t>1 504 126</t>
  </si>
  <si>
    <t>1 504 856</t>
  </si>
  <si>
    <t>87000 LIMOGES</t>
  </si>
  <si>
    <t>1 505 093</t>
  </si>
  <si>
    <t>1 505 092</t>
  </si>
  <si>
    <t>1 504 127</t>
  </si>
  <si>
    <t>1 505 091</t>
  </si>
  <si>
    <t>1 505 090</t>
  </si>
  <si>
    <t>1 501 157</t>
  </si>
  <si>
    <t>1 504 124</t>
  </si>
  <si>
    <t>1 504 131</t>
  </si>
  <si>
    <t>1 504 862</t>
  </si>
  <si>
    <t>1 505 677</t>
  </si>
  <si>
    <t>1 505 674</t>
  </si>
  <si>
    <t>1 505 680</t>
  </si>
  <si>
    <t>1 505 134</t>
  </si>
  <si>
    <t>54710 LUDRES</t>
  </si>
  <si>
    <t>1 505 676</t>
  </si>
  <si>
    <t>1 504 773</t>
  </si>
  <si>
    <t>1 504 877</t>
  </si>
  <si>
    <t>1 505 678</t>
  </si>
  <si>
    <t>1 505 710</t>
  </si>
  <si>
    <t>1 505 679</t>
  </si>
  <si>
    <t>1 505 150</t>
  </si>
  <si>
    <t>1 505 711</t>
  </si>
  <si>
    <t>1 505 675</t>
  </si>
  <si>
    <t>1 505 876</t>
  </si>
  <si>
    <t>1 506 436</t>
  </si>
  <si>
    <t>1 506 438</t>
  </si>
  <si>
    <t>1 506 439</t>
  </si>
  <si>
    <t>1 504 942</t>
  </si>
  <si>
    <t>59800 LILLE</t>
  </si>
  <si>
    <t>1 506 435</t>
  </si>
  <si>
    <t>1 506 437</t>
  </si>
  <si>
    <t>1 505 692</t>
  </si>
  <si>
    <t>1 505 690</t>
  </si>
  <si>
    <t>1 507 013</t>
  </si>
  <si>
    <t>1 505 378</t>
  </si>
  <si>
    <t>1 507 016</t>
  </si>
  <si>
    <t>1 507 014</t>
  </si>
  <si>
    <t>1 507 012</t>
  </si>
  <si>
    <t>42153RIORGES</t>
  </si>
  <si>
    <t>1 505 195</t>
  </si>
  <si>
    <t>1 506 770</t>
  </si>
  <si>
    <t>1 507 015</t>
  </si>
  <si>
    <t>1 507 960</t>
  </si>
  <si>
    <t>1 507 962</t>
  </si>
  <si>
    <t>1 507 958</t>
  </si>
  <si>
    <t>1 507 961</t>
  </si>
  <si>
    <t>1 507 515</t>
  </si>
  <si>
    <t>1 505 973</t>
  </si>
  <si>
    <t>1 507 494</t>
  </si>
  <si>
    <t>1 507 490</t>
  </si>
  <si>
    <t>1 508 112</t>
  </si>
  <si>
    <t>1 508 109</t>
  </si>
  <si>
    <t>1 508 949</t>
  </si>
  <si>
    <t>1 508 951</t>
  </si>
  <si>
    <t>1 508 080</t>
  </si>
  <si>
    <t>33520 BRUGES</t>
  </si>
  <si>
    <t>1 507 401</t>
  </si>
  <si>
    <t>1 508 059</t>
  </si>
  <si>
    <t>1 508 950</t>
  </si>
  <si>
    <t>1 507 492</t>
  </si>
  <si>
    <t>1 508 952</t>
  </si>
  <si>
    <t>1 508 678</t>
  </si>
  <si>
    <t>1 509 015</t>
  </si>
  <si>
    <t>1 509 013</t>
  </si>
  <si>
    <t>1 510 239</t>
  </si>
  <si>
    <t>1 509 503</t>
  </si>
  <si>
    <t>1 510 254</t>
  </si>
  <si>
    <t>1 510 238</t>
  </si>
  <si>
    <t>1 510 236</t>
  </si>
  <si>
    <t>1 511 084</t>
  </si>
  <si>
    <t>1 510 206</t>
  </si>
  <si>
    <t>1 510 004</t>
  </si>
  <si>
    <t>1 511 085</t>
  </si>
  <si>
    <t>1 510 093</t>
  </si>
  <si>
    <t>1 511 363</t>
  </si>
  <si>
    <t>1 511 362</t>
  </si>
  <si>
    <t>1 511 358</t>
  </si>
  <si>
    <t>1 510 764</t>
  </si>
  <si>
    <t>1 511 360</t>
  </si>
  <si>
    <t>1 510 780</t>
  </si>
  <si>
    <t>1 511 361</t>
  </si>
  <si>
    <t>1 511 359</t>
  </si>
  <si>
    <t>1 510 594</t>
  </si>
  <si>
    <t>1 511 105</t>
  </si>
  <si>
    <t>1 510 635</t>
  </si>
  <si>
    <t>1 511 182</t>
  </si>
  <si>
    <t>1 511 464</t>
  </si>
  <si>
    <t>1 511 736</t>
  </si>
  <si>
    <t>1 512 452</t>
  </si>
  <si>
    <t>1 512 184</t>
  </si>
  <si>
    <t>1 512 186</t>
  </si>
  <si>
    <t>1 509 896</t>
  </si>
  <si>
    <t>1 511 891</t>
  </si>
  <si>
    <t>42153 RIORGES</t>
  </si>
  <si>
    <t>1 512 185</t>
  </si>
  <si>
    <t>1 513 055</t>
  </si>
  <si>
    <t>1 513 059</t>
  </si>
  <si>
    <t>1 513 063</t>
  </si>
  <si>
    <t>1 513 057</t>
  </si>
  <si>
    <t>1 512 335</t>
  </si>
  <si>
    <t>1 513 083</t>
  </si>
  <si>
    <t>1 513 062</t>
  </si>
  <si>
    <t>1 512 707</t>
  </si>
  <si>
    <t>1 513 058</t>
  </si>
  <si>
    <t>1 513 159</t>
  </si>
  <si>
    <t>1 513 260</t>
  </si>
  <si>
    <t>1 512 966</t>
  </si>
  <si>
    <t>1 513 953</t>
  </si>
  <si>
    <t>1 513 948</t>
  </si>
  <si>
    <t>1 513 950</t>
  </si>
  <si>
    <t>80520WOINCOURT</t>
  </si>
  <si>
    <t>1 513 721</t>
  </si>
  <si>
    <t>1 513 949</t>
  </si>
  <si>
    <t>1 513 720</t>
  </si>
  <si>
    <t>1 513 951</t>
  </si>
  <si>
    <t>1 513 079</t>
  </si>
  <si>
    <t>1 513 525</t>
  </si>
  <si>
    <t>1 513 947</t>
  </si>
  <si>
    <t>1 513 946</t>
  </si>
  <si>
    <t>1 512 494</t>
  </si>
  <si>
    <t>1 513 797</t>
  </si>
  <si>
    <t>1 514 941</t>
  </si>
  <si>
    <t>1 514 940</t>
  </si>
  <si>
    <t>1 514 418</t>
  </si>
  <si>
    <t>1 514 222</t>
  </si>
  <si>
    <t>1 514 724</t>
  </si>
  <si>
    <t>1 515 714</t>
  </si>
  <si>
    <t>1 514 720</t>
  </si>
  <si>
    <t>1 514 871</t>
  </si>
  <si>
    <t>1 515 655</t>
  </si>
  <si>
    <t>1 513 725</t>
  </si>
  <si>
    <t>1 515 659</t>
  </si>
  <si>
    <t>1 515 658</t>
  </si>
  <si>
    <t>1 516 441</t>
  </si>
  <si>
    <t>1 515 556</t>
  </si>
  <si>
    <t>1 516 991</t>
  </si>
  <si>
    <t>1 514 229</t>
  </si>
  <si>
    <t>1 516 992</t>
  </si>
  <si>
    <t>1 516 196</t>
  </si>
  <si>
    <t>1 516 264</t>
  </si>
  <si>
    <t>1 516 993</t>
  </si>
  <si>
    <t>1 516 995</t>
  </si>
  <si>
    <t>1 516 481</t>
  </si>
  <si>
    <t>1 516 994</t>
  </si>
  <si>
    <t>1 515 555</t>
  </si>
  <si>
    <t>1 515 554</t>
  </si>
  <si>
    <t>1 517 693</t>
  </si>
  <si>
    <t>1 516 168</t>
  </si>
  <si>
    <t>1 517 449</t>
  </si>
  <si>
    <t>1 517 692</t>
  </si>
  <si>
    <t>1 517 448</t>
  </si>
  <si>
    <t>1 518 324</t>
  </si>
  <si>
    <t>1 518 329</t>
  </si>
  <si>
    <t>1 518 325</t>
  </si>
  <si>
    <t>1 518 326</t>
  </si>
  <si>
    <t>1 517 477</t>
  </si>
  <si>
    <t>1 518 389</t>
  </si>
  <si>
    <t>1 518 388</t>
  </si>
  <si>
    <t>1 518 063</t>
  </si>
  <si>
    <t>1 518 390</t>
  </si>
  <si>
    <t>1 518 075</t>
  </si>
  <si>
    <t>93380 PIERREFITTE SUR</t>
  </si>
  <si>
    <t>1 519 182</t>
  </si>
  <si>
    <t>1 518 072</t>
  </si>
  <si>
    <t>1 519 013</t>
  </si>
  <si>
    <t>1 519 183</t>
  </si>
  <si>
    <t>1 518 095</t>
  </si>
  <si>
    <t>1 518 274</t>
  </si>
  <si>
    <t>1 518 090</t>
  </si>
  <si>
    <t>67400 ILLKIRCH GRAFFEN</t>
  </si>
  <si>
    <t>1 518 097</t>
  </si>
  <si>
    <t>1 519 018</t>
  </si>
  <si>
    <t>1 519 019</t>
  </si>
  <si>
    <t>1 519 017</t>
  </si>
  <si>
    <t>1 519 187</t>
  </si>
  <si>
    <t>1 519 016</t>
  </si>
  <si>
    <t>1 519 014</t>
  </si>
  <si>
    <t>1 519 015</t>
  </si>
  <si>
    <t>1 519 636</t>
  </si>
  <si>
    <t>75003PARIS 03</t>
  </si>
  <si>
    <t>1 519 635</t>
  </si>
  <si>
    <t>1 518 890</t>
  </si>
  <si>
    <t>85200 FONTENAY LE COM</t>
  </si>
  <si>
    <t>1 518 886</t>
  </si>
  <si>
    <t>1 518 067</t>
  </si>
  <si>
    <t>1 518 901</t>
  </si>
  <si>
    <t>53120 GORRON</t>
  </si>
  <si>
    <t>1 518 925</t>
  </si>
  <si>
    <t>1 518 906</t>
  </si>
  <si>
    <t>1 518 093</t>
  </si>
  <si>
    <t>1 518 976</t>
  </si>
  <si>
    <t>1 518 611</t>
  </si>
  <si>
    <t>1 519 031</t>
  </si>
  <si>
    <t>1 518 880</t>
  </si>
  <si>
    <t>1 519 683</t>
  </si>
  <si>
    <t>1 520 228</t>
  </si>
  <si>
    <t>1 519 901</t>
  </si>
  <si>
    <t>1 519 687</t>
  </si>
  <si>
    <t>1 518 974</t>
  </si>
  <si>
    <t>1 520 882</t>
  </si>
  <si>
    <t>1 520 883</t>
  </si>
  <si>
    <t>1 520 315</t>
  </si>
  <si>
    <t>1 520 078</t>
  </si>
  <si>
    <t>1 521 189</t>
  </si>
  <si>
    <t>1 521 367</t>
  </si>
  <si>
    <t>1 522 324</t>
  </si>
  <si>
    <t>1 522 323</t>
  </si>
  <si>
    <t>1 521 567</t>
  </si>
  <si>
    <t>1 522 326</t>
  </si>
  <si>
    <t>1 522 199</t>
  </si>
  <si>
    <t>1 523 114</t>
  </si>
  <si>
    <t>1 523 184</t>
  </si>
  <si>
    <t>1 522 105</t>
  </si>
  <si>
    <t>1 520 744</t>
  </si>
  <si>
    <t>1 523 113</t>
  </si>
  <si>
    <t>1 522 174</t>
  </si>
  <si>
    <t>1 523 116</t>
  </si>
  <si>
    <t>1 523 117</t>
  </si>
  <si>
    <t>1 523 115</t>
  </si>
  <si>
    <t>1 523 817</t>
  </si>
  <si>
    <t>1 523 654</t>
  </si>
  <si>
    <t>1 521 364</t>
  </si>
  <si>
    <t>1 522 718</t>
  </si>
  <si>
    <t>1 522 812</t>
  </si>
  <si>
    <t>1 522 817</t>
  </si>
  <si>
    <t>1 523 653</t>
  </si>
  <si>
    <t>1 523 655</t>
  </si>
  <si>
    <t>1 523 998</t>
  </si>
  <si>
    <t>1 523 996</t>
  </si>
  <si>
    <t>1 523 407</t>
  </si>
  <si>
    <t>1 524 025</t>
  </si>
  <si>
    <t>1 523 181</t>
  </si>
  <si>
    <t>1 523 997</t>
  </si>
  <si>
    <t>1 523 412</t>
  </si>
  <si>
    <t>1 523 521</t>
  </si>
  <si>
    <t>1 524 024</t>
  </si>
  <si>
    <t>1 523 520</t>
  </si>
  <si>
    <t>1 522 813</t>
  </si>
  <si>
    <t>1 524 882</t>
  </si>
  <si>
    <t>1 524 127</t>
  </si>
  <si>
    <t>1 524 124</t>
  </si>
  <si>
    <t>1 524 881</t>
  </si>
  <si>
    <t>1 524 952</t>
  </si>
  <si>
    <t>1 524 158</t>
  </si>
  <si>
    <t>1 524 925</t>
  </si>
  <si>
    <t>1 524 883</t>
  </si>
  <si>
    <t>1 524 653</t>
  </si>
  <si>
    <t>1 525 639</t>
  </si>
  <si>
    <t>1 524 778</t>
  </si>
  <si>
    <t>1 525 616</t>
  </si>
  <si>
    <t>1 525 539</t>
  </si>
  <si>
    <t>1 525 540</t>
  </si>
  <si>
    <t>1 524 299</t>
  </si>
  <si>
    <t>1 524 598</t>
  </si>
  <si>
    <t>44260 LAVAU SUR LOIRE</t>
  </si>
  <si>
    <t>1 525 357</t>
  </si>
  <si>
    <t>1 525 636</t>
  </si>
  <si>
    <t>1 526 196</t>
  </si>
  <si>
    <t>1 525 895</t>
  </si>
  <si>
    <t>1 525 896</t>
  </si>
  <si>
    <t>1 523 630</t>
  </si>
  <si>
    <t>1 526 201</t>
  </si>
  <si>
    <t>1 525 433</t>
  </si>
  <si>
    <t>1 525 362</t>
  </si>
  <si>
    <t>1 525 314</t>
  </si>
  <si>
    <t>1 526 229</t>
  </si>
  <si>
    <t>1 525 894</t>
  </si>
  <si>
    <t>1 525 963</t>
  </si>
  <si>
    <t>1 525 892</t>
  </si>
  <si>
    <t>1 526 638</t>
  </si>
  <si>
    <t>1 524 040</t>
  </si>
  <si>
    <t>1 526 251</t>
  </si>
  <si>
    <t>1 526 640</t>
  </si>
  <si>
    <t>1 526 001</t>
  </si>
  <si>
    <t>1 526 641</t>
  </si>
  <si>
    <t>1 526 006</t>
  </si>
  <si>
    <t>1 526 637</t>
  </si>
  <si>
    <t>1 526 639</t>
  </si>
  <si>
    <t>1 526 642</t>
  </si>
  <si>
    <t>1 526 002</t>
  </si>
  <si>
    <t>1 527 087</t>
  </si>
  <si>
    <t>1 527 089</t>
  </si>
  <si>
    <t>1 525 886</t>
  </si>
  <si>
    <t>1 527 088</t>
  </si>
  <si>
    <t>1 526 606</t>
  </si>
  <si>
    <t>1 526 605</t>
  </si>
  <si>
    <t>1 527 158</t>
  </si>
  <si>
    <t>1 527 762</t>
  </si>
  <si>
    <t>1 527 826</t>
  </si>
  <si>
    <t>1 527 763</t>
  </si>
  <si>
    <t>1 527 825</t>
  </si>
  <si>
    <t>1 527 764</t>
  </si>
  <si>
    <t>1 527 944</t>
  </si>
  <si>
    <t>1 528 562</t>
  </si>
  <si>
    <t>1 528 561</t>
  </si>
  <si>
    <t>1 527 033</t>
  </si>
  <si>
    <t>37000 TOURS</t>
  </si>
  <si>
    <t>1 527 104</t>
  </si>
  <si>
    <t>1 527 394</t>
  </si>
  <si>
    <t>1 528 261</t>
  </si>
  <si>
    <t>1 528 167</t>
  </si>
  <si>
    <t>1 527 549</t>
  </si>
  <si>
    <t>1 529 254</t>
  </si>
  <si>
    <t>1 529 440</t>
  </si>
  <si>
    <t>1 529 251</t>
  </si>
  <si>
    <t>1 529 252</t>
  </si>
  <si>
    <t>1 528 616</t>
  </si>
  <si>
    <t>1 528 340</t>
  </si>
  <si>
    <t>1 529 667</t>
  </si>
  <si>
    <t>1 530 105</t>
  </si>
  <si>
    <t>1 528 622</t>
  </si>
  <si>
    <t>1 528 627</t>
  </si>
  <si>
    <t>1 530 106</t>
  </si>
  <si>
    <t>1 529 321</t>
  </si>
  <si>
    <t>1 529 287</t>
  </si>
  <si>
    <t>1 528 534</t>
  </si>
  <si>
    <t>1 529 326</t>
  </si>
  <si>
    <t>1 529 665</t>
  </si>
  <si>
    <t>1 529 666</t>
  </si>
  <si>
    <t>1 529 322</t>
  </si>
  <si>
    <t>1 529 943</t>
  </si>
  <si>
    <t>1 529 951</t>
  </si>
  <si>
    <t>1 529 571</t>
  </si>
  <si>
    <t>1 529 990</t>
  </si>
  <si>
    <t>1 529 991</t>
  </si>
  <si>
    <t>1 530 687</t>
  </si>
  <si>
    <t>1 530 688</t>
  </si>
  <si>
    <t>1 530 349</t>
  </si>
  <si>
    <t>1 530 534</t>
  </si>
  <si>
    <t>1 531 466</t>
  </si>
  <si>
    <t>1 531 460</t>
  </si>
  <si>
    <t>1 531 243</t>
  </si>
  <si>
    <t>1 532 026</t>
  </si>
  <si>
    <t>1 532 028</t>
  </si>
  <si>
    <t>1 532 456</t>
  </si>
  <si>
    <t>1 532 330</t>
  </si>
  <si>
    <t>1 532 016</t>
  </si>
  <si>
    <t>1 532 335</t>
  </si>
  <si>
    <t>1 531 070</t>
  </si>
  <si>
    <t>1 532 919</t>
  </si>
  <si>
    <t>1 532 917</t>
  </si>
  <si>
    <t>1 532 918</t>
  </si>
  <si>
    <t>1 530 786</t>
  </si>
  <si>
    <t>1 532 074</t>
  </si>
  <si>
    <t>1 532 900</t>
  </si>
  <si>
    <t>1 533 056</t>
  </si>
  <si>
    <t>1 533 096</t>
  </si>
  <si>
    <t>1 532 436</t>
  </si>
  <si>
    <t>1 533 095</t>
  </si>
  <si>
    <t>1 532 331</t>
  </si>
  <si>
    <t>1 533 505</t>
  </si>
  <si>
    <t>1 533 599</t>
  </si>
  <si>
    <t>1 533 601</t>
  </si>
  <si>
    <t>1 533 084</t>
  </si>
  <si>
    <t>37220 ILE BOUCHARD/L''</t>
  </si>
  <si>
    <t>91090LISSES</t>
  </si>
  <si>
    <t>1 534 666</t>
  </si>
  <si>
    <t>1 534 665</t>
  </si>
  <si>
    <t>1 532 435</t>
  </si>
  <si>
    <t>1 534 003</t>
  </si>
  <si>
    <t>1 534 575</t>
  </si>
  <si>
    <t>1 531 098</t>
  </si>
  <si>
    <t>1 534 463</t>
  </si>
  <si>
    <t>1 533 982</t>
  </si>
  <si>
    <t>1 534 052</t>
  </si>
  <si>
    <t>1 534 580</t>
  </si>
  <si>
    <t>1 534 576</t>
  </si>
  <si>
    <t>1 535 891</t>
  </si>
  <si>
    <t>1 535 210</t>
  </si>
  <si>
    <t>1 533 912</t>
  </si>
  <si>
    <t>1 536 397</t>
  </si>
  <si>
    <t>1 536 382</t>
  </si>
  <si>
    <t>1 536 381</t>
  </si>
  <si>
    <t>1 535 209</t>
  </si>
  <si>
    <t>1 537 116</t>
  </si>
  <si>
    <t>1 536 393</t>
  </si>
  <si>
    <t>1 534 694</t>
  </si>
  <si>
    <t>1 537 261</t>
  </si>
  <si>
    <t>1 536 974</t>
  </si>
  <si>
    <t>89440 JOUX LA VILLE</t>
  </si>
  <si>
    <t>1 535 547</t>
  </si>
  <si>
    <t>85200 PISSOTTE</t>
  </si>
  <si>
    <t>1 536 311</t>
  </si>
  <si>
    <t>1 536 113</t>
  </si>
  <si>
    <t>1 536 703</t>
  </si>
  <si>
    <t>1 535 889</t>
  </si>
  <si>
    <t>1 538 617</t>
  </si>
  <si>
    <t>1 538 620</t>
  </si>
  <si>
    <t>1 536 012</t>
  </si>
  <si>
    <t>1 537 453</t>
  </si>
  <si>
    <t>1 537 165</t>
  </si>
  <si>
    <t>1 537 449</t>
  </si>
  <si>
    <t>1 536 013</t>
  </si>
  <si>
    <t>1 537 805</t>
  </si>
  <si>
    <t>1 538 491</t>
  </si>
  <si>
    <t>1 538 583</t>
  </si>
  <si>
    <t>1 537 953</t>
  </si>
  <si>
    <t>1 539 007</t>
  </si>
  <si>
    <t>1 539 140</t>
  </si>
  <si>
    <t>1 539 149</t>
  </si>
  <si>
    <t>1 539 004</t>
  </si>
  <si>
    <t>1 539 006</t>
  </si>
  <si>
    <t>1 538 982</t>
  </si>
  <si>
    <t>1 538 940</t>
  </si>
  <si>
    <t>1 539 399</t>
  </si>
  <si>
    <t>1 539 955</t>
  </si>
  <si>
    <t>1 539 956</t>
  </si>
  <si>
    <t>13300SALON DE PROVEN</t>
  </si>
  <si>
    <t>1 539 866</t>
  </si>
  <si>
    <t>1 539 954</t>
  </si>
  <si>
    <t>1 539 134</t>
  </si>
  <si>
    <t>1 540 114</t>
  </si>
  <si>
    <t>1 539 992</t>
  </si>
  <si>
    <t>1 539 847</t>
  </si>
  <si>
    <t>1 540 333</t>
  </si>
  <si>
    <t>1 539 844</t>
  </si>
  <si>
    <t>1 540 270</t>
  </si>
  <si>
    <t>1 540 440</t>
  </si>
  <si>
    <t>1 540 176</t>
  </si>
  <si>
    <t>1 540 271</t>
  </si>
  <si>
    <t>1 540 942</t>
  </si>
  <si>
    <t>1 540 784</t>
  </si>
  <si>
    <t>1 538 579</t>
  </si>
  <si>
    <t>1 540 930</t>
  </si>
  <si>
    <t>1 540 755</t>
  </si>
  <si>
    <t>1 541 161</t>
  </si>
  <si>
    <t>1 541 160</t>
  </si>
  <si>
    <t>1 541 284</t>
  </si>
  <si>
    <t>1 541 145</t>
  </si>
  <si>
    <t>1 541 152</t>
  </si>
  <si>
    <t>1 541 421</t>
  </si>
  <si>
    <t>1 541 502</t>
  </si>
  <si>
    <t>1 541 808</t>
  </si>
  <si>
    <t>92160ANTONY</t>
  </si>
  <si>
    <t>1 541 809</t>
  </si>
  <si>
    <t>1 541 925</t>
  </si>
  <si>
    <t>1 541 365</t>
  </si>
  <si>
    <t>1 541 554</t>
  </si>
  <si>
    <t>1 541 146</t>
  </si>
  <si>
    <t>1 541 815</t>
  </si>
  <si>
    <t>1 541 551</t>
  </si>
  <si>
    <t>1 541 149</t>
  </si>
  <si>
    <t>1 539 843</t>
  </si>
  <si>
    <t>1 542 259</t>
  </si>
  <si>
    <t>1 542 303</t>
  </si>
  <si>
    <t>1 541 855</t>
  </si>
  <si>
    <t>1 542 304</t>
  </si>
  <si>
    <t>1 541 856</t>
  </si>
  <si>
    <t>1 542 559</t>
  </si>
  <si>
    <t>1 542 712</t>
  </si>
  <si>
    <t>1 541 813</t>
  </si>
  <si>
    <t>1 543 022</t>
  </si>
  <si>
    <t>1 542 351</t>
  </si>
  <si>
    <t>1 543 015</t>
  </si>
  <si>
    <t>1 542 936</t>
  </si>
  <si>
    <t>1 543 013</t>
  </si>
  <si>
    <t>1 542 935</t>
  </si>
  <si>
    <t>1 543 014</t>
  </si>
  <si>
    <t>1 543 467</t>
  </si>
  <si>
    <t>1 543 060</t>
  </si>
  <si>
    <t>1 543 353</t>
  </si>
  <si>
    <t>1 543 354</t>
  </si>
  <si>
    <t>1 543 061</t>
  </si>
  <si>
    <t>1 543 490</t>
  </si>
  <si>
    <t>1 543 416</t>
  </si>
  <si>
    <t>1 543 415</t>
  </si>
  <si>
    <t>1 543 632</t>
  </si>
  <si>
    <t>1 543 667</t>
  </si>
  <si>
    <t>1 544 269</t>
  </si>
  <si>
    <t>1 544 467</t>
  </si>
  <si>
    <t>1 544 101</t>
  </si>
  <si>
    <t>1 544 100</t>
  </si>
  <si>
    <t>1 544 099</t>
  </si>
  <si>
    <t>1 544 251</t>
  </si>
  <si>
    <t>1 544 601</t>
  </si>
  <si>
    <t>1 544 045</t>
  </si>
  <si>
    <t>1 544 213</t>
  </si>
  <si>
    <t>1 544 613</t>
  </si>
  <si>
    <t>1 544 614</t>
  </si>
  <si>
    <t>1 544 448</t>
  </si>
  <si>
    <t>1 544 605</t>
  </si>
  <si>
    <t>1 544 576</t>
  </si>
  <si>
    <t>1 543 730</t>
  </si>
  <si>
    <t>1 545 008</t>
  </si>
  <si>
    <t>1 545 001</t>
  </si>
  <si>
    <t>1 545 020</t>
  </si>
  <si>
    <t>1 541 248</t>
  </si>
  <si>
    <t>1 544 828</t>
  </si>
  <si>
    <t>83170 BRIGNOLES</t>
  </si>
  <si>
    <t>1 544 606</t>
  </si>
  <si>
    <t>1 544 974</t>
  </si>
  <si>
    <t>1 545 514</t>
  </si>
  <si>
    <t>1 545 512</t>
  </si>
  <si>
    <t>1 545 513</t>
  </si>
  <si>
    <t>1 545 511</t>
  </si>
  <si>
    <t>1 545 510</t>
  </si>
  <si>
    <t>1 545 115</t>
  </si>
  <si>
    <t>1 545 119</t>
  </si>
  <si>
    <t>1 545 116</t>
  </si>
  <si>
    <t>1 545 505</t>
  </si>
  <si>
    <t>1 545 605</t>
  </si>
  <si>
    <t>1 545 604</t>
  </si>
  <si>
    <t>1 546 842</t>
  </si>
  <si>
    <t>1 546 707</t>
  </si>
  <si>
    <t>1 546 706</t>
  </si>
  <si>
    <t>1 547 354</t>
  </si>
  <si>
    <t>59223RONCQ</t>
  </si>
  <si>
    <t>1 547 211</t>
  </si>
  <si>
    <t>1 546 245</t>
  </si>
  <si>
    <t>1 546 181</t>
  </si>
  <si>
    <t>1 546 787</t>
  </si>
  <si>
    <t>1 546 651</t>
  </si>
  <si>
    <t>1 546 097</t>
  </si>
  <si>
    <t>1 547 207</t>
  </si>
  <si>
    <t>1 547 213</t>
  </si>
  <si>
    <t>1 547 214</t>
  </si>
  <si>
    <t>1 547 264</t>
  </si>
  <si>
    <t>1 547 911</t>
  </si>
  <si>
    <t>1 545 967</t>
  </si>
  <si>
    <t>1 547 195</t>
  </si>
  <si>
    <t>1 547 611</t>
  </si>
  <si>
    <t>1 547 812</t>
  </si>
  <si>
    <t>1 547 613</t>
  </si>
  <si>
    <t>1 547 816</t>
  </si>
  <si>
    <t>1 547 813</t>
  </si>
  <si>
    <t>1 547 612</t>
  </si>
  <si>
    <t>1 548 087</t>
  </si>
  <si>
    <t>1 548 332</t>
  </si>
  <si>
    <t>1 548 314</t>
  </si>
  <si>
    <t>1 548 333</t>
  </si>
  <si>
    <t>1 549 308</t>
  </si>
  <si>
    <t>1 548 691</t>
  </si>
  <si>
    <t>1 549 309</t>
  </si>
  <si>
    <t>1 549 306</t>
  </si>
  <si>
    <t>1 549 304</t>
  </si>
  <si>
    <t>1 549 305</t>
  </si>
  <si>
    <t>1 550 352</t>
  </si>
  <si>
    <t>1 548 694</t>
  </si>
  <si>
    <t>1 549 008</t>
  </si>
  <si>
    <t>1 549 413</t>
  </si>
  <si>
    <t>1 550 324</t>
  </si>
  <si>
    <t>1 550 430</t>
  </si>
  <si>
    <t>1 551 174</t>
  </si>
  <si>
    <t>1 551 331</t>
  </si>
  <si>
    <t>1 551 335</t>
  </si>
  <si>
    <t>1 551 987</t>
  </si>
  <si>
    <t>1 552 449</t>
  </si>
  <si>
    <t>1 552 451</t>
  </si>
  <si>
    <t>1 552 452</t>
  </si>
  <si>
    <t>1 552 450</t>
  </si>
  <si>
    <t>1 551 986</t>
  </si>
  <si>
    <t>1 551 332</t>
  </si>
  <si>
    <t>1 552 323</t>
  </si>
  <si>
    <t>1 553 221</t>
  </si>
  <si>
    <t>1 553 222</t>
  </si>
  <si>
    <t>1 553 223</t>
  </si>
  <si>
    <t>1 552 768</t>
  </si>
  <si>
    <t>1 552 798</t>
  </si>
  <si>
    <t>1 553 232</t>
  </si>
  <si>
    <t>1 554 476</t>
  </si>
  <si>
    <t>1 553 705</t>
  </si>
  <si>
    <t>1 553 710</t>
  </si>
  <si>
    <t>1 552 848</t>
  </si>
  <si>
    <t>1 554 401</t>
  </si>
  <si>
    <t>1 553 772</t>
  </si>
  <si>
    <t>1 554 477</t>
  </si>
  <si>
    <t>1 554 400</t>
  </si>
  <si>
    <t>1 555 152</t>
  </si>
  <si>
    <t>1 554 348</t>
  </si>
  <si>
    <t>1 554 349</t>
  </si>
  <si>
    <t>1 554 080</t>
  </si>
  <si>
    <t>1 554 352</t>
  </si>
  <si>
    <t>1 555 086</t>
  </si>
  <si>
    <t>1 555 021</t>
  </si>
  <si>
    <t>1 555 446</t>
  </si>
  <si>
    <t>1 554 884</t>
  </si>
  <si>
    <t>1 554 978</t>
  </si>
  <si>
    <t>1 553 715</t>
  </si>
  <si>
    <t>1 554 977</t>
  </si>
  <si>
    <t>1 555 560</t>
  </si>
  <si>
    <t>1 555 575</t>
  </si>
  <si>
    <t>1 556 240</t>
  </si>
  <si>
    <t>1 556 242</t>
  </si>
  <si>
    <t>1 556 241</t>
  </si>
  <si>
    <t>1 556 395</t>
  </si>
  <si>
    <t>1 556 032</t>
  </si>
  <si>
    <t>1 556 208</t>
  </si>
  <si>
    <t>1 556 744</t>
  </si>
  <si>
    <t>1 556 033</t>
  </si>
  <si>
    <t>1 556 034</t>
  </si>
  <si>
    <t>1 556 839</t>
  </si>
  <si>
    <t>1 553 965</t>
  </si>
  <si>
    <t>1 557 341</t>
  </si>
  <si>
    <t>1 557 340</t>
  </si>
  <si>
    <t>1 557 344</t>
  </si>
  <si>
    <t>1 558 516</t>
  </si>
  <si>
    <t>1 557 537</t>
  </si>
  <si>
    <t>1 557 916</t>
  </si>
  <si>
    <t>1 557 321</t>
  </si>
  <si>
    <t>1 557 915</t>
  </si>
  <si>
    <t>1 559 216</t>
  </si>
  <si>
    <t>1 559 217</t>
  </si>
  <si>
    <t>1 557 974</t>
  </si>
  <si>
    <t>1 559 213</t>
  </si>
  <si>
    <t>1 559 214</t>
  </si>
  <si>
    <t>1 559 212</t>
  </si>
  <si>
    <t>1 559 145</t>
  </si>
  <si>
    <t>1 560 023</t>
  </si>
  <si>
    <t>1 560 480</t>
  </si>
  <si>
    <t>1 559 708</t>
  </si>
  <si>
    <t>1 559 802</t>
  </si>
  <si>
    <t>1 559 695</t>
  </si>
  <si>
    <t>33800 BORDEAUX</t>
  </si>
  <si>
    <t>1 559 699</t>
  </si>
  <si>
    <t>1 561 183</t>
  </si>
  <si>
    <t>1 561 186</t>
  </si>
  <si>
    <t>1 561 181</t>
  </si>
  <si>
    <t>1 560 381</t>
  </si>
  <si>
    <t>1 561 180</t>
  </si>
  <si>
    <t>04100MANOSQUE</t>
  </si>
  <si>
    <t>1 561 182</t>
  </si>
  <si>
    <t>06520GRASSE</t>
  </si>
  <si>
    <t>1 560 437</t>
  </si>
  <si>
    <t>1 560 441</t>
  </si>
  <si>
    <t>1 561 179</t>
  </si>
  <si>
    <t>Année</t>
  </si>
  <si>
    <t>Segment 1 Bilan emission CO2</t>
  </si>
  <si>
    <t>Segment 2 Bilan emission CO2</t>
  </si>
  <si>
    <t>Bilan CO2</t>
  </si>
  <si>
    <t>Moisannée</t>
  </si>
  <si>
    <t>août</t>
  </si>
  <si>
    <t>Tx Segment 1</t>
  </si>
  <si>
    <t>Poids OT (T)</t>
  </si>
  <si>
    <t>Type transport</t>
  </si>
  <si>
    <t>Numero ot</t>
  </si>
  <si>
    <t>Distance en km</t>
  </si>
  <si>
    <t>Date saisie</t>
  </si>
  <si>
    <t>Poids OT (kg)</t>
  </si>
  <si>
    <t>Tx segment 2</t>
  </si>
  <si>
    <t>Lieu depart OT</t>
  </si>
  <si>
    <t>Étiquettes de lignes</t>
  </si>
  <si>
    <t>Total général</t>
  </si>
  <si>
    <t>Étiquettes de colonnes</t>
  </si>
  <si>
    <t>2021</t>
  </si>
  <si>
    <t>2022</t>
  </si>
  <si>
    <t>Nombre de Numero ot</t>
  </si>
  <si>
    <t>Somme de Bilan CO2</t>
  </si>
  <si>
    <t>Somme de Poids OT (kg)</t>
  </si>
  <si>
    <t>Somme de Distance en km</t>
  </si>
  <si>
    <t>Somme de Coût  OT (€)</t>
  </si>
  <si>
    <t>Lieu arrivee OT</t>
  </si>
  <si>
    <t>Coût OT (€)</t>
  </si>
  <si>
    <t>% 2021vs2022</t>
  </si>
  <si>
    <t>Variation valeur total 2021vs2022</t>
  </si>
  <si>
    <t>Total</t>
  </si>
  <si>
    <t>Moyenne 9 mois</t>
  </si>
  <si>
    <t xml:space="preserve">Total </t>
  </si>
  <si>
    <t>JEAN-PHILIPPE Bénédy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</si>
</sst>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000"/>
  </numFmts>
  <fonts count="24" x14ac:knownFonts="1">
    <font>
      <sz val="10"/>
      <color rgb="FF000000"/>
      <name val="Arial"/>
      <scheme val="minor"/>
    </font>
    <font>
      <sz val="10"/>
      <color theme="1"/>
      <name val="Arial"/>
      <family val="2"/>
    </font>
    <font>
      <b/>
      <i/>
      <sz val="10"/>
      <color theme="1"/>
      <name val="Arial"/>
      <family val="2"/>
    </font>
    <font>
      <b/>
      <i/>
      <sz val="7"/>
      <color theme="1"/>
      <name val="Arial"/>
      <family val="2"/>
    </font>
    <font>
      <b/>
      <sz val="18"/>
      <color theme="1"/>
      <name val="Arial"/>
      <family val="2"/>
    </font>
    <font>
      <sz val="10"/>
      <name val="Arial"/>
      <family val="2"/>
    </font>
    <font>
      <b/>
      <sz val="12"/>
      <color theme="1"/>
      <name val="Arial"/>
      <family val="2"/>
    </font>
    <font>
      <sz val="7"/>
      <color theme="1"/>
      <name val="Arial"/>
      <family val="2"/>
    </font>
    <font>
      <b/>
      <sz val="7"/>
      <color theme="1"/>
      <name val="Arial"/>
      <family val="2"/>
    </font>
    <font>
      <sz val="7"/>
      <color rgb="FFFFFFFF"/>
      <name val="Arial"/>
      <family val="2"/>
    </font>
    <font>
      <b/>
      <sz val="14"/>
      <color theme="1"/>
      <name val="Montserrat"/>
    </font>
    <font>
      <sz val="10"/>
      <color theme="1"/>
      <name val="Montserrat"/>
    </font>
    <font>
      <b/>
      <sz val="10"/>
      <color theme="1"/>
      <name val="Montserrat"/>
    </font>
    <font>
      <b/>
      <sz val="10"/>
      <color rgb="FFFFFFFF"/>
      <name val="Montserrat"/>
    </font>
    <font>
      <sz val="10"/>
      <color rgb="FF000000"/>
      <name val="Montserrat"/>
    </font>
    <font>
      <strike/>
      <sz val="10"/>
      <color theme="1"/>
      <name val="Montserrat"/>
    </font>
    <font>
      <sz val="10"/>
      <color theme="1"/>
      <name val="Arial"/>
      <family val="2"/>
      <scheme val="minor"/>
    </font>
    <font>
      <b/>
      <sz val="16"/>
      <color theme="1"/>
      <name val="Arial"/>
      <family val="2"/>
    </font>
    <font>
      <b/>
      <sz val="14"/>
      <color theme="1"/>
      <name val="Arial"/>
      <family val="2"/>
    </font>
    <font>
      <sz val="14"/>
      <color theme="1"/>
      <name val="Arial"/>
      <family val="2"/>
    </font>
    <font>
      <sz val="10"/>
      <color rgb="FF000000"/>
      <name val="Arial"/>
      <family val="2"/>
      <scheme val="minor"/>
    </font>
    <font>
      <b/>
      <sz val="7"/>
      <color rgb="FFFFFFFF"/>
      <name val="Arial"/>
      <family val="2"/>
    </font>
    <font>
      <b/>
      <sz val="6"/>
      <color rgb="FFFFFFFF"/>
      <name val="Arial"/>
      <family val="2"/>
    </font>
    <font>
      <sz val="8"/>
      <color theme="1"/>
      <name val="Arial"/>
      <family val="2"/>
    </font>
  </fonts>
  <fills count="14">
    <fill>
      <patternFill patternType="none"/>
    </fill>
    <fill>
      <patternFill patternType="gray125"/>
    </fill>
    <fill>
      <patternFill patternType="solid">
        <fgColor rgb="FFFFFFFF"/>
        <bgColor rgb="FFFFFFFF"/>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6FA8DC"/>
        <bgColor rgb="FF6FA8DC"/>
      </patternFill>
    </fill>
    <fill>
      <patternFill patternType="solid">
        <fgColor rgb="FF000000"/>
        <bgColor rgb="FF000000"/>
      </patternFill>
    </fill>
    <fill>
      <patternFill patternType="solid">
        <fgColor rgb="FFDD7E6B"/>
        <bgColor rgb="FFDD7E6B"/>
      </patternFill>
    </fill>
    <fill>
      <patternFill patternType="solid">
        <fgColor rgb="FFB6D7A8"/>
        <bgColor rgb="FFB6D7A8"/>
      </patternFill>
    </fill>
    <fill>
      <patternFill patternType="solid">
        <fgColor rgb="FF073763"/>
        <bgColor rgb="FF073763"/>
      </patternFill>
    </fill>
    <fill>
      <patternFill patternType="solid">
        <fgColor rgb="FFD0E0E3"/>
        <bgColor rgb="FFD0E0E3"/>
      </patternFill>
    </fill>
    <fill>
      <patternFill patternType="solid">
        <fgColor rgb="FFEFEFEF"/>
        <bgColor rgb="FFEFEFEF"/>
      </patternFill>
    </fill>
    <fill>
      <patternFill patternType="solid">
        <fgColor rgb="FFCFE2F3"/>
        <bgColor rgb="FFCFE2F3"/>
      </patternFill>
    </fill>
  </fills>
  <borders count="20">
    <border>
      <left/>
      <right/>
      <top/>
      <bottom/>
      <diagonal/>
    </border>
    <border>
      <left/>
      <right/>
      <top/>
      <bottom style="thin">
        <color rgb="FF000000"/>
      </bottom>
      <diagonal/>
    </border>
    <border>
      <left/>
      <right/>
      <top/>
      <bottom style="thick">
        <color rgb="FF000000"/>
      </bottom>
      <diagonal/>
    </border>
    <border>
      <left/>
      <right style="thick">
        <color rgb="FF000000"/>
      </right>
      <top/>
      <bottom/>
      <diagonal/>
    </border>
    <border>
      <left/>
      <right style="thick">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ck">
        <color rgb="FF000000"/>
      </right>
      <top/>
      <bottom style="thick">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1">
    <xf numFmtId="0" fontId="0" fillId="0" borderId="0" xfId="0"/>
    <xf numFmtId="0" fontId="1" fillId="0" borderId="0" xfId="0" applyFont="1"/>
    <xf numFmtId="0" fontId="2" fillId="0" borderId="0" xfId="0" applyFont="1" applyAlignment="1">
      <alignment horizontal="right"/>
    </xf>
    <xf numFmtId="0" fontId="2" fillId="0" borderId="0" xfId="0" applyFont="1"/>
    <xf numFmtId="0" fontId="3" fillId="0" borderId="0" xfId="0" applyFont="1" applyAlignment="1">
      <alignment horizontal="right"/>
    </xf>
    <xf numFmtId="0" fontId="1" fillId="0" borderId="1" xfId="0" applyFont="1" applyBorder="1"/>
    <xf numFmtId="0" fontId="4" fillId="0" borderId="1" xfId="0" applyFont="1" applyBorder="1"/>
    <xf numFmtId="0" fontId="2" fillId="0" borderId="1" xfId="0" applyFont="1" applyBorder="1"/>
    <xf numFmtId="0" fontId="3" fillId="0" borderId="1" xfId="0" applyFont="1" applyBorder="1"/>
    <xf numFmtId="0" fontId="1" fillId="0" borderId="2" xfId="0" applyFont="1" applyBorder="1"/>
    <xf numFmtId="0" fontId="1" fillId="2" borderId="0" xfId="0" applyFont="1" applyFill="1"/>
    <xf numFmtId="0" fontId="6" fillId="2" borderId="0" xfId="0" applyFont="1" applyFill="1" applyAlignment="1">
      <alignment horizontal="center"/>
    </xf>
    <xf numFmtId="0" fontId="1" fillId="2" borderId="3" xfId="0" applyFont="1" applyFill="1" applyBorder="1"/>
    <xf numFmtId="0" fontId="7" fillId="2" borderId="1" xfId="0" applyFont="1" applyFill="1" applyBorder="1" applyAlignment="1">
      <alignment horizontal="center"/>
    </xf>
    <xf numFmtId="0" fontId="7" fillId="3" borderId="1" xfId="0" applyFont="1" applyFill="1" applyBorder="1" applyAlignment="1">
      <alignment horizontal="center"/>
    </xf>
    <xf numFmtId="0" fontId="7" fillId="4" borderId="1" xfId="0" applyFont="1" applyFill="1" applyBorder="1" applyAlignment="1">
      <alignment horizontal="center"/>
    </xf>
    <xf numFmtId="0" fontId="7" fillId="4" borderId="4" xfId="0" applyFont="1" applyFill="1" applyBorder="1" applyAlignment="1">
      <alignment horizontal="center"/>
    </xf>
    <xf numFmtId="0" fontId="7" fillId="5" borderId="1" xfId="0" applyFont="1" applyFill="1" applyBorder="1" applyAlignment="1">
      <alignment horizontal="center"/>
    </xf>
    <xf numFmtId="0" fontId="7" fillId="5" borderId="4" xfId="0" applyFont="1" applyFill="1" applyBorder="1" applyAlignment="1">
      <alignment horizontal="center"/>
    </xf>
    <xf numFmtId="0" fontId="7" fillId="2" borderId="5" xfId="0" applyFont="1" applyFill="1" applyBorder="1" applyAlignment="1">
      <alignment horizontal="right"/>
    </xf>
    <xf numFmtId="0" fontId="7" fillId="2" borderId="6" xfId="0" applyFont="1" applyFill="1" applyBorder="1" applyAlignment="1">
      <alignment horizontal="center"/>
    </xf>
    <xf numFmtId="9" fontId="8" fillId="3" borderId="6" xfId="0" applyNumberFormat="1" applyFont="1" applyFill="1" applyBorder="1" applyAlignment="1">
      <alignment horizontal="center"/>
    </xf>
    <xf numFmtId="3" fontId="7" fillId="2" borderId="6" xfId="0" applyNumberFormat="1" applyFont="1" applyFill="1" applyBorder="1" applyAlignment="1">
      <alignment horizontal="center"/>
    </xf>
    <xf numFmtId="9" fontId="8" fillId="4" borderId="6" xfId="0" applyNumberFormat="1" applyFont="1" applyFill="1" applyBorder="1" applyAlignment="1">
      <alignment horizontal="center"/>
    </xf>
    <xf numFmtId="9" fontId="8" fillId="4" borderId="4" xfId="0" applyNumberFormat="1" applyFont="1" applyFill="1" applyBorder="1" applyAlignment="1">
      <alignment horizontal="center"/>
    </xf>
    <xf numFmtId="9" fontId="8" fillId="5" borderId="6" xfId="0" applyNumberFormat="1" applyFont="1" applyFill="1" applyBorder="1" applyAlignment="1">
      <alignment horizontal="center"/>
    </xf>
    <xf numFmtId="9" fontId="8" fillId="5" borderId="4" xfId="0" applyNumberFormat="1" applyFont="1" applyFill="1" applyBorder="1" applyAlignment="1">
      <alignment horizontal="center"/>
    </xf>
    <xf numFmtId="0" fontId="7" fillId="2" borderId="6" xfId="0" applyFont="1" applyFill="1" applyBorder="1" applyAlignment="1">
      <alignment horizontal="right"/>
    </xf>
    <xf numFmtId="0" fontId="1" fillId="2" borderId="5" xfId="0" applyFont="1" applyFill="1" applyBorder="1"/>
    <xf numFmtId="0" fontId="8" fillId="6" borderId="6" xfId="0" applyFont="1" applyFill="1" applyBorder="1" applyAlignment="1">
      <alignment horizontal="center"/>
    </xf>
    <xf numFmtId="9" fontId="9" fillId="7" borderId="6" xfId="0" applyNumberFormat="1" applyFont="1" applyFill="1" applyBorder="1" applyAlignment="1">
      <alignment horizontal="center"/>
    </xf>
    <xf numFmtId="0" fontId="8" fillId="4" borderId="6" xfId="0" applyFont="1" applyFill="1" applyBorder="1" applyAlignment="1">
      <alignment horizontal="center"/>
    </xf>
    <xf numFmtId="3" fontId="8" fillId="4" borderId="6" xfId="0" applyNumberFormat="1" applyFont="1" applyFill="1" applyBorder="1" applyAlignment="1">
      <alignment horizontal="center"/>
    </xf>
    <xf numFmtId="9" fontId="9" fillId="7" borderId="4" xfId="0" applyNumberFormat="1" applyFont="1" applyFill="1" applyBorder="1" applyAlignment="1">
      <alignment horizontal="center"/>
    </xf>
    <xf numFmtId="0" fontId="8" fillId="5" borderId="6" xfId="0" applyFont="1" applyFill="1" applyBorder="1" applyAlignment="1">
      <alignment horizontal="center"/>
    </xf>
    <xf numFmtId="3" fontId="8" fillId="5" borderId="6" xfId="0" applyNumberFormat="1" applyFont="1" applyFill="1" applyBorder="1" applyAlignment="1">
      <alignment horizontal="center"/>
    </xf>
    <xf numFmtId="0" fontId="7" fillId="2" borderId="7" xfId="0" applyFont="1" applyFill="1" applyBorder="1" applyAlignment="1">
      <alignment horizontal="right"/>
    </xf>
    <xf numFmtId="0" fontId="7" fillId="2" borderId="7" xfId="0" applyFont="1" applyFill="1" applyBorder="1" applyAlignment="1">
      <alignment horizontal="center"/>
    </xf>
    <xf numFmtId="9" fontId="1" fillId="2" borderId="0" xfId="0" applyNumberFormat="1" applyFont="1" applyFill="1"/>
    <xf numFmtId="0" fontId="7" fillId="2" borderId="0" xfId="0" applyFont="1" applyFill="1" applyAlignment="1">
      <alignment horizontal="center"/>
    </xf>
    <xf numFmtId="3" fontId="7" fillId="2" borderId="7" xfId="0" applyNumberFormat="1" applyFont="1" applyFill="1" applyBorder="1" applyAlignment="1">
      <alignment horizontal="center"/>
    </xf>
    <xf numFmtId="0" fontId="7" fillId="2" borderId="3" xfId="0" applyFont="1" applyFill="1" applyBorder="1" applyAlignment="1">
      <alignment horizontal="center"/>
    </xf>
    <xf numFmtId="0" fontId="1" fillId="2" borderId="2" xfId="0" applyFont="1" applyFill="1" applyBorder="1"/>
    <xf numFmtId="0" fontId="1" fillId="2" borderId="8" xfId="0" applyFont="1" applyFill="1" applyBorder="1"/>
    <xf numFmtId="0" fontId="1" fillId="0" borderId="8" xfId="0" applyFont="1" applyBorder="1"/>
    <xf numFmtId="0" fontId="6" fillId="2" borderId="0" xfId="0" applyFont="1" applyFill="1"/>
    <xf numFmtId="0" fontId="7" fillId="8" borderId="1" xfId="0" applyFont="1" applyFill="1" applyBorder="1" applyAlignment="1">
      <alignment horizontal="center"/>
    </xf>
    <xf numFmtId="0" fontId="7" fillId="8" borderId="4" xfId="0" applyFont="1" applyFill="1" applyBorder="1" applyAlignment="1">
      <alignment horizontal="center"/>
    </xf>
    <xf numFmtId="0" fontId="7" fillId="9" borderId="1" xfId="0" applyFont="1" applyFill="1" applyBorder="1" applyAlignment="1">
      <alignment horizontal="center"/>
    </xf>
    <xf numFmtId="0" fontId="7" fillId="2" borderId="0" xfId="0" applyFont="1" applyFill="1" applyAlignment="1">
      <alignment horizontal="center" wrapText="1"/>
    </xf>
    <xf numFmtId="9" fontId="8" fillId="8" borderId="6" xfId="0" applyNumberFormat="1" applyFont="1" applyFill="1" applyBorder="1" applyAlignment="1">
      <alignment horizontal="center"/>
    </xf>
    <xf numFmtId="9" fontId="8" fillId="8" borderId="4" xfId="0" applyNumberFormat="1" applyFont="1" applyFill="1" applyBorder="1" applyAlignment="1">
      <alignment horizontal="center"/>
    </xf>
    <xf numFmtId="9" fontId="8" fillId="9" borderId="6" xfId="0" applyNumberFormat="1" applyFont="1" applyFill="1" applyBorder="1" applyAlignment="1">
      <alignment horizontal="center"/>
    </xf>
    <xf numFmtId="3" fontId="7" fillId="2" borderId="0" xfId="0" applyNumberFormat="1" applyFont="1" applyFill="1" applyAlignment="1">
      <alignment horizontal="center"/>
    </xf>
    <xf numFmtId="9" fontId="8" fillId="2" borderId="0" xfId="0" applyNumberFormat="1" applyFont="1" applyFill="1" applyAlignment="1">
      <alignment horizontal="center"/>
    </xf>
    <xf numFmtId="0" fontId="1" fillId="0" borderId="3" xfId="0" applyFont="1" applyBorder="1"/>
    <xf numFmtId="0" fontId="1" fillId="0" borderId="5" xfId="0" applyFont="1" applyBorder="1"/>
    <xf numFmtId="0" fontId="8" fillId="8" borderId="6" xfId="0" applyFont="1" applyFill="1" applyBorder="1" applyAlignment="1">
      <alignment horizontal="center"/>
    </xf>
    <xf numFmtId="3" fontId="8" fillId="8" borderId="6" xfId="0" applyNumberFormat="1" applyFont="1" applyFill="1" applyBorder="1" applyAlignment="1">
      <alignment horizontal="center"/>
    </xf>
    <xf numFmtId="0" fontId="8" fillId="9" borderId="6" xfId="0" applyFont="1" applyFill="1" applyBorder="1" applyAlignment="1">
      <alignment horizontal="center"/>
    </xf>
    <xf numFmtId="3" fontId="8" fillId="9" borderId="6" xfId="0" applyNumberFormat="1" applyFont="1" applyFill="1" applyBorder="1" applyAlignment="1">
      <alignment horizontal="center"/>
    </xf>
    <xf numFmtId="3" fontId="8" fillId="2" borderId="0" xfId="0" applyNumberFormat="1" applyFont="1" applyFill="1" applyAlignment="1">
      <alignment horizontal="center"/>
    </xf>
    <xf numFmtId="9" fontId="9" fillId="2" borderId="0" xfId="0" applyNumberFormat="1" applyFont="1" applyFill="1" applyAlignment="1">
      <alignment horizontal="center"/>
    </xf>
    <xf numFmtId="3" fontId="1" fillId="2" borderId="0" xfId="0" applyNumberFormat="1" applyFont="1" applyFill="1"/>
    <xf numFmtId="0" fontId="10" fillId="0" borderId="0" xfId="0" applyFo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12" fillId="0" borderId="0" xfId="0" applyFont="1"/>
    <xf numFmtId="0" fontId="11" fillId="0" borderId="0" xfId="0" applyFont="1" applyAlignment="1">
      <alignment horizontal="right"/>
    </xf>
    <xf numFmtId="0" fontId="11" fillId="0" borderId="1" xfId="0" applyFont="1" applyBorder="1"/>
    <xf numFmtId="0" fontId="13" fillId="10" borderId="17" xfId="0" applyFont="1" applyFill="1" applyBorder="1" applyAlignment="1">
      <alignment horizontal="center" wrapText="1"/>
    </xf>
    <xf numFmtId="0" fontId="13" fillId="10" borderId="6" xfId="0" applyFont="1" applyFill="1" applyBorder="1" applyAlignment="1">
      <alignment horizontal="center" wrapText="1"/>
    </xf>
    <xf numFmtId="0" fontId="11" fillId="0" borderId="7" xfId="0" applyFont="1" applyBorder="1"/>
    <xf numFmtId="9" fontId="11" fillId="0" borderId="18" xfId="0" applyNumberFormat="1" applyFont="1" applyBorder="1" applyAlignment="1">
      <alignment horizontal="center"/>
    </xf>
    <xf numFmtId="0" fontId="11" fillId="0" borderId="18" xfId="0" applyFont="1" applyBorder="1"/>
    <xf numFmtId="0" fontId="14" fillId="11" borderId="7" xfId="0" applyFont="1" applyFill="1" applyBorder="1" applyAlignment="1">
      <alignment horizontal="center"/>
    </xf>
    <xf numFmtId="0" fontId="15" fillId="0" borderId="0" xfId="0" applyFont="1"/>
    <xf numFmtId="0" fontId="11" fillId="0" borderId="17" xfId="0" applyFont="1" applyBorder="1"/>
    <xf numFmtId="9" fontId="11" fillId="0" borderId="6" xfId="0" applyNumberFormat="1" applyFont="1" applyBorder="1" applyAlignment="1">
      <alignment horizontal="center"/>
    </xf>
    <xf numFmtId="0" fontId="11" fillId="0" borderId="6" xfId="0" applyFont="1" applyBorder="1"/>
    <xf numFmtId="9" fontId="11" fillId="12" borderId="6" xfId="0" applyNumberFormat="1" applyFont="1" applyFill="1" applyBorder="1" applyAlignment="1">
      <alignment horizontal="center"/>
    </xf>
    <xf numFmtId="0" fontId="11" fillId="0" borderId="18" xfId="0" applyFont="1" applyBorder="1" applyAlignment="1">
      <alignment horizontal="center"/>
    </xf>
    <xf numFmtId="0" fontId="11" fillId="0" borderId="6" xfId="0" applyFont="1" applyBorder="1" applyAlignment="1">
      <alignment horizontal="center"/>
    </xf>
    <xf numFmtId="0" fontId="12" fillId="13" borderId="6" xfId="0" applyFont="1" applyFill="1" applyBorder="1" applyAlignment="1">
      <alignment horizontal="center"/>
    </xf>
    <xf numFmtId="0" fontId="16" fillId="0" borderId="0" xfId="0" applyFont="1" applyAlignment="1">
      <alignment horizontal="center"/>
    </xf>
    <xf numFmtId="0" fontId="16" fillId="0" borderId="0" xfId="0" applyFont="1" applyAlignment="1">
      <alignment horizontal="left"/>
    </xf>
    <xf numFmtId="0" fontId="21" fillId="7" borderId="18" xfId="0" applyFont="1" applyFill="1" applyBorder="1" applyAlignment="1">
      <alignment horizontal="center"/>
    </xf>
    <xf numFmtId="3" fontId="21" fillId="7" borderId="18" xfId="0" applyNumberFormat="1" applyFont="1" applyFill="1" applyBorder="1" applyAlignment="1">
      <alignment horizontal="center"/>
    </xf>
    <xf numFmtId="0" fontId="22" fillId="7" borderId="18" xfId="0" applyFont="1" applyFill="1" applyBorder="1" applyAlignment="1">
      <alignment horizontal="center"/>
    </xf>
    <xf numFmtId="14" fontId="7" fillId="2" borderId="6" xfId="0" applyNumberFormat="1" applyFont="1" applyFill="1" applyBorder="1" applyAlignment="1">
      <alignment horizontal="center" vertical="top"/>
    </xf>
    <xf numFmtId="3" fontId="7" fillId="2" borderId="6" xfId="0" applyNumberFormat="1" applyFont="1" applyFill="1" applyBorder="1" applyAlignment="1">
      <alignment horizontal="center" vertical="top"/>
    </xf>
    <xf numFmtId="0" fontId="7" fillId="2" borderId="6" xfId="0" applyFont="1" applyFill="1" applyBorder="1" applyAlignment="1">
      <alignment horizontal="center" vertical="top"/>
    </xf>
    <xf numFmtId="164" fontId="7" fillId="2" borderId="6" xfId="0" applyNumberFormat="1" applyFont="1" applyFill="1" applyBorder="1" applyAlignment="1">
      <alignment horizontal="center" vertical="top"/>
    </xf>
    <xf numFmtId="165" fontId="7" fillId="2" borderId="6" xfId="0" applyNumberFormat="1" applyFont="1" applyFill="1" applyBorder="1" applyAlignment="1">
      <alignment horizontal="center" vertical="top"/>
    </xf>
    <xf numFmtId="9" fontId="21" fillId="7" borderId="18" xfId="0" applyNumberFormat="1" applyFont="1" applyFill="1" applyBorder="1" applyAlignment="1">
      <alignment horizontal="center"/>
    </xf>
    <xf numFmtId="9" fontId="7" fillId="2" borderId="6" xfId="0" applyNumberFormat="1" applyFont="1" applyFill="1" applyBorder="1" applyAlignment="1">
      <alignment horizontal="center" vertical="top"/>
    </xf>
    <xf numFmtId="9" fontId="0" fillId="0" borderId="0" xfId="0" applyNumberFormat="1"/>
    <xf numFmtId="2" fontId="7" fillId="2" borderId="6" xfId="0" applyNumberFormat="1" applyFont="1" applyFill="1" applyBorder="1" applyAlignment="1">
      <alignment horizontal="center" vertical="top"/>
    </xf>
    <xf numFmtId="1" fontId="7" fillId="2" borderId="6" xfId="0" applyNumberFormat="1" applyFont="1" applyFill="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0" fontId="13" fillId="10" borderId="6" xfId="0" applyFont="1" applyFill="1" applyBorder="1" applyAlignment="1">
      <alignment horizontal="center" vertical="center" wrapText="1"/>
    </xf>
    <xf numFmtId="0" fontId="13" fillId="10" borderId="6" xfId="0" applyFont="1" applyFill="1" applyBorder="1" applyAlignment="1">
      <alignment horizontal="center" vertical="center"/>
    </xf>
    <xf numFmtId="166" fontId="7" fillId="2" borderId="6" xfId="0" applyNumberFormat="1" applyFont="1" applyFill="1" applyBorder="1" applyAlignment="1">
      <alignment horizontal="center" vertical="top"/>
    </xf>
    <xf numFmtId="0" fontId="20" fillId="0" borderId="19" xfId="0" applyFont="1" applyBorder="1" applyAlignment="1">
      <alignment horizontal="left"/>
    </xf>
    <xf numFmtId="0" fontId="0" fillId="0" borderId="19" xfId="0" applyBorder="1"/>
    <xf numFmtId="10" fontId="0" fillId="0" borderId="19" xfId="0" applyNumberFormat="1" applyBorder="1"/>
    <xf numFmtId="0" fontId="0" fillId="0" borderId="19" xfId="0" applyBorder="1" applyAlignment="1">
      <alignment horizontal="left"/>
    </xf>
    <xf numFmtId="2" fontId="0" fillId="0" borderId="19" xfId="0" applyNumberFormat="1" applyBorder="1"/>
    <xf numFmtId="0" fontId="23" fillId="2" borderId="2" xfId="0" applyFont="1" applyFill="1" applyBorder="1" applyAlignment="1">
      <alignment horizontal="center"/>
    </xf>
    <xf numFmtId="3" fontId="23" fillId="2" borderId="2" xfId="0" applyNumberFormat="1" applyFont="1" applyFill="1" applyBorder="1" applyAlignment="1">
      <alignment horizontal="center"/>
    </xf>
    <xf numFmtId="3" fontId="23" fillId="0" borderId="2" xfId="0" applyNumberFormat="1" applyFont="1" applyBorder="1" applyAlignment="1">
      <alignment horizontal="center"/>
    </xf>
    <xf numFmtId="3" fontId="7" fillId="2" borderId="5" xfId="0" applyNumberFormat="1" applyFont="1" applyFill="1" applyBorder="1" applyAlignment="1">
      <alignment horizontal="center"/>
    </xf>
    <xf numFmtId="0" fontId="8" fillId="8" borderId="19" xfId="0" applyFont="1" applyFill="1" applyBorder="1" applyAlignment="1">
      <alignment horizontal="center"/>
    </xf>
    <xf numFmtId="3" fontId="8" fillId="8" borderId="19" xfId="0" applyNumberFormat="1" applyFont="1" applyFill="1" applyBorder="1" applyAlignment="1">
      <alignment horizontal="center"/>
    </xf>
    <xf numFmtId="0" fontId="7" fillId="0" borderId="19" xfId="0" applyFont="1" applyBorder="1" applyAlignment="1">
      <alignment horizontal="center"/>
    </xf>
    <xf numFmtId="3" fontId="7" fillId="0" borderId="19" xfId="0" applyNumberFormat="1" applyFont="1" applyBorder="1" applyAlignment="1">
      <alignment horizontal="center"/>
    </xf>
    <xf numFmtId="0" fontId="3" fillId="0" borderId="0" xfId="0" applyFont="1"/>
    <xf numFmtId="0" fontId="5" fillId="0" borderId="1" xfId="0" applyFont="1" applyBorder="1"/>
    <xf numFmtId="0" fontId="1" fillId="0" borderId="9" xfId="0" applyFont="1" applyBorder="1" applyAlignment="1">
      <alignment vertical="center" wrapText="1"/>
    </xf>
    <xf numFmtId="0" fontId="5" fillId="0" borderId="10" xfId="0" applyFont="1" applyBorder="1"/>
    <xf numFmtId="0" fontId="5" fillId="0" borderId="11" xfId="0" applyFont="1" applyBorder="1"/>
    <xf numFmtId="0" fontId="5" fillId="0" borderId="12" xfId="0" applyFont="1" applyBorder="1"/>
    <xf numFmtId="0" fontId="0" fillId="0" borderId="0" xfId="0"/>
    <xf numFmtId="0" fontId="5" fillId="0" borderId="13" xfId="0" applyFont="1" applyBorder="1"/>
    <xf numFmtId="0" fontId="5" fillId="0" borderId="14" xfId="0" applyFont="1" applyBorder="1"/>
    <xf numFmtId="0" fontId="5" fillId="0" borderId="15" xfId="0" applyFont="1" applyBorder="1"/>
    <xf numFmtId="0" fontId="5" fillId="0" borderId="16" xfId="0" applyFont="1" applyBorder="1"/>
    <xf numFmtId="14" fontId="2" fillId="0" borderId="1" xfId="0" applyNumberFormat="1" applyFont="1" applyBorder="1"/>
  </cellXfs>
  <cellStyles count="1">
    <cellStyle name="Normal" xfId="0" builtinId="0"/>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[Jean-Philippe_Bénédy_4_Tableau_bord_indicateurs_transport_062024.xlsx]TCD_OT!Tableau croisé dynamique2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Nombre</a:t>
            </a:r>
            <a:r>
              <a:rPr lang="fr-FR" baseline="0"/>
              <a:t> d'ordre de transport</a:t>
            </a:r>
            <a:endParaRPr lang="fr-FR"/>
          </a:p>
        </c:rich>
      </c:tx>
      <c:layout>
        <c:manualLayout>
          <c:xMode val="edge"/>
          <c:yMode val="edge"/>
          <c:x val="0.39933407325194231"/>
          <c:y val="4.619565217391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211007891494142E-2"/>
          <c:y val="0.1524184782608696"/>
          <c:w val="0.85537145953315219"/>
          <c:h val="0.73217391304347823"/>
        </c:manualLayout>
      </c:layout>
      <c:barChart>
        <c:barDir val="col"/>
        <c:grouping val="stacked"/>
        <c:varyColors val="0"/>
        <c:ser>
          <c:idx val="0"/>
          <c:order val="0"/>
          <c:tx>
            <c:strRef>
              <c:f>TCD_OT!$B$3:$B$4</c:f>
              <c:strCache>
                <c:ptCount val="1"/>
                <c:pt idx="0">
                  <c:v>2021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TCD_OT!$A$5:$A$14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TCD_OT!$B$5:$B$14</c:f>
              <c:numCache>
                <c:formatCode>General</c:formatCode>
                <c:ptCount val="9"/>
                <c:pt idx="0">
                  <c:v>31</c:v>
                </c:pt>
                <c:pt idx="1">
                  <c:v>42</c:v>
                </c:pt>
                <c:pt idx="2">
                  <c:v>64</c:v>
                </c:pt>
                <c:pt idx="3">
                  <c:v>52</c:v>
                </c:pt>
                <c:pt idx="4">
                  <c:v>54</c:v>
                </c:pt>
                <c:pt idx="5">
                  <c:v>59</c:v>
                </c:pt>
                <c:pt idx="6">
                  <c:v>50</c:v>
                </c:pt>
                <c:pt idx="7">
                  <c:v>55</c:v>
                </c:pt>
                <c:pt idx="8">
                  <c:v>48</c:v>
                </c:pt>
              </c:numCache>
            </c:numRef>
          </c:val>
          <c:extLst>
            <c:ext xmlns:c16="http://schemas.microsoft.com/office/drawing/2014/chart" uri="{C3380CC4-5D6E-409C-BE32-E72D297353CC}">
              <c16:uniqueId val="{00000000-77DB-9F4B-8A30-0DB85F4C9355}"/>
            </c:ext>
          </c:extLst>
        </c:ser>
        <c:ser>
          <c:idx val="1"/>
          <c:order val="1"/>
          <c:tx>
            <c:strRef>
              <c:f>TCD_OT!$C$3:$C$4</c:f>
              <c:strCache>
                <c:ptCount val="1"/>
                <c:pt idx="0">
                  <c:v>2022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TCD_OT!$A$5:$A$14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TCD_OT!$C$5:$C$14</c:f>
              <c:numCache>
                <c:formatCode>General</c:formatCode>
                <c:ptCount val="9"/>
                <c:pt idx="0">
                  <c:v>32</c:v>
                </c:pt>
                <c:pt idx="1">
                  <c:v>69</c:v>
                </c:pt>
                <c:pt idx="2">
                  <c:v>141</c:v>
                </c:pt>
                <c:pt idx="3">
                  <c:v>128</c:v>
                </c:pt>
                <c:pt idx="4">
                  <c:v>145</c:v>
                </c:pt>
                <c:pt idx="5">
                  <c:v>167</c:v>
                </c:pt>
                <c:pt idx="6">
                  <c:v>118</c:v>
                </c:pt>
                <c:pt idx="7">
                  <c:v>120</c:v>
                </c:pt>
                <c:pt idx="8">
                  <c:v>106</c:v>
                </c:pt>
              </c:numCache>
            </c:numRef>
          </c:val>
          <c:extLst>
            <c:ext xmlns:c16="http://schemas.microsoft.com/office/drawing/2014/chart" uri="{C3380CC4-5D6E-409C-BE32-E72D297353CC}">
              <c16:uniqueId val="{00000001-77DB-9F4B-8A30-0DB85F4C9355}"/>
            </c:ext>
          </c:extLst>
        </c:ser>
        <c:dLbls>
          <c:showLegendKey val="0"/>
          <c:showVal val="0"/>
          <c:showCatName val="0"/>
          <c:showSerName val="0"/>
          <c:showPercent val="0"/>
          <c:showBubbleSize val="0"/>
        </c:dLbls>
        <c:gapWidth val="219"/>
        <c:overlap val="100"/>
        <c:axId val="951922239"/>
        <c:axId val="952080495"/>
      </c:barChart>
      <c:catAx>
        <c:axId val="951922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2080495"/>
        <c:crosses val="autoZero"/>
        <c:auto val="1"/>
        <c:lblAlgn val="ctr"/>
        <c:lblOffset val="100"/>
        <c:noMultiLvlLbl val="0"/>
      </c:catAx>
      <c:valAx>
        <c:axId val="95208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Quantité</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192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[Jean-Philippe_Bénédy_4_Tableau_bord_indicateurs_transport_062024.xlsx]TCD_Poids(Kg)!Tableau croisé dynamique3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Poids transporté en Kg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'TCD_Poids(Kg)'!$B$3:$B$4</c:f>
              <c:strCache>
                <c:ptCount val="1"/>
                <c:pt idx="0">
                  <c:v>2021</c:v>
                </c:pt>
              </c:strCache>
            </c:strRef>
          </c:tx>
          <c:spPr>
            <a:solidFill>
              <a:schemeClr val="accent1"/>
            </a:solidFill>
            <a:ln>
              <a:noFill/>
            </a:ln>
            <a:effectLst/>
          </c:spPr>
          <c:invertIfNegative val="0"/>
          <c:cat>
            <c:strRef>
              <c:f>'TCD_Poids(Kg)'!$A$5:$A$14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'TCD_Poids(Kg)'!$B$5:$B$14</c:f>
              <c:numCache>
                <c:formatCode>General</c:formatCode>
                <c:ptCount val="9"/>
                <c:pt idx="0">
                  <c:v>18053</c:v>
                </c:pt>
                <c:pt idx="1">
                  <c:v>12198</c:v>
                </c:pt>
                <c:pt idx="2">
                  <c:v>17800</c:v>
                </c:pt>
                <c:pt idx="3">
                  <c:v>14855</c:v>
                </c:pt>
                <c:pt idx="4">
                  <c:v>15055</c:v>
                </c:pt>
                <c:pt idx="5">
                  <c:v>19180</c:v>
                </c:pt>
                <c:pt idx="6">
                  <c:v>14840</c:v>
                </c:pt>
                <c:pt idx="7">
                  <c:v>20230</c:v>
                </c:pt>
                <c:pt idx="8">
                  <c:v>18325</c:v>
                </c:pt>
              </c:numCache>
            </c:numRef>
          </c:val>
          <c:extLst>
            <c:ext xmlns:c16="http://schemas.microsoft.com/office/drawing/2014/chart" uri="{C3380CC4-5D6E-409C-BE32-E72D297353CC}">
              <c16:uniqueId val="{00000000-CBB8-0E4A-9AE4-8998B600EA78}"/>
            </c:ext>
          </c:extLst>
        </c:ser>
        <c:ser>
          <c:idx val="1"/>
          <c:order val="1"/>
          <c:tx>
            <c:strRef>
              <c:f>'TCD_Poids(Kg)'!$C$3:$C$4</c:f>
              <c:strCache>
                <c:ptCount val="1"/>
                <c:pt idx="0">
                  <c:v>2022</c:v>
                </c:pt>
              </c:strCache>
            </c:strRef>
          </c:tx>
          <c:spPr>
            <a:solidFill>
              <a:schemeClr val="accent2"/>
            </a:solidFill>
            <a:ln>
              <a:noFill/>
            </a:ln>
            <a:effectLst/>
          </c:spPr>
          <c:invertIfNegative val="0"/>
          <c:cat>
            <c:strRef>
              <c:f>'TCD_Poids(Kg)'!$A$5:$A$14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'TCD_Poids(Kg)'!$C$5:$C$14</c:f>
              <c:numCache>
                <c:formatCode>General</c:formatCode>
                <c:ptCount val="9"/>
                <c:pt idx="0">
                  <c:v>10517</c:v>
                </c:pt>
                <c:pt idx="1">
                  <c:v>17805</c:v>
                </c:pt>
                <c:pt idx="2">
                  <c:v>39619</c:v>
                </c:pt>
                <c:pt idx="3">
                  <c:v>45889</c:v>
                </c:pt>
                <c:pt idx="4">
                  <c:v>47442</c:v>
                </c:pt>
                <c:pt idx="5">
                  <c:v>54949</c:v>
                </c:pt>
                <c:pt idx="6">
                  <c:v>34775</c:v>
                </c:pt>
                <c:pt idx="7">
                  <c:v>43452</c:v>
                </c:pt>
                <c:pt idx="8">
                  <c:v>39204</c:v>
                </c:pt>
              </c:numCache>
            </c:numRef>
          </c:val>
          <c:extLst>
            <c:ext xmlns:c16="http://schemas.microsoft.com/office/drawing/2014/chart" uri="{C3380CC4-5D6E-409C-BE32-E72D297353CC}">
              <c16:uniqueId val="{00000001-CBB8-0E4A-9AE4-8998B600EA78}"/>
            </c:ext>
          </c:extLst>
        </c:ser>
        <c:dLbls>
          <c:showLegendKey val="0"/>
          <c:showVal val="0"/>
          <c:showCatName val="0"/>
          <c:showSerName val="0"/>
          <c:showPercent val="0"/>
          <c:showBubbleSize val="0"/>
        </c:dLbls>
        <c:gapWidth val="219"/>
        <c:overlap val="-27"/>
        <c:axId val="955249263"/>
        <c:axId val="954831455"/>
      </c:barChart>
      <c:catAx>
        <c:axId val="955249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4831455"/>
        <c:crosses val="autoZero"/>
        <c:auto val="1"/>
        <c:lblAlgn val="ctr"/>
        <c:lblOffset val="100"/>
        <c:noMultiLvlLbl val="0"/>
      </c:catAx>
      <c:valAx>
        <c:axId val="954831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Poids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524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[Jean-Philippe_Bénédy_4_Tableau_bord_indicateurs_transport_062024.xlsx]TCD_Km!Tableau croisé dynamique4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Km réalisé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TCD_Km!$B$3:$B$4</c:f>
              <c:strCache>
                <c:ptCount val="1"/>
                <c:pt idx="0">
                  <c:v>2021</c:v>
                </c:pt>
              </c:strCache>
            </c:strRef>
          </c:tx>
          <c:spPr>
            <a:ln w="28575" cap="rnd">
              <a:solidFill>
                <a:schemeClr val="accent1"/>
              </a:solidFill>
              <a:round/>
            </a:ln>
            <a:effectLst/>
          </c:spPr>
          <c:marker>
            <c:symbol val="none"/>
          </c:marker>
          <c:cat>
            <c:strRef>
              <c:f>TCD_Km!$A$5:$A$14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TCD_Km!$B$5:$B$14</c:f>
              <c:numCache>
                <c:formatCode>General</c:formatCode>
                <c:ptCount val="9"/>
                <c:pt idx="0">
                  <c:v>12548.985000000001</c:v>
                </c:pt>
                <c:pt idx="1">
                  <c:v>16191.553000000002</c:v>
                </c:pt>
                <c:pt idx="2">
                  <c:v>20002.071</c:v>
                </c:pt>
                <c:pt idx="3">
                  <c:v>17638.505000000005</c:v>
                </c:pt>
                <c:pt idx="4">
                  <c:v>16365.548999999999</c:v>
                </c:pt>
                <c:pt idx="5">
                  <c:v>17451.165999999994</c:v>
                </c:pt>
                <c:pt idx="6">
                  <c:v>17036.29099999999</c:v>
                </c:pt>
                <c:pt idx="7">
                  <c:v>18325.828000000001</c:v>
                </c:pt>
                <c:pt idx="8">
                  <c:v>14579.261999999995</c:v>
                </c:pt>
              </c:numCache>
            </c:numRef>
          </c:val>
          <c:smooth val="0"/>
          <c:extLst>
            <c:ext xmlns:c16="http://schemas.microsoft.com/office/drawing/2014/chart" uri="{C3380CC4-5D6E-409C-BE32-E72D297353CC}">
              <c16:uniqueId val="{00000000-633E-514B-958A-1A6FB8075D15}"/>
            </c:ext>
          </c:extLst>
        </c:ser>
        <c:ser>
          <c:idx val="1"/>
          <c:order val="1"/>
          <c:tx>
            <c:strRef>
              <c:f>TCD_Km!$C$3:$C$4</c:f>
              <c:strCache>
                <c:ptCount val="1"/>
                <c:pt idx="0">
                  <c:v>2022</c:v>
                </c:pt>
              </c:strCache>
            </c:strRef>
          </c:tx>
          <c:spPr>
            <a:ln w="28575" cap="rnd">
              <a:solidFill>
                <a:schemeClr val="accent2"/>
              </a:solidFill>
              <a:round/>
            </a:ln>
            <a:effectLst/>
          </c:spPr>
          <c:marker>
            <c:symbol val="none"/>
          </c:marker>
          <c:cat>
            <c:strRef>
              <c:f>TCD_Km!$A$5:$A$14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TCD_Km!$C$5:$C$14</c:f>
              <c:numCache>
                <c:formatCode>General</c:formatCode>
                <c:ptCount val="9"/>
                <c:pt idx="0">
                  <c:v>11522.189999999997</c:v>
                </c:pt>
                <c:pt idx="1">
                  <c:v>25546.339</c:v>
                </c:pt>
                <c:pt idx="2">
                  <c:v>51154.930000000008</c:v>
                </c:pt>
                <c:pt idx="3">
                  <c:v>43743.547999999981</c:v>
                </c:pt>
                <c:pt idx="4">
                  <c:v>50423.278000000013</c:v>
                </c:pt>
                <c:pt idx="5">
                  <c:v>61226.337999999996</c:v>
                </c:pt>
                <c:pt idx="6">
                  <c:v>45173.560000000012</c:v>
                </c:pt>
                <c:pt idx="7">
                  <c:v>45922.89499999999</c:v>
                </c:pt>
                <c:pt idx="8">
                  <c:v>39258.041999999987</c:v>
                </c:pt>
              </c:numCache>
            </c:numRef>
          </c:val>
          <c:smooth val="0"/>
          <c:extLst>
            <c:ext xmlns:c16="http://schemas.microsoft.com/office/drawing/2014/chart" uri="{C3380CC4-5D6E-409C-BE32-E72D297353CC}">
              <c16:uniqueId val="{00000001-633E-514B-958A-1A6FB8075D15}"/>
            </c:ext>
          </c:extLst>
        </c:ser>
        <c:dLbls>
          <c:showLegendKey val="0"/>
          <c:showVal val="0"/>
          <c:showCatName val="0"/>
          <c:showSerName val="0"/>
          <c:showPercent val="0"/>
          <c:showBubbleSize val="0"/>
        </c:dLbls>
        <c:smooth val="0"/>
        <c:axId val="1557356591"/>
        <c:axId val="952495247"/>
      </c:lineChart>
      <c:catAx>
        <c:axId val="1557356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52495247"/>
        <c:crosses val="autoZero"/>
        <c:auto val="1"/>
        <c:lblAlgn val="ctr"/>
        <c:lblOffset val="100"/>
        <c:noMultiLvlLbl val="0"/>
      </c:catAx>
      <c:valAx>
        <c:axId val="95249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Distance</a:t>
                </a:r>
                <a:r>
                  <a:rPr lang="fr-FR" baseline="0"/>
                  <a:t> (en Km)</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5735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[Jean-Philippe_Bénédy_4_Tableau_bord_indicateurs_transport_062024.xlsx]TCD_Coût_Transport!Tableau croisé dynamique5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Coût</a:t>
            </a:r>
            <a:r>
              <a:rPr lang="fr-FR" baseline="0"/>
              <a:t> total transport</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TCD_Coût_Transport!$B$3:$B$4</c:f>
              <c:strCache>
                <c:ptCount val="1"/>
                <c:pt idx="0">
                  <c:v>2021</c:v>
                </c:pt>
              </c:strCache>
            </c:strRef>
          </c:tx>
          <c:spPr>
            <a:solidFill>
              <a:schemeClr val="accent1"/>
            </a:solidFill>
            <a:ln>
              <a:noFill/>
            </a:ln>
            <a:effectLst/>
          </c:spPr>
          <c:invertIfNegative val="0"/>
          <c:cat>
            <c:strRef>
              <c:f>TCD_Coût_Transport!$A$5:$A$14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TCD_Coût_Transport!$B$5:$B$14</c:f>
              <c:numCache>
                <c:formatCode>General</c:formatCode>
                <c:ptCount val="9"/>
                <c:pt idx="0">
                  <c:v>8824</c:v>
                </c:pt>
                <c:pt idx="1">
                  <c:v>6418.5</c:v>
                </c:pt>
                <c:pt idx="2">
                  <c:v>9392.2099999999991</c:v>
                </c:pt>
                <c:pt idx="3">
                  <c:v>8219.5400000000009</c:v>
                </c:pt>
                <c:pt idx="4">
                  <c:v>8741.369999999999</c:v>
                </c:pt>
                <c:pt idx="5">
                  <c:v>10039.619999999999</c:v>
                </c:pt>
                <c:pt idx="6">
                  <c:v>7900</c:v>
                </c:pt>
                <c:pt idx="7">
                  <c:v>8494.7200000000012</c:v>
                </c:pt>
                <c:pt idx="8">
                  <c:v>7690</c:v>
                </c:pt>
              </c:numCache>
            </c:numRef>
          </c:val>
          <c:extLst>
            <c:ext xmlns:c16="http://schemas.microsoft.com/office/drawing/2014/chart" uri="{C3380CC4-5D6E-409C-BE32-E72D297353CC}">
              <c16:uniqueId val="{00000000-EF81-014C-BA56-06C435462748}"/>
            </c:ext>
          </c:extLst>
        </c:ser>
        <c:ser>
          <c:idx val="1"/>
          <c:order val="1"/>
          <c:tx>
            <c:strRef>
              <c:f>TCD_Coût_Transport!$C$3:$C$4</c:f>
              <c:strCache>
                <c:ptCount val="1"/>
                <c:pt idx="0">
                  <c:v>2022</c:v>
                </c:pt>
              </c:strCache>
            </c:strRef>
          </c:tx>
          <c:spPr>
            <a:solidFill>
              <a:schemeClr val="accent2"/>
            </a:solidFill>
            <a:ln>
              <a:noFill/>
            </a:ln>
            <a:effectLst/>
          </c:spPr>
          <c:invertIfNegative val="0"/>
          <c:cat>
            <c:strRef>
              <c:f>TCD_Coût_Transport!$A$5:$A$14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TCD_Coût_Transport!$C$5:$C$14</c:f>
              <c:numCache>
                <c:formatCode>General</c:formatCode>
                <c:ptCount val="9"/>
                <c:pt idx="0">
                  <c:v>5047</c:v>
                </c:pt>
                <c:pt idx="1">
                  <c:v>11257</c:v>
                </c:pt>
                <c:pt idx="2">
                  <c:v>25338.699999999997</c:v>
                </c:pt>
                <c:pt idx="3">
                  <c:v>23985.599999999999</c:v>
                </c:pt>
                <c:pt idx="4">
                  <c:v>28300.6</c:v>
                </c:pt>
                <c:pt idx="5">
                  <c:v>36818.6</c:v>
                </c:pt>
                <c:pt idx="6">
                  <c:v>26666.899999999998</c:v>
                </c:pt>
                <c:pt idx="7">
                  <c:v>25942</c:v>
                </c:pt>
                <c:pt idx="8">
                  <c:v>22470</c:v>
                </c:pt>
              </c:numCache>
            </c:numRef>
          </c:val>
          <c:extLst>
            <c:ext xmlns:c16="http://schemas.microsoft.com/office/drawing/2014/chart" uri="{C3380CC4-5D6E-409C-BE32-E72D297353CC}">
              <c16:uniqueId val="{00000003-EF81-014C-BA56-06C435462748}"/>
            </c:ext>
          </c:extLst>
        </c:ser>
        <c:dLbls>
          <c:showLegendKey val="0"/>
          <c:showVal val="0"/>
          <c:showCatName val="0"/>
          <c:showSerName val="0"/>
          <c:showPercent val="0"/>
          <c:showBubbleSize val="0"/>
        </c:dLbls>
        <c:gapWidth val="219"/>
        <c:overlap val="-27"/>
        <c:axId val="970175279"/>
        <c:axId val="970243903"/>
      </c:barChart>
      <c:catAx>
        <c:axId val="97017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0243903"/>
        <c:crosses val="autoZero"/>
        <c:auto val="1"/>
        <c:lblAlgn val="ctr"/>
        <c:lblOffset val="100"/>
        <c:noMultiLvlLbl val="0"/>
      </c:catAx>
      <c:valAx>
        <c:axId val="9702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017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[Jean-Philippe_Bénédy_4_Tableau_bord_indicateurs_transport_062024.xlsx]TCD_CO2!Tableau croisé dynamique6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Emission Co2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6052556683426E-2"/>
          <c:y val="0.1391388888888889"/>
          <c:w val="0.83153562280618543"/>
          <c:h val="0.74288888888888893"/>
        </c:manualLayout>
      </c:layout>
      <c:barChart>
        <c:barDir val="col"/>
        <c:grouping val="clustered"/>
        <c:varyColors val="0"/>
        <c:ser>
          <c:idx val="0"/>
          <c:order val="0"/>
          <c:tx>
            <c:strRef>
              <c:f>TCD_CO2!$B$3:$B$4</c:f>
              <c:strCache>
                <c:ptCount val="1"/>
                <c:pt idx="0">
                  <c:v>2021</c:v>
                </c:pt>
              </c:strCache>
            </c:strRef>
          </c:tx>
          <c:spPr>
            <a:solidFill>
              <a:schemeClr val="accent1"/>
            </a:solidFill>
            <a:ln>
              <a:noFill/>
            </a:ln>
            <a:effectLst/>
          </c:spPr>
          <c:invertIfNegative val="0"/>
          <c:cat>
            <c:strRef>
              <c:f>TCD_CO2!$A$5:$A$14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TCD_CO2!$B$5:$B$14</c:f>
              <c:numCache>
                <c:formatCode>0.00</c:formatCode>
                <c:ptCount val="9"/>
                <c:pt idx="0">
                  <c:v>596.95981233908003</c:v>
                </c:pt>
                <c:pt idx="1">
                  <c:v>528.44576559239999</c:v>
                </c:pt>
                <c:pt idx="2">
                  <c:v>598.28947803459982</c:v>
                </c:pt>
                <c:pt idx="3">
                  <c:v>422.54825692780003</c:v>
                </c:pt>
                <c:pt idx="4">
                  <c:v>410.64473045370005</c:v>
                </c:pt>
                <c:pt idx="5">
                  <c:v>533.07539303400017</c:v>
                </c:pt>
                <c:pt idx="6">
                  <c:v>491.67252374019989</c:v>
                </c:pt>
                <c:pt idx="7">
                  <c:v>648.24622526029998</c:v>
                </c:pt>
                <c:pt idx="8">
                  <c:v>511.84676244999991</c:v>
                </c:pt>
              </c:numCache>
            </c:numRef>
          </c:val>
          <c:extLst>
            <c:ext xmlns:c16="http://schemas.microsoft.com/office/drawing/2014/chart" uri="{C3380CC4-5D6E-409C-BE32-E72D297353CC}">
              <c16:uniqueId val="{00000000-CBC3-7949-89E4-15F661AFFE19}"/>
            </c:ext>
          </c:extLst>
        </c:ser>
        <c:ser>
          <c:idx val="1"/>
          <c:order val="1"/>
          <c:tx>
            <c:strRef>
              <c:f>TCD_CO2!$C$3:$C$4</c:f>
              <c:strCache>
                <c:ptCount val="1"/>
                <c:pt idx="0">
                  <c:v>2022</c:v>
                </c:pt>
              </c:strCache>
            </c:strRef>
          </c:tx>
          <c:spPr>
            <a:solidFill>
              <a:schemeClr val="accent2"/>
            </a:solidFill>
            <a:ln>
              <a:noFill/>
            </a:ln>
            <a:effectLst/>
          </c:spPr>
          <c:invertIfNegative val="0"/>
          <c:cat>
            <c:strRef>
              <c:f>TCD_CO2!$A$5:$A$14</c:f>
              <c:strCache>
                <c:ptCount val="9"/>
                <c:pt idx="0">
                  <c:v>janvier</c:v>
                </c:pt>
                <c:pt idx="1">
                  <c:v>février</c:v>
                </c:pt>
                <c:pt idx="2">
                  <c:v>mars</c:v>
                </c:pt>
                <c:pt idx="3">
                  <c:v>avril</c:v>
                </c:pt>
                <c:pt idx="4">
                  <c:v>mai</c:v>
                </c:pt>
                <c:pt idx="5">
                  <c:v>juin</c:v>
                </c:pt>
                <c:pt idx="6">
                  <c:v>juillet</c:v>
                </c:pt>
                <c:pt idx="7">
                  <c:v>août</c:v>
                </c:pt>
                <c:pt idx="8">
                  <c:v>septembre</c:v>
                </c:pt>
              </c:strCache>
            </c:strRef>
          </c:cat>
          <c:val>
            <c:numRef>
              <c:f>TCD_CO2!$C$5:$C$14</c:f>
              <c:numCache>
                <c:formatCode>0.00</c:formatCode>
                <c:ptCount val="9"/>
                <c:pt idx="0">
                  <c:v>354.97536086162</c:v>
                </c:pt>
                <c:pt idx="1">
                  <c:v>609.08467445730003</c:v>
                </c:pt>
                <c:pt idx="2">
                  <c:v>1281.4500789411404</c:v>
                </c:pt>
                <c:pt idx="3">
                  <c:v>1479.1594002646204</c:v>
                </c:pt>
                <c:pt idx="4">
                  <c:v>1432.60325868624</c:v>
                </c:pt>
                <c:pt idx="5">
                  <c:v>2077.7310020559398</c:v>
                </c:pt>
                <c:pt idx="6">
                  <c:v>1444.6724350049408</c:v>
                </c:pt>
                <c:pt idx="7">
                  <c:v>1690.3603862887196</c:v>
                </c:pt>
                <c:pt idx="8">
                  <c:v>1473.18706455644</c:v>
                </c:pt>
              </c:numCache>
            </c:numRef>
          </c:val>
          <c:extLst>
            <c:ext xmlns:c16="http://schemas.microsoft.com/office/drawing/2014/chart" uri="{C3380CC4-5D6E-409C-BE32-E72D297353CC}">
              <c16:uniqueId val="{00000001-CBC3-7949-89E4-15F661AFFE19}"/>
            </c:ext>
          </c:extLst>
        </c:ser>
        <c:dLbls>
          <c:showLegendKey val="0"/>
          <c:showVal val="0"/>
          <c:showCatName val="0"/>
          <c:showSerName val="0"/>
          <c:showPercent val="0"/>
          <c:showBubbleSize val="0"/>
        </c:dLbls>
        <c:gapWidth val="219"/>
        <c:overlap val="-27"/>
        <c:axId val="990701935"/>
        <c:axId val="990703663"/>
      </c:barChart>
      <c:catAx>
        <c:axId val="99070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Mois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0703663"/>
        <c:crosses val="autoZero"/>
        <c:auto val="1"/>
        <c:lblAlgn val="ctr"/>
        <c:lblOffset val="100"/>
        <c:noMultiLvlLbl val="0"/>
      </c:catAx>
      <c:valAx>
        <c:axId val="990703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kg eq CO2 émis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070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24</xdr:col>
      <xdr:colOff>0</xdr:colOff>
      <xdr:row>0</xdr:row>
      <xdr:rowOff>0</xdr:rowOff>
    </xdr:from>
    <xdr:ext cx="466725" cy="200025"/>
    <xdr:pic>
      <xdr:nvPicPr>
        <xdr:cNvPr id="2" name="image1.png">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20</xdr:row>
      <xdr:rowOff>101600</xdr:rowOff>
    </xdr:from>
    <xdr:to>
      <xdr:col>9</xdr:col>
      <xdr:colOff>152400</xdr:colOff>
      <xdr:row>48</xdr:row>
      <xdr:rowOff>152400</xdr:rowOff>
    </xdr:to>
    <xdr:graphicFrame macro="">
      <xdr:nvGraphicFramePr>
        <xdr:cNvPr id="3" name="Graphique 2" descr="Graphique en histogramme indiquant l'évolution du nombre d'ordre de transport entre janvier et septembre pour les années 2021 et 2022. On remarque visuellement une augmentation significative en 2022 vs 2021">
          <a:extLst>
            <a:ext uri="{FF2B5EF4-FFF2-40B4-BE49-F238E27FC236}">
              <a16:creationId xmlns:a16="http://schemas.microsoft.com/office/drawing/2014/main" id="{0C6BD991-2CE1-67C6-61DB-7939F8B01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749300</xdr:colOff>
      <xdr:row>2</xdr:row>
      <xdr:rowOff>88901</xdr:rowOff>
    </xdr:from>
    <xdr:to>
      <xdr:col>6</xdr:col>
      <xdr:colOff>1422400</xdr:colOff>
      <xdr:row>14</xdr:row>
      <xdr:rowOff>76201</xdr:rowOff>
    </xdr:to>
    <mc:AlternateContent xmlns:mc="http://schemas.openxmlformats.org/markup-compatibility/2006" xmlns:a14="http://schemas.microsoft.com/office/drawing/2010/main">
      <mc:Choice Requires="a14">
        <xdr:graphicFrame macro="">
          <xdr:nvGraphicFramePr>
            <xdr:cNvPr id="4" name="Mois">
              <a:extLst>
                <a:ext uri="{FF2B5EF4-FFF2-40B4-BE49-F238E27FC236}">
                  <a16:creationId xmlns:a16="http://schemas.microsoft.com/office/drawing/2014/main" id="{F112EBC7-F1AA-A8C6-A8AF-C720F61D48AB}"/>
                </a:ext>
              </a:extLst>
            </xdr:cNvPr>
            <xdr:cNvGraphicFramePr/>
          </xdr:nvGraphicFramePr>
          <xdr:xfrm>
            <a:off x="0" y="0"/>
            <a:ext cx="0" cy="0"/>
          </xdr:xfrm>
          <a:graphic>
            <a:graphicData uri="http://schemas.microsoft.com/office/drawing/2010/slicer">
              <sle:slicer xmlns:sle="http://schemas.microsoft.com/office/drawing/2010/slicer" name="Mois"/>
            </a:graphicData>
          </a:graphic>
        </xdr:graphicFrame>
      </mc:Choice>
      <mc:Fallback xmlns="">
        <xdr:sp macro="" textlink="">
          <xdr:nvSpPr>
            <xdr:cNvPr id="0" name=""/>
            <xdr:cNvSpPr>
              <a:spLocks noTextEdit="1"/>
            </xdr:cNvSpPr>
          </xdr:nvSpPr>
          <xdr:spPr>
            <a:xfrm>
              <a:off x="7188200" y="419101"/>
              <a:ext cx="2095500" cy="19685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4</xdr:col>
      <xdr:colOff>127000</xdr:colOff>
      <xdr:row>2</xdr:row>
      <xdr:rowOff>76201</xdr:rowOff>
    </xdr:from>
    <xdr:to>
      <xdr:col>5</xdr:col>
      <xdr:colOff>685800</xdr:colOff>
      <xdr:row>7</xdr:row>
      <xdr:rowOff>1</xdr:rowOff>
    </xdr:to>
    <mc:AlternateContent xmlns:mc="http://schemas.openxmlformats.org/markup-compatibility/2006" xmlns:a14="http://schemas.microsoft.com/office/drawing/2010/main">
      <mc:Choice Requires="a14">
        <xdr:graphicFrame macro="">
          <xdr:nvGraphicFramePr>
            <xdr:cNvPr id="5" name="Année">
              <a:extLst>
                <a:ext uri="{FF2B5EF4-FFF2-40B4-BE49-F238E27FC236}">
                  <a16:creationId xmlns:a16="http://schemas.microsoft.com/office/drawing/2014/main" id="{15AA691B-8092-AD77-CBDB-18D328C9D00E}"/>
                </a:ext>
              </a:extLst>
            </xdr:cNvPr>
            <xdr:cNvGraphicFramePr/>
          </xdr:nvGraphicFramePr>
          <xdr:xfrm>
            <a:off x="0" y="0"/>
            <a:ext cx="0" cy="0"/>
          </xdr:xfrm>
          <a:graphic>
            <a:graphicData uri="http://schemas.microsoft.com/office/drawing/2010/slicer">
              <sle:slicer xmlns:sle="http://schemas.microsoft.com/office/drawing/2010/slicer" name="Année"/>
            </a:graphicData>
          </a:graphic>
        </xdr:graphicFrame>
      </mc:Choice>
      <mc:Fallback xmlns="">
        <xdr:sp macro="" textlink="">
          <xdr:nvSpPr>
            <xdr:cNvPr id="0" name=""/>
            <xdr:cNvSpPr>
              <a:spLocks noTextEdit="1"/>
            </xdr:cNvSpPr>
          </xdr:nvSpPr>
          <xdr:spPr>
            <a:xfrm>
              <a:off x="5118100" y="406401"/>
              <a:ext cx="2006600" cy="7493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24</xdr:row>
      <xdr:rowOff>38100</xdr:rowOff>
    </xdr:from>
    <xdr:to>
      <xdr:col>6</xdr:col>
      <xdr:colOff>1041400</xdr:colOff>
      <xdr:row>47</xdr:row>
      <xdr:rowOff>139700</xdr:rowOff>
    </xdr:to>
    <xdr:graphicFrame macro="">
      <xdr:nvGraphicFramePr>
        <xdr:cNvPr id="2" name="Graphique 1" descr="Graphique en histogramme indiquant l'évolution du poids transporté en kg entre janvier et septembre pour les années 2021 et 2022. On remarque visuellement une augmentation significative en 2022 vs 2021.">
          <a:extLst>
            <a:ext uri="{FF2B5EF4-FFF2-40B4-BE49-F238E27FC236}">
              <a16:creationId xmlns:a16="http://schemas.microsoft.com/office/drawing/2014/main" id="{524CF066-78BA-2036-ED8C-E4750CCA4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76200</xdr:colOff>
      <xdr:row>2</xdr:row>
      <xdr:rowOff>38100</xdr:rowOff>
    </xdr:from>
    <xdr:to>
      <xdr:col>5</xdr:col>
      <xdr:colOff>1905000</xdr:colOff>
      <xdr:row>15</xdr:row>
      <xdr:rowOff>130175</xdr:rowOff>
    </xdr:to>
    <mc:AlternateContent xmlns:mc="http://schemas.openxmlformats.org/markup-compatibility/2006" xmlns:a14="http://schemas.microsoft.com/office/drawing/2010/main">
      <mc:Choice Requires="a14">
        <xdr:graphicFrame macro="">
          <xdr:nvGraphicFramePr>
            <xdr:cNvPr id="3" name="Mois 1">
              <a:extLst>
                <a:ext uri="{FF2B5EF4-FFF2-40B4-BE49-F238E27FC236}">
                  <a16:creationId xmlns:a16="http://schemas.microsoft.com/office/drawing/2014/main" id="{693F4AB0-F535-27BB-5B83-53485603657D}"/>
                </a:ext>
              </a:extLst>
            </xdr:cNvPr>
            <xdr:cNvGraphicFramePr/>
          </xdr:nvGraphicFramePr>
          <xdr:xfrm>
            <a:off x="0" y="0"/>
            <a:ext cx="0" cy="0"/>
          </xdr:xfrm>
          <a:graphic>
            <a:graphicData uri="http://schemas.microsoft.com/office/drawing/2010/slicer">
              <sle:slicer xmlns:sle="http://schemas.microsoft.com/office/drawing/2010/slicer" name="Mois 1"/>
            </a:graphicData>
          </a:graphic>
        </xdr:graphicFrame>
      </mc:Choice>
      <mc:Fallback xmlns="">
        <xdr:sp macro="" textlink="">
          <xdr:nvSpPr>
            <xdr:cNvPr id="0" name=""/>
            <xdr:cNvSpPr>
              <a:spLocks noTextEdit="1"/>
            </xdr:cNvSpPr>
          </xdr:nvSpPr>
          <xdr:spPr>
            <a:xfrm>
              <a:off x="6388100" y="368300"/>
              <a:ext cx="1828800" cy="223837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4</xdr:col>
      <xdr:colOff>152400</xdr:colOff>
      <xdr:row>2</xdr:row>
      <xdr:rowOff>38100</xdr:rowOff>
    </xdr:from>
    <xdr:to>
      <xdr:col>5</xdr:col>
      <xdr:colOff>12700</xdr:colOff>
      <xdr:row>7</xdr:row>
      <xdr:rowOff>76200</xdr:rowOff>
    </xdr:to>
    <mc:AlternateContent xmlns:mc="http://schemas.openxmlformats.org/markup-compatibility/2006" xmlns:a14="http://schemas.microsoft.com/office/drawing/2010/main">
      <mc:Choice Requires="a14">
        <xdr:graphicFrame macro="">
          <xdr:nvGraphicFramePr>
            <xdr:cNvPr id="4" name="Année 1">
              <a:extLst>
                <a:ext uri="{FF2B5EF4-FFF2-40B4-BE49-F238E27FC236}">
                  <a16:creationId xmlns:a16="http://schemas.microsoft.com/office/drawing/2014/main" id="{8A95F172-3626-2F6F-C1BC-1A1D255E6C1A}"/>
                </a:ext>
              </a:extLst>
            </xdr:cNvPr>
            <xdr:cNvGraphicFramePr/>
          </xdr:nvGraphicFramePr>
          <xdr:xfrm>
            <a:off x="0" y="0"/>
            <a:ext cx="0" cy="0"/>
          </xdr:xfrm>
          <a:graphic>
            <a:graphicData uri="http://schemas.microsoft.com/office/drawing/2010/slicer">
              <sle:slicer xmlns:sle="http://schemas.microsoft.com/office/drawing/2010/slicer" name="Année 1"/>
            </a:graphicData>
          </a:graphic>
        </xdr:graphicFrame>
      </mc:Choice>
      <mc:Fallback xmlns="">
        <xdr:sp macro="" textlink="">
          <xdr:nvSpPr>
            <xdr:cNvPr id="0" name=""/>
            <xdr:cNvSpPr>
              <a:spLocks noTextEdit="1"/>
            </xdr:cNvSpPr>
          </xdr:nvSpPr>
          <xdr:spPr>
            <a:xfrm>
              <a:off x="4902200" y="368300"/>
              <a:ext cx="1422400" cy="8636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25400</xdr:rowOff>
    </xdr:from>
    <xdr:to>
      <xdr:col>8</xdr:col>
      <xdr:colOff>609600</xdr:colOff>
      <xdr:row>47</xdr:row>
      <xdr:rowOff>139700</xdr:rowOff>
    </xdr:to>
    <xdr:graphicFrame macro="">
      <xdr:nvGraphicFramePr>
        <xdr:cNvPr id="2" name="Graphique 1" descr="Graphique en courbe indiquant l'évolution du nombre de km réalisé entre janvier et septembre pour les années 2021 et 2022. On peut observer que les km réalisé sont plus important en 2022 qu'en 2021.">
          <a:extLst>
            <a:ext uri="{FF2B5EF4-FFF2-40B4-BE49-F238E27FC236}">
              <a16:creationId xmlns:a16="http://schemas.microsoft.com/office/drawing/2014/main" id="{62562B5D-ADB4-BC23-BDC6-CEF2A6556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406400</xdr:colOff>
      <xdr:row>2</xdr:row>
      <xdr:rowOff>139700</xdr:rowOff>
    </xdr:from>
    <xdr:to>
      <xdr:col>8</xdr:col>
      <xdr:colOff>584200</xdr:colOff>
      <xdr:row>16</xdr:row>
      <xdr:rowOff>66675</xdr:rowOff>
    </xdr:to>
    <mc:AlternateContent xmlns:mc="http://schemas.openxmlformats.org/markup-compatibility/2006" xmlns:a14="http://schemas.microsoft.com/office/drawing/2010/main">
      <mc:Choice Requires="a14">
        <xdr:graphicFrame macro="">
          <xdr:nvGraphicFramePr>
            <xdr:cNvPr id="3" name="Mois 2">
              <a:extLst>
                <a:ext uri="{FF2B5EF4-FFF2-40B4-BE49-F238E27FC236}">
                  <a16:creationId xmlns:a16="http://schemas.microsoft.com/office/drawing/2014/main" id="{8C23AFB8-EC35-B688-5E77-B5CD4B18E0A8}"/>
                </a:ext>
              </a:extLst>
            </xdr:cNvPr>
            <xdr:cNvGraphicFramePr/>
          </xdr:nvGraphicFramePr>
          <xdr:xfrm>
            <a:off x="0" y="0"/>
            <a:ext cx="0" cy="0"/>
          </xdr:xfrm>
          <a:graphic>
            <a:graphicData uri="http://schemas.microsoft.com/office/drawing/2010/slicer">
              <sle:slicer xmlns:sle="http://schemas.microsoft.com/office/drawing/2010/slicer" name="Mois 2"/>
            </a:graphicData>
          </a:graphic>
        </xdr:graphicFrame>
      </mc:Choice>
      <mc:Fallback xmlns="">
        <xdr:sp macro="" textlink="">
          <xdr:nvSpPr>
            <xdr:cNvPr id="0" name=""/>
            <xdr:cNvSpPr>
              <a:spLocks noTextEdit="1"/>
            </xdr:cNvSpPr>
          </xdr:nvSpPr>
          <xdr:spPr>
            <a:xfrm>
              <a:off x="7467600" y="469900"/>
              <a:ext cx="1828800" cy="223837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4</xdr:col>
      <xdr:colOff>101600</xdr:colOff>
      <xdr:row>2</xdr:row>
      <xdr:rowOff>76201</xdr:rowOff>
    </xdr:from>
    <xdr:to>
      <xdr:col>6</xdr:col>
      <xdr:colOff>304800</xdr:colOff>
      <xdr:row>7</xdr:row>
      <xdr:rowOff>76201</xdr:rowOff>
    </xdr:to>
    <mc:AlternateContent xmlns:mc="http://schemas.openxmlformats.org/markup-compatibility/2006" xmlns:a14="http://schemas.microsoft.com/office/drawing/2010/main">
      <mc:Choice Requires="a14">
        <xdr:graphicFrame macro="">
          <xdr:nvGraphicFramePr>
            <xdr:cNvPr id="4" name="Année 2">
              <a:extLst>
                <a:ext uri="{FF2B5EF4-FFF2-40B4-BE49-F238E27FC236}">
                  <a16:creationId xmlns:a16="http://schemas.microsoft.com/office/drawing/2014/main" id="{04FACEF3-1457-81DC-2FC4-6C07E3010D0A}"/>
                </a:ext>
              </a:extLst>
            </xdr:cNvPr>
            <xdr:cNvGraphicFramePr/>
          </xdr:nvGraphicFramePr>
          <xdr:xfrm>
            <a:off x="0" y="0"/>
            <a:ext cx="0" cy="0"/>
          </xdr:xfrm>
          <a:graphic>
            <a:graphicData uri="http://schemas.microsoft.com/office/drawing/2010/slicer">
              <sle:slicer xmlns:sle="http://schemas.microsoft.com/office/drawing/2010/slicer" name="Année 2"/>
            </a:graphicData>
          </a:graphic>
        </xdr:graphicFrame>
      </mc:Choice>
      <mc:Fallback xmlns="">
        <xdr:sp macro="" textlink="">
          <xdr:nvSpPr>
            <xdr:cNvPr id="0" name=""/>
            <xdr:cNvSpPr>
              <a:spLocks noTextEdit="1"/>
            </xdr:cNvSpPr>
          </xdr:nvSpPr>
          <xdr:spPr>
            <a:xfrm>
              <a:off x="5511800" y="406401"/>
              <a:ext cx="1854200" cy="8255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24</xdr:row>
      <xdr:rowOff>0</xdr:rowOff>
    </xdr:from>
    <xdr:to>
      <xdr:col>11</xdr:col>
      <xdr:colOff>0</xdr:colOff>
      <xdr:row>49</xdr:row>
      <xdr:rowOff>63500</xdr:rowOff>
    </xdr:to>
    <xdr:graphicFrame macro="">
      <xdr:nvGraphicFramePr>
        <xdr:cNvPr id="2" name="Graphique 1" descr="Graphique en histogramme indiquant l'évolution du coût total entre janvier et septembre pour les années 2021 et 2022. On note une augmentation de 171% entre 2021 et 2022">
          <a:extLst>
            <a:ext uri="{FF2B5EF4-FFF2-40B4-BE49-F238E27FC236}">
              <a16:creationId xmlns:a16="http://schemas.microsoft.com/office/drawing/2014/main" id="{DEE70473-54C5-AAEB-E9E1-C1EA70C56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508000</xdr:colOff>
      <xdr:row>2</xdr:row>
      <xdr:rowOff>50801</xdr:rowOff>
    </xdr:from>
    <xdr:to>
      <xdr:col>8</xdr:col>
      <xdr:colOff>711200</xdr:colOff>
      <xdr:row>14</xdr:row>
      <xdr:rowOff>88901</xdr:rowOff>
    </xdr:to>
    <mc:AlternateContent xmlns:mc="http://schemas.openxmlformats.org/markup-compatibility/2006" xmlns:a14="http://schemas.microsoft.com/office/drawing/2010/main">
      <mc:Choice Requires="a14">
        <xdr:graphicFrame macro="">
          <xdr:nvGraphicFramePr>
            <xdr:cNvPr id="3" name="Mois 3">
              <a:extLst>
                <a:ext uri="{FF2B5EF4-FFF2-40B4-BE49-F238E27FC236}">
                  <a16:creationId xmlns:a16="http://schemas.microsoft.com/office/drawing/2014/main" id="{3A0DD803-BFC0-69D3-CD69-F32675D54671}"/>
                </a:ext>
              </a:extLst>
            </xdr:cNvPr>
            <xdr:cNvGraphicFramePr/>
          </xdr:nvGraphicFramePr>
          <xdr:xfrm>
            <a:off x="0" y="0"/>
            <a:ext cx="0" cy="0"/>
          </xdr:xfrm>
          <a:graphic>
            <a:graphicData uri="http://schemas.microsoft.com/office/drawing/2010/slicer">
              <sle:slicer xmlns:sle="http://schemas.microsoft.com/office/drawing/2010/slicer" name="Mois 3"/>
            </a:graphicData>
          </a:graphic>
        </xdr:graphicFrame>
      </mc:Choice>
      <mc:Fallback xmlns="">
        <xdr:sp macro="" textlink="">
          <xdr:nvSpPr>
            <xdr:cNvPr id="0" name=""/>
            <xdr:cNvSpPr>
              <a:spLocks noTextEdit="1"/>
            </xdr:cNvSpPr>
          </xdr:nvSpPr>
          <xdr:spPr>
            <a:xfrm>
              <a:off x="7442200" y="381001"/>
              <a:ext cx="1854200" cy="20193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4</xdr:col>
      <xdr:colOff>88900</xdr:colOff>
      <xdr:row>2</xdr:row>
      <xdr:rowOff>50800</xdr:rowOff>
    </xdr:from>
    <xdr:to>
      <xdr:col>6</xdr:col>
      <xdr:colOff>381000</xdr:colOff>
      <xdr:row>7</xdr:row>
      <xdr:rowOff>114299</xdr:rowOff>
    </xdr:to>
    <mc:AlternateContent xmlns:mc="http://schemas.openxmlformats.org/markup-compatibility/2006" xmlns:a14="http://schemas.microsoft.com/office/drawing/2010/main">
      <mc:Choice Requires="a14">
        <xdr:graphicFrame macro="">
          <xdr:nvGraphicFramePr>
            <xdr:cNvPr id="4" name="Année 3">
              <a:extLst>
                <a:ext uri="{FF2B5EF4-FFF2-40B4-BE49-F238E27FC236}">
                  <a16:creationId xmlns:a16="http://schemas.microsoft.com/office/drawing/2014/main" id="{E69BA67C-3783-6244-3F17-AAC546CFC794}"/>
                </a:ext>
              </a:extLst>
            </xdr:cNvPr>
            <xdr:cNvGraphicFramePr/>
          </xdr:nvGraphicFramePr>
          <xdr:xfrm>
            <a:off x="0" y="0"/>
            <a:ext cx="0" cy="0"/>
          </xdr:xfrm>
          <a:graphic>
            <a:graphicData uri="http://schemas.microsoft.com/office/drawing/2010/slicer">
              <sle:slicer xmlns:sle="http://schemas.microsoft.com/office/drawing/2010/slicer" name="Année 3"/>
            </a:graphicData>
          </a:graphic>
        </xdr:graphicFrame>
      </mc:Choice>
      <mc:Fallback xmlns="">
        <xdr:sp macro="" textlink="">
          <xdr:nvSpPr>
            <xdr:cNvPr id="0" name=""/>
            <xdr:cNvSpPr>
              <a:spLocks noTextEdit="1"/>
            </xdr:cNvSpPr>
          </xdr:nvSpPr>
          <xdr:spPr>
            <a:xfrm>
              <a:off x="5372100" y="381000"/>
              <a:ext cx="1943100" cy="888999"/>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203200</xdr:colOff>
      <xdr:row>20</xdr:row>
      <xdr:rowOff>63500</xdr:rowOff>
    </xdr:from>
    <xdr:to>
      <xdr:col>10</xdr:col>
      <xdr:colOff>381000</xdr:colOff>
      <xdr:row>48</xdr:row>
      <xdr:rowOff>12700</xdr:rowOff>
    </xdr:to>
    <xdr:graphicFrame macro="">
      <xdr:nvGraphicFramePr>
        <xdr:cNvPr id="2" name="Graphique 1" descr="Graphique en histogramme indiquant l'évolution d'émission de Co2 entre janvier et septembre pour les années 2021 et 2022. On note une augmentation de 171% entre 2021 et 2022">
          <a:extLst>
            <a:ext uri="{FF2B5EF4-FFF2-40B4-BE49-F238E27FC236}">
              <a16:creationId xmlns:a16="http://schemas.microsoft.com/office/drawing/2014/main" id="{859CC39F-0AB3-F3BB-5853-ABB609EB7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571500</xdr:colOff>
      <xdr:row>2</xdr:row>
      <xdr:rowOff>38100</xdr:rowOff>
    </xdr:from>
    <xdr:to>
      <xdr:col>8</xdr:col>
      <xdr:colOff>749300</xdr:colOff>
      <xdr:row>15</xdr:row>
      <xdr:rowOff>130175</xdr:rowOff>
    </xdr:to>
    <mc:AlternateContent xmlns:mc="http://schemas.openxmlformats.org/markup-compatibility/2006" xmlns:a14="http://schemas.microsoft.com/office/drawing/2010/main">
      <mc:Choice Requires="a14">
        <xdr:graphicFrame macro="">
          <xdr:nvGraphicFramePr>
            <xdr:cNvPr id="3" name="Mois 4">
              <a:extLst>
                <a:ext uri="{FF2B5EF4-FFF2-40B4-BE49-F238E27FC236}">
                  <a16:creationId xmlns:a16="http://schemas.microsoft.com/office/drawing/2014/main" id="{E663B0E8-1495-E05A-6EA2-4C835F7B1CF6}"/>
                </a:ext>
              </a:extLst>
            </xdr:cNvPr>
            <xdr:cNvGraphicFramePr/>
          </xdr:nvGraphicFramePr>
          <xdr:xfrm>
            <a:off x="0" y="0"/>
            <a:ext cx="0" cy="0"/>
          </xdr:xfrm>
          <a:graphic>
            <a:graphicData uri="http://schemas.microsoft.com/office/drawing/2010/slicer">
              <sle:slicer xmlns:sle="http://schemas.microsoft.com/office/drawing/2010/slicer" name="Mois 4"/>
            </a:graphicData>
          </a:graphic>
        </xdr:graphicFrame>
      </mc:Choice>
      <mc:Fallback xmlns="">
        <xdr:sp macro="" textlink="">
          <xdr:nvSpPr>
            <xdr:cNvPr id="0" name=""/>
            <xdr:cNvSpPr>
              <a:spLocks noTextEdit="1"/>
            </xdr:cNvSpPr>
          </xdr:nvSpPr>
          <xdr:spPr>
            <a:xfrm>
              <a:off x="7454900" y="368300"/>
              <a:ext cx="1828800" cy="223837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4</xdr:col>
      <xdr:colOff>76200</xdr:colOff>
      <xdr:row>2</xdr:row>
      <xdr:rowOff>38101</xdr:rowOff>
    </xdr:from>
    <xdr:to>
      <xdr:col>6</xdr:col>
      <xdr:colOff>457200</xdr:colOff>
      <xdr:row>7</xdr:row>
      <xdr:rowOff>50801</xdr:rowOff>
    </xdr:to>
    <mc:AlternateContent xmlns:mc="http://schemas.openxmlformats.org/markup-compatibility/2006" xmlns:a14="http://schemas.microsoft.com/office/drawing/2010/main">
      <mc:Choice Requires="a14">
        <xdr:graphicFrame macro="">
          <xdr:nvGraphicFramePr>
            <xdr:cNvPr id="4" name="Année 4">
              <a:extLst>
                <a:ext uri="{FF2B5EF4-FFF2-40B4-BE49-F238E27FC236}">
                  <a16:creationId xmlns:a16="http://schemas.microsoft.com/office/drawing/2014/main" id="{E240E9F5-6BAC-B5BE-851F-0141A8D58686}"/>
                </a:ext>
              </a:extLst>
            </xdr:cNvPr>
            <xdr:cNvGraphicFramePr/>
          </xdr:nvGraphicFramePr>
          <xdr:xfrm>
            <a:off x="0" y="0"/>
            <a:ext cx="0" cy="0"/>
          </xdr:xfrm>
          <a:graphic>
            <a:graphicData uri="http://schemas.microsoft.com/office/drawing/2010/slicer">
              <sle:slicer xmlns:sle="http://schemas.microsoft.com/office/drawing/2010/slicer" name="Année 4"/>
            </a:graphicData>
          </a:graphic>
        </xdr:graphicFrame>
      </mc:Choice>
      <mc:Fallback xmlns="">
        <xdr:sp macro="" textlink="">
          <xdr:nvSpPr>
            <xdr:cNvPr id="0" name=""/>
            <xdr:cNvSpPr>
              <a:spLocks noTextEdit="1"/>
            </xdr:cNvSpPr>
          </xdr:nvSpPr>
          <xdr:spPr>
            <a:xfrm>
              <a:off x="5308600" y="368301"/>
              <a:ext cx="2032000" cy="838200"/>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435.975452430554" createdVersion="8" refreshedVersion="8" minRefreshableVersion="3" recordCount="1481" xr:uid="{7790A659-FC0B-4C48-841C-2306A6F88051}">
  <cacheSource type="worksheet">
    <worksheetSource ref="A1:S1482" sheet="Import"/>
  </cacheSource>
  <cacheFields count="19">
    <cacheField name="Date saisie" numFmtId="0">
      <sharedItems containsSemiMixedTypes="0" containsNonDate="0" containsDate="1" containsString="0" minDate="2021-01-04T00:00:00" maxDate="2022-10-01T00:00:00" count="349">
        <d v="2021-01-04T00:00:00"/>
        <d v="2021-01-05T00:00:00"/>
        <d v="2021-01-07T00:00:00"/>
        <d v="2021-01-08T00:00:00"/>
        <d v="2021-01-12T00:00:00"/>
        <d v="2021-01-13T00:00:00"/>
        <d v="2021-01-15T00:00:00"/>
        <d v="2021-01-18T00:00:00"/>
        <d v="2021-01-22T00:00:00"/>
        <d v="2021-01-26T00:00:00"/>
        <d v="2021-01-27T00:00:00"/>
        <d v="2021-01-28T00:00:00"/>
        <d v="2021-02-01T00:00:00"/>
        <d v="2021-02-03T00:00:00"/>
        <d v="2021-02-08T00:00:00"/>
        <d v="2021-02-09T00:00:00"/>
        <d v="2021-02-11T00:00:00"/>
        <d v="2021-02-15T00:00:00"/>
        <d v="2021-02-16T00:00:00"/>
        <d v="2021-02-17T00:00:00"/>
        <d v="2021-02-18T00:00:00"/>
        <d v="2021-02-19T00:00:00"/>
        <d v="2021-02-22T00:00:00"/>
        <d v="2021-02-23T00:00:00"/>
        <d v="2021-02-25T00:00:00"/>
        <d v="2021-02-26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6T00:00:00"/>
        <d v="2021-04-07T00:00:00"/>
        <d v="2021-04-08T00:00:00"/>
        <d v="2021-04-09T00:00:00"/>
        <d v="2021-04-12T00:00:00"/>
        <d v="2021-04-14T00:00:00"/>
        <d v="2021-04-15T00:00:00"/>
        <d v="2021-04-16T00:00:00"/>
        <d v="2021-04-19T00:00:00"/>
        <d v="2021-04-20T00:00:00"/>
        <d v="2021-04-21T00:00:00"/>
        <d v="2021-04-23T00:00:00"/>
        <d v="2021-04-26T00:00:00"/>
        <d v="2021-04-27T00:00:00"/>
        <d v="2021-04-28T00:00:00"/>
        <d v="2021-04-29T00:00:00"/>
        <d v="2021-04-30T00:00:00"/>
        <d v="2021-05-03T00:00:00"/>
        <d v="2021-05-04T00:00:00"/>
        <d v="2021-05-05T00:00:00"/>
        <d v="2021-05-06T00:00:00"/>
        <d v="2021-05-10T00:00:00"/>
        <d v="2021-05-11T00:00:00"/>
        <d v="2021-05-12T00:00:00"/>
        <d v="2021-05-14T00:00:00"/>
        <d v="2021-05-17T00:00:00"/>
        <d v="2021-05-18T00:00:00"/>
        <d v="2021-05-19T00:00:00"/>
        <d v="2021-05-20T00:00:00"/>
        <d v="2021-05-21T00:00:00"/>
        <d v="2021-05-25T00:00:00"/>
        <d v="2021-05-26T00:00:00"/>
        <d v="2021-05-27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12T00:00:00"/>
        <d v="2021-07-13T00:00:00"/>
        <d v="2021-07-15T00:00:00"/>
        <d v="2021-07-19T00:00:00"/>
        <d v="2021-07-20T00:00:00"/>
        <d v="2021-07-21T00:00:00"/>
        <d v="2021-07-22T00:00:00"/>
        <d v="2021-07-23T00:00:00"/>
        <d v="2021-07-26T00:00:00"/>
        <d v="2021-07-27T00:00:00"/>
        <d v="2021-07-28T00:00:00"/>
        <d v="2021-07-29T00:00:00"/>
        <d v="2021-07-30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30T00:00:00"/>
        <d v="2021-08-31T00:00:00"/>
        <d v="2021-09-01T00:00:00"/>
        <d v="2021-09-02T00:00:00"/>
        <d v="2021-09-03T00:00:00"/>
        <d v="2021-09-06T00:00:00"/>
        <d v="2021-09-07T00:00:00"/>
        <d v="2021-09-08T00:00:00"/>
        <d v="2021-09-09T00:00:00"/>
        <d v="2021-09-13T00:00:00"/>
        <d v="2021-09-14T00:00:00"/>
        <d v="2021-09-15T00:00:00"/>
        <d v="2021-09-16T00:00:00"/>
        <d v="2021-09-20T00:00:00"/>
        <d v="2021-09-21T00:00:00"/>
        <d v="2021-09-22T00:00:00"/>
        <d v="2021-09-23T00:00:00"/>
        <d v="2021-09-27T00:00:00"/>
        <d v="2021-09-28T00:00:00"/>
        <d v="2021-09-30T00:00:00"/>
        <d v="2022-01-03T00:00:00"/>
        <d v="2022-01-05T00:00:00"/>
        <d v="2022-01-07T00:00:00"/>
        <d v="2022-01-10T00:00:00"/>
        <d v="2022-01-11T00:00:00"/>
        <d v="2022-01-13T00:00:00"/>
        <d v="2022-01-14T00:00:00"/>
        <d v="2022-01-17T00:00:00"/>
        <d v="2022-01-18T00:00:00"/>
        <d v="2022-01-19T00:00:00"/>
        <d v="2022-01-20T00:00:00"/>
        <d v="2022-01-21T00:00:00"/>
        <d v="2022-01-24T00:00:00"/>
        <d v="2022-01-25T00:00:00"/>
        <d v="2022-01-26T00:00:00"/>
        <d v="2022-01-27T00:00:00"/>
        <d v="2022-01-28T00:00:00"/>
        <d v="2022-02-01T00:00:00"/>
        <d v="2022-02-03T00:00:00"/>
        <d v="2022-02-04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5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7T00:00:00"/>
        <d v="2022-05-30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0T00:00:00"/>
        <d v="2022-06-21T00:00:00"/>
        <d v="2022-06-22T00:00:00"/>
        <d v="2022-06-23T00:00:00"/>
        <d v="2022-06-24T00:00:00"/>
        <d v="2022-06-27T00:00:00"/>
        <d v="2022-06-28T00:00:00"/>
        <d v="2022-06-29T00:00:00"/>
        <d v="2022-06-30T00:00:00"/>
        <d v="2022-07-01T00:00:00"/>
        <d v="2022-07-04T00:00:00"/>
        <d v="2022-07-05T00:00:00"/>
        <d v="2022-07-06T00:00:00"/>
        <d v="2022-07-07T00:00:00"/>
        <d v="2022-07-08T00:00:00"/>
        <d v="2022-07-11T00:00:00"/>
        <d v="2022-07-12T00:00:00"/>
        <d v="2022-07-13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5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sharedItems>
    </cacheField>
    <cacheField name="Mois" numFmtId="14">
      <sharedItems count="9">
        <s v="janvier"/>
        <s v="février"/>
        <s v="mars"/>
        <s v="avril"/>
        <s v="mai"/>
        <s v="juin"/>
        <s v="juillet"/>
        <s v="août"/>
        <s v="septembre"/>
      </sharedItems>
    </cacheField>
    <cacheField name="Année" numFmtId="14">
      <sharedItems count="2">
        <s v="2021"/>
        <s v="2022"/>
      </sharedItems>
    </cacheField>
    <cacheField name="Moisannée" numFmtId="14">
      <sharedItems/>
    </cacheField>
    <cacheField name="Numero ot" numFmtId="0">
      <sharedItems containsMixedTypes="1" containsNumber="1" containsInteger="1" minValue="1308264" maxValue="1364357" count="1480">
        <n v="1308270"/>
        <n v="1308264"/>
        <n v="1308432"/>
        <n v="1309250"/>
        <n v="1309627"/>
        <n v="1309609"/>
        <n v="1310495"/>
        <n v="1310502"/>
        <n v="1310160"/>
        <n v="1310601"/>
        <n v="1311894"/>
        <n v="1312188"/>
        <n v="1312635"/>
        <s v="1 311 972"/>
        <n v="1311973"/>
        <n v="1312078"/>
        <n v="1312950"/>
        <n v="1315534"/>
        <n v="1315539"/>
        <n v="1314972"/>
        <n v="1315161"/>
        <n v="1314879"/>
        <n v="1315693"/>
        <n v="1315964"/>
        <n v="1316628"/>
        <n v="1316391"/>
        <n v="1315511"/>
        <n v="1315510"/>
        <n v="1317054"/>
        <n v="1316891"/>
        <n v="1316253"/>
        <n v="1318392"/>
        <n v="1319314"/>
        <n v="1319315"/>
        <n v="1318700"/>
        <n v="1320298"/>
        <n v="1320301"/>
        <n v="1320812"/>
        <n v="1320276"/>
        <n v="1320285"/>
        <n v="1320287"/>
        <n v="1320292"/>
        <n v="1320290"/>
        <n v="1320281"/>
        <n v="1320294"/>
        <n v="1320347"/>
        <n v="1320762"/>
        <n v="1320752"/>
        <n v="1322249"/>
        <n v="1322227"/>
        <n v="1323371"/>
        <n v="1323675"/>
        <n v="1325259"/>
        <n v="1325060"/>
        <n v="1325048"/>
        <n v="1326061"/>
        <n v="1325782"/>
        <n v="1326889"/>
        <n v="1326899"/>
        <n v="1326926"/>
        <n v="1326895"/>
        <n v="1326918"/>
        <n v="1326972"/>
        <n v="1326652"/>
        <n v="1326892"/>
        <n v="1326923"/>
        <n v="1326518"/>
        <n v="1326081"/>
        <n v="1331245"/>
        <n v="1331948"/>
        <n v="1331950"/>
        <n v="1331949"/>
        <n v="1327119"/>
        <n v="1331227"/>
        <n v="1332477"/>
        <n v="1327958"/>
        <n v="1333227"/>
        <n v="1333235"/>
        <n v="1331212"/>
        <n v="1334249"/>
        <n v="1334029"/>
        <n v="1333334"/>
        <n v="1334486"/>
        <n v="1334247"/>
        <n v="1334990"/>
        <n v="1334956"/>
        <n v="1334314"/>
        <n v="1335981"/>
        <n v="1335995"/>
        <n v="1335998"/>
        <n v="1335127"/>
        <n v="1335514"/>
        <n v="1335991"/>
        <n v="1335689"/>
        <n v="1336645"/>
        <s v="1 336 708"/>
        <n v="1336709"/>
        <n v="1336568"/>
        <n v="1337321"/>
        <n v="1337756"/>
        <n v="1337765"/>
        <n v="1337958"/>
        <n v="1338078"/>
        <n v="1337761"/>
        <n v="1337179"/>
        <n v="1337601"/>
        <n v="1338946"/>
        <n v="1338752"/>
        <n v="1338764"/>
        <n v="1339191"/>
        <n v="1339235"/>
        <n v="1339037"/>
        <n v="1339834"/>
        <n v="1339690"/>
        <n v="1339877"/>
        <n v="1340077"/>
        <n v="1341139"/>
        <n v="1341127"/>
        <n v="1340255"/>
        <n v="1341132"/>
        <n v="1341121"/>
        <n v="1340284"/>
        <n v="1340604"/>
        <n v="1340627"/>
        <n v="1341084"/>
        <n v="1340621"/>
        <n v="1339044"/>
        <n v="1342278"/>
        <n v="1341743"/>
        <n v="1341989"/>
        <n v="1342772"/>
        <n v="1342775"/>
        <n v="1342785"/>
        <n v="1342383"/>
        <n v="1342780"/>
        <n v="1342186"/>
        <n v="1342732"/>
        <n v="1343983"/>
        <n v="1339055"/>
        <n v="1343666"/>
        <n v="1339045"/>
        <n v="1344380"/>
        <n v="1345157"/>
        <n v="1339057"/>
        <n v="1345545"/>
        <n v="1345650"/>
        <n v="1345777"/>
        <n v="1345743"/>
        <n v="1345945"/>
        <n v="1346496"/>
        <n v="1346501"/>
        <n v="1346397"/>
        <n v="1346163"/>
        <n v="1346206"/>
        <n v="1346890"/>
        <n v="1346903"/>
        <n v="1346672"/>
        <n v="1346894"/>
        <n v="1347757"/>
        <n v="1348614"/>
        <n v="1347979"/>
        <n v="1347978"/>
        <n v="1348782"/>
        <n v="1348311"/>
        <n v="1348848"/>
        <n v="1348734"/>
        <n v="1349481"/>
        <n v="1350069"/>
        <n v="1349317"/>
        <n v="1349851"/>
        <n v="1349841"/>
        <n v="1349593"/>
        <n v="1350064"/>
        <n v="1350444"/>
        <n v="1350214"/>
        <n v="1349950"/>
        <n v="1350209"/>
        <n v="1350759"/>
        <n v="1351081"/>
        <n v="1350771"/>
        <n v="1351208"/>
        <n v="1352400"/>
        <n v="1352270"/>
        <n v="1352477"/>
        <n v="1352173"/>
        <n v="1355960"/>
        <n v="1352454"/>
        <n v="1359873"/>
        <n v="1355857"/>
        <n v="1360012"/>
        <n v="1359871"/>
        <n v="1360889"/>
        <n v="1360879"/>
        <n v="1359695"/>
        <n v="1359847"/>
        <n v="1360899"/>
        <n v="1361655"/>
        <n v="1361913"/>
        <n v="1361617"/>
        <n v="1361822"/>
        <n v="1361834"/>
        <n v="1361710"/>
        <n v="1361702"/>
        <n v="1362448"/>
        <s v="1 364 031"/>
        <n v="1363684"/>
        <n v="1363178"/>
        <n v="1363307"/>
        <n v="1364067"/>
        <n v="1364357"/>
        <s v="1 364 350"/>
        <n v="1361706"/>
        <n v="1364080"/>
        <n v="1364089"/>
        <s v="1 364 897"/>
        <s v="1 364 918"/>
        <s v="1 364 913"/>
        <s v="1 364 892"/>
        <s v="1 364 886"/>
        <n v="1364242"/>
        <s v="1 364 905"/>
        <s v="1 364 877"/>
        <n v="1363676"/>
        <s v="1 365 616"/>
        <s v="1 365 549"/>
        <s v="1 366 171"/>
        <s v="1 366 714"/>
        <s v="1 365 472"/>
        <s v="1 365 611"/>
        <s v="1 366 022"/>
        <s v="1 365 567"/>
        <s v="1 367 285"/>
        <s v="1 365 038"/>
        <s v="1 367 812"/>
        <s v="1 367 798"/>
        <s v="1 365 194"/>
        <s v="1 368 435"/>
        <s v="1 368 438"/>
        <s v="1 368 479"/>
        <s v="1 368 862"/>
        <s v="1 368 472"/>
        <s v="1 369 338"/>
        <s v="1 370 254"/>
        <s v="1 369 762"/>
        <s v="1 369 760"/>
        <s v="1 369 761"/>
        <s v="1 370 412"/>
        <s v="1 370 143"/>
        <s v="1 370 844"/>
        <s v="1 370 989"/>
        <s v="1 371 122"/>
        <s v="1 371 124"/>
        <s v="1 371 344"/>
        <s v="1 370 374"/>
        <s v="1 371 811"/>
        <s v="1 370 373"/>
        <s v="1 370 830"/>
        <s v="1 370 913"/>
        <s v="1 371 882"/>
        <s v="1 371 465"/>
        <s v="1 371 982"/>
        <s v="1 372 434"/>
        <s v="1 372 433"/>
        <s v="1 372 435"/>
        <s v="1 373 651"/>
        <s v="1 372 391"/>
        <s v="1 369 759"/>
        <s v="1 373 074"/>
        <s v="1 373 073"/>
        <s v="1 373 589"/>
        <s v="1 374 250"/>
        <s v="1 374 639"/>
        <s v="1 374 125"/>
        <s v="1 375 106"/>
        <s v="1 375 107"/>
        <s v="1 376 211"/>
        <s v="1 375 108"/>
        <s v="1 375 702"/>
        <s v="1 377 064"/>
        <s v="1 375 701"/>
        <s v="1 377 081"/>
        <s v="1 377 985"/>
        <s v="1 377 988"/>
        <s v="1 377 990"/>
        <s v="1 376 775"/>
        <s v="1 378 162"/>
        <s v="1 377 351"/>
        <s v="1 377 816"/>
        <s v="1 377 817"/>
        <s v="1 377 818"/>
        <s v="1 378 407"/>
        <s v="1 378 766"/>
        <s v="1 377 815"/>
        <s v="1 379 751"/>
        <s v="1 378 914"/>
        <s v="1 380 010"/>
        <s v="1 379 496"/>
        <s v="1 380 064"/>
        <s v="1 380 614"/>
        <s v="1 380 615"/>
        <s v="1 381 197"/>
        <s v="1 381 767"/>
        <s v="1 378 406"/>
        <s v="1 382 967"/>
        <s v="1 382 822"/>
        <s v="1 382 905"/>
        <s v="1 382 305"/>
        <s v="1 383 358"/>
        <s v="1 383 359"/>
        <s v="1 380 616"/>
        <s v="1 383 889"/>
        <s v="1 383 357"/>
        <s v="1 383 888"/>
        <s v="1 384 436"/>
        <s v="1 386 246"/>
        <s v="1 386 243"/>
        <s v="1 385 035"/>
        <s v="1 385 583"/>
        <s v="1 386 106"/>
        <s v="1 386 793"/>
        <s v="1 386 107"/>
        <s v="1 386 802"/>
        <s v="1 386 108"/>
        <s v="1 386 105"/>
        <s v="1 386 595"/>
        <s v="1 386 797"/>
        <s v="1 387 626"/>
        <s v="1 387 051"/>
        <s v="1 388 075"/>
        <s v="1 388 338"/>
        <s v="1 388 072"/>
        <s v="1 388 073"/>
        <s v="1 388 074"/>
        <s v="1 388 636"/>
        <s v="1 388 635"/>
        <s v="1 389 155"/>
        <s v="1 389 649"/>
        <s v="1 390 118"/>
        <s v="1 390 467"/>
        <s v="1 390 468"/>
        <s v="1 390 542"/>
        <s v="1 390 540"/>
        <s v="1 390 541"/>
        <s v="1 390 539"/>
        <s v="1 391 679"/>
        <s v="1 391 084"/>
        <s v="1 391 083"/>
        <s v="1 392 212"/>
        <s v="1 392 223"/>
        <s v="1 391 590"/>
        <s v="1 392 032"/>
        <s v="1 392 477"/>
        <s v="1 392 890"/>
        <s v="1 393 348"/>
        <s v="1 394 028"/>
        <s v="1 392 892"/>
        <s v="1 393 857"/>
        <s v="1 393 347"/>
        <s v="1 393 778"/>
        <s v="1 394 313"/>
        <s v="1 394 609"/>
        <s v="1 394 175"/>
        <s v="1 394 517"/>
        <s v="1 394 828"/>
        <s v="1 395 221"/>
        <s v="1 395 922"/>
        <s v="1 395 632"/>
        <s v="1 395 637"/>
        <s v="1 395 860"/>
        <s v="1 395 861"/>
        <s v="1 395 727"/>
        <s v="1 395 532"/>
        <s v="1 395 822"/>
        <s v="1 396 870"/>
        <s v="1 396 873"/>
        <s v="1 396 137"/>
        <s v="1 396 367"/>
        <s v="1 396 338"/>
        <s v="1 396 738"/>
        <s v="1 396 369"/>
        <s v="1 396 913"/>
        <s v="1 397 311"/>
        <s v="1 397 099"/>
        <s v="1 397 665"/>
        <s v="1 398 101"/>
        <s v="1 397 664"/>
        <s v="1 398 110"/>
        <s v="1 397 848"/>
        <s v="1 397 408"/>
        <s v="1 397 920"/>
        <s v="1 397 734"/>
        <s v="1 398 509"/>
        <s v="1 397 986"/>
        <s v="1 397 988"/>
        <s v="1 397 987"/>
        <s v="1 398 455"/>
        <s v="1 397 989"/>
        <s v="1 398 454"/>
        <s v="1 398 956"/>
        <s v="1 400 050"/>
        <s v="1 400 054"/>
        <s v="1 400 047"/>
        <s v="1 399 390"/>
        <s v="1 399 697"/>
        <s v="1 399 772"/>
        <s v="1 400 106"/>
        <s v="1 400 109"/>
        <s v="1 400 107"/>
        <s v="1 400 108"/>
        <s v="1 400 591"/>
        <s v="1 400 643"/>
        <s v="1 400 590"/>
        <s v="1 401 066"/>
        <s v="1 401 377"/>
        <s v="1 402 212"/>
        <s v="1 400 839"/>
        <s v="1 402 057"/>
        <s v="1 402 476"/>
        <s v="1 401 606"/>
        <s v="1 403 076"/>
        <s v="1 402 477"/>
        <s v="1 402 208"/>
        <s v="1 402 475"/>
        <s v="1 404 080"/>
        <s v="1 403 597"/>
        <s v="1 405 348"/>
        <s v="1 405 216"/>
        <s v="1 404 765"/>
        <s v="1 405 321"/>
        <s v="1 405 910"/>
        <s v="1 405 322"/>
        <s v="1 405 320"/>
        <s v="1 402 474"/>
        <s v="1 403 075"/>
        <s v="1 406 506"/>
        <s v="1 408 407"/>
        <s v="1 404 190"/>
        <s v="1 407 973"/>
        <s v="1 407 972"/>
        <s v="1 407 971"/>
        <s v="1 408 874"/>
        <s v="1 409 229"/>
        <s v="1 408 379"/>
        <s v="1 410 110"/>
        <s v="1 409 327"/>
        <s v="1 410 529"/>
        <s v="1 410 827"/>
        <s v="1 411 021"/>
        <s v="1 411 640"/>
        <s v="1 411 641"/>
        <s v="1 410 398"/>
        <s v="1 411 644"/>
        <s v="1 411 440"/>
        <s v="1 411 969"/>
        <s v="1 450 191"/>
        <s v="1 448 943"/>
        <s v="1 450 194"/>
        <s v="1 451 225"/>
        <s v="1 451 971"/>
        <s v="1 452 476"/>
        <s v="1 452 037"/>
        <s v="1 452 726"/>
        <s v="1 453 720"/>
        <s v="1 453 008"/>
        <s v="1 453 723"/>
        <s v="1 454 811"/>
        <s v="1 455 266"/>
        <s v="1 454 643"/>
        <s v="1 454 622"/>
        <s v="1 454 340"/>
        <s v="1 456 262"/>
        <s v="1 457 123"/>
        <s v="1 457 742"/>
        <s v="1 457 783"/>
        <s v="1 457 781"/>
        <s v="1 458 403"/>
        <s v="1 458 359"/>
        <s v="1 458 865"/>
        <s v="1 459 220"/>
        <s v="1 459 469"/>
        <s v="1 459 977"/>
        <s v="1 459 249"/>
        <s v="1 460 405"/>
        <s v="1 460 409"/>
        <s v="1 458 804"/>
        <s v="1 460 909"/>
        <s v="1 462 195"/>
        <s v="1 462 330"/>
        <s v="1 462 708"/>
        <s v="1 463 263"/>
        <s v="1 463 751"/>
        <s v="1 463 489"/>
        <s v="1 462 304"/>
        <s v="1 463 957"/>
        <s v="1 464 684"/>
        <s v="1 464 679"/>
        <s v="1 464 680"/>
        <s v="1 464 682"/>
        <s v="1 464 685"/>
        <s v="1 464 672"/>
        <s v="1 464 678"/>
        <s v="1 464 666"/>
        <s v="1 464 129"/>
        <s v="1 465 465"/>
        <s v="1 464 586"/>
        <s v="1 464 977"/>
        <s v="1 465 453"/>
        <s v="1 465 450"/>
        <s v="1 466 351"/>
        <s v="1 467 156"/>
        <s v="1 467 155"/>
        <s v="1 466 612"/>
        <s v="1 467 925"/>
        <s v="1 467 994"/>
        <s v="1 467 970"/>
        <s v="1 467 141"/>
        <s v="1 467 408"/>
        <s v="1 467 684"/>
        <s v="1 468 294"/>
        <s v="1 469 677"/>
        <s v="1 469 674"/>
        <s v="1 469 675"/>
        <s v="1 469 759"/>
        <s v="1 469 758"/>
        <s v="1 468 036"/>
        <s v="1 469 560"/>
        <s v="1 469 678"/>
        <s v="1 469 760"/>
        <s v="1 469 441"/>
        <s v="1 469 458"/>
        <s v="1 470 075"/>
        <s v="1 470 076"/>
        <s v="1 470 079"/>
        <s v="1 468 214"/>
        <s v="1 470 074"/>
        <s v="1 469 887"/>
        <s v="1 469 883"/>
        <s v="1 470 078"/>
        <s v="1 469 906"/>
        <s v="1 470 000"/>
        <s v="1 470 336"/>
        <s v="1 471 171"/>
        <s v="1 471 644"/>
        <s v="1 469 982"/>
        <s v="1 470 226"/>
        <s v="1 471 796"/>
        <s v="1 471 722"/>
        <s v="1 470 227"/>
        <s v="1 471 647"/>
        <s v="1 473 154"/>
        <s v="1 473 155"/>
        <s v="1 473 153"/>
        <s v="1 474 301"/>
        <s v="1 472 547"/>
        <s v="1 472 532"/>
        <s v="1 473 584"/>
        <s v="1 473 583"/>
        <s v="1 473 532"/>
        <s v="1 472 695"/>
        <s v="1 473 585"/>
        <s v="1 474 148"/>
        <s v="1 473 651"/>
        <s v="1 474 288"/>
        <s v="1 474 149"/>
        <s v="1 474 150"/>
        <s v="1 473 649"/>
        <s v="1 474 855"/>
        <s v="1 474 300"/>
        <s v="1 473 711"/>
        <s v="1 475 437"/>
        <s v="1 475 438"/>
        <s v="1 475 340"/>
        <s v="1 475 871"/>
        <s v="1 475 940"/>
        <s v="1 475 338"/>
        <s v="1 475 768"/>
        <s v="1 476 557"/>
        <s v="1 475 942"/>
        <s v="1 477 055"/>
        <s v="1 477 056"/>
        <s v="1 477 057"/>
        <s v="1 476 993"/>
        <s v="1 477 058"/>
        <s v="1 476 581"/>
        <s v="1 477 744"/>
        <s v="1 476 994"/>
        <s v="1 476 989"/>
        <s v="1 477 743"/>
        <s v="1 478 396"/>
        <s v="1 478 410"/>
        <s v="1 478 412"/>
        <s v="1 478 397"/>
        <s v="1 478 394"/>
        <s v="1 478 399"/>
        <s v="1 478 408"/>
        <s v="1 476 992"/>
        <s v="1 477 816"/>
        <s v="1 478 323"/>
        <s v="1 477 758"/>
        <s v="1 478 325"/>
        <s v="1 478 393"/>
        <s v="1 478 874"/>
        <s v="1 478 875"/>
        <s v="1 478 872"/>
        <s v="1 478 873"/>
        <s v="1 478 871"/>
        <s v="1 478 870"/>
        <s v="1 478 759"/>
        <s v="1 479 659"/>
        <s v="1 479 705"/>
        <s v="1 479 657"/>
        <s v="1 478 756"/>
        <s v="1 479 270"/>
        <s v="1 479 658"/>
        <s v="1 479 776"/>
        <s v="1 478 775"/>
        <s v="1 480 481"/>
        <s v="1 480 274"/>
        <s v="1 479 288"/>
        <s v="1 480 278"/>
        <s v="1 480 279"/>
        <s v="1 480 275"/>
        <s v="1 481 077"/>
        <s v="1 480 214"/>
        <s v="1 479 944"/>
        <s v="1 479 770"/>
        <s v="1 480 651"/>
        <s v="1 481 448"/>
        <s v="1 480 578"/>
        <s v="1 481 372"/>
        <s v="1 481 138"/>
        <s v="1 480 571"/>
        <s v="1 481 078"/>
        <s v="1 480 850"/>
        <s v="1 480 992"/>
        <s v="1 481 079"/>
        <s v="1 481 628"/>
        <s v="1 481 027"/>
        <s v="1 481 946"/>
        <s v="1 481 701"/>
        <s v="1 481 389"/>
        <s v="1 481 793"/>
        <s v="1 479 290"/>
        <s v="1 481 851"/>
        <s v="1 482 314"/>
        <s v="1 481 882"/>
        <s v="1 482 545"/>
        <s v="1 482 530"/>
        <s v="1 483 081"/>
        <s v="1 482 632"/>
        <s v="1 482 894"/>
        <s v="1 482 717"/>
        <s v="1 483 766"/>
        <s v="1 483 764"/>
        <s v="1 483 765"/>
        <s v="1 482 328"/>
        <s v="1 483 666"/>
        <s v="1 481 897"/>
        <s v="1 483 767"/>
        <s v="1 483 505"/>
        <s v="1 483 506"/>
        <s v="1 484 872"/>
        <s v="1 484 873"/>
        <s v="1 484 207"/>
        <s v="1 484 874"/>
        <s v="1 484 867"/>
        <s v="1 482 898"/>
        <s v="1 484 217"/>
        <s v="1 484 870"/>
        <s v="1 484 869"/>
        <s v="1 484 871"/>
        <s v="1 484 210"/>
        <s v="1 485 340"/>
        <s v="1 485 338"/>
        <s v="1 484 747"/>
        <s v="1 484 684"/>
        <s v="1 485 337"/>
        <s v="1 485 061"/>
        <s v="1 486 103"/>
        <s v="1 485 666"/>
        <s v="1 485 667"/>
        <s v="1 485 665"/>
        <s v="1 485 503"/>
        <s v="1 485 668"/>
        <s v="1 485 205"/>
        <s v="1 484 546"/>
        <s v="1 485 213"/>
        <s v="1 485 079"/>
        <s v="1 486 656"/>
        <s v="1 486 657"/>
        <s v="1 486 655"/>
        <s v="1 485 751"/>
        <s v="1 486 658"/>
        <s v="1 486 022"/>
        <s v="1 485 697"/>
        <s v="1 485 653"/>
        <s v="1 487 207"/>
        <s v="1 487 401"/>
        <s v="1 487 206"/>
        <s v="1 487 390"/>
        <s v="1 486 440"/>
        <s v="1 487 399"/>
        <s v="1 486 861"/>
        <s v="1 487 203"/>
        <s v="1 487 208"/>
        <s v="1 486 343"/>
        <s v="1 487 204"/>
        <s v="1 486 774"/>
        <s v="1 486 219"/>
        <s v="1 485 080"/>
        <s v="1 486 647"/>
        <s v="1 486 639"/>
        <s v="1 487 403"/>
        <s v="1 487 065"/>
        <s v="1 486 630"/>
        <s v="1 486 643"/>
        <s v="1 488 466"/>
        <s v="1 488 270"/>
        <s v="1 489 621"/>
        <s v="1 489 620"/>
        <s v="1 489 612"/>
        <s v="1 489 619"/>
        <s v="1 489 800"/>
        <s v="1 489 614"/>
        <s v="1 485 644"/>
        <s v="1 489 613"/>
        <s v="1 488 917"/>
        <s v="1 489 623"/>
        <s v="1 489 616"/>
        <s v="1 489 615"/>
        <s v="1 488 915"/>
        <s v="1 488 918"/>
        <s v="1 490 327"/>
        <s v="1 489 806"/>
        <s v="1 489 212"/>
        <s v="1 489 448"/>
        <s v="1 490 328"/>
        <s v="1 489 396"/>
        <s v="1 490 263"/>
        <s v="1 490 460"/>
        <s v="1 492 622"/>
        <s v="1 492 557"/>
        <s v="1 492 578"/>
        <s v="1 491 970"/>
        <s v="1 492 309"/>
        <s v="1 492 310"/>
        <s v="1 493 720"/>
        <s v="1 493 717"/>
        <s v="1 493 789"/>
        <s v="1 492 937"/>
        <s v="1 492 938"/>
        <s v="1 492 935"/>
        <s v="1 494 403"/>
        <s v="1 493 437"/>
        <s v="1 494 402"/>
        <s v="1 493 539"/>
        <s v="1 490 136"/>
        <s v="1 494 397"/>
        <s v="1 494 486"/>
        <s v="1 494 401"/>
        <s v="1 494 398"/>
        <s v="1 494 399"/>
        <s v="1 494 400"/>
        <s v="1 494 426"/>
        <s v="1 492 939"/>
        <s v="1 495 037"/>
        <s v="1 494 377"/>
        <s v="1 494 638"/>
        <s v="1 495 532"/>
        <s v="1 495 552"/>
        <s v="1 494 760"/>
        <s v="1 495 533"/>
        <s v="1 494 761"/>
        <s v="1 495 546"/>
        <s v="1 495 496"/>
        <s v="1 495 335"/>
        <s v="1 495 332"/>
        <s v="1 496 232"/>
        <s v="1 496 520"/>
        <s v="1 495 913"/>
        <s v="1 496 518"/>
        <s v="1 496 540"/>
        <s v="1 496 537"/>
        <s v="1 496 536"/>
        <s v="1 496 539"/>
        <s v="1 495 336"/>
        <s v="1 497 337"/>
        <s v="1 497 339"/>
        <s v="1 497 345"/>
        <s v="1 497 335"/>
        <s v="1 497 338"/>
        <s v="1 496 644"/>
        <s v="1 497 343"/>
        <s v="1 497 344"/>
        <s v="1 497 340"/>
        <s v="1 497 341"/>
        <s v="1 497 147"/>
        <s v="1 494 106"/>
        <s v="1 497 175"/>
        <s v="1 498 521"/>
        <s v="1 498 519"/>
        <s v="1 498 423"/>
        <s v="1 498 522"/>
        <s v="1 498 520"/>
        <s v="1 497 611"/>
        <s v="1 498 347"/>
        <s v="1 498 518"/>
        <s v="1 497 680"/>
        <s v="1 498 567"/>
        <s v="1 499 136"/>
        <s v="1 499 137"/>
        <s v="1 499 138"/>
        <s v="1 498 993"/>
        <s v="1 497 612"/>
        <s v="1 498 236"/>
        <s v="1 498 232"/>
        <s v="1 499 637"/>
        <s v="1 499 640"/>
        <s v="1 499 052"/>
        <s v="1 498 019"/>
        <s v="1 499 043"/>
        <s v="1 499 639"/>
        <s v="1 499 641"/>
        <s v="1 499 642"/>
        <s v="1 499 341"/>
        <s v="1 500 363"/>
        <s v="1 500 365"/>
        <s v="1 500 364"/>
        <s v="1 500 366"/>
        <s v="1 500 362"/>
        <s v="1 499 633"/>
        <s v="1 498 237"/>
        <s v="1 500 367"/>
        <s v="1 500 498"/>
        <s v="1 497 138"/>
        <s v="1 501 212"/>
        <s v="1 501 053"/>
        <s v="1 500 499"/>
        <s v="1 501 049"/>
        <s v="1 501 716"/>
        <s v="1 500 976"/>
        <s v="1 501 718"/>
        <s v="1 501 715"/>
        <s v="1 501 714"/>
        <s v="1 501 173"/>
        <s v="1 502 507"/>
        <s v="1 502 436"/>
        <s v="1 502 432"/>
        <s v="1 502 433"/>
        <s v="1 501 901"/>
        <s v="1 501 542"/>
        <s v="1 502 438"/>
        <s v="1 501 605"/>
        <s v="1 502 129"/>
        <s v="1 502 437"/>
        <s v="1 502 435"/>
        <s v="1 502 434"/>
        <s v="1 503 009"/>
        <s v="1 502 961"/>
        <s v="1 501 134"/>
        <s v="1 502 963"/>
        <s v="1 502 964"/>
        <s v="1 502 377"/>
        <s v="1 503 010"/>
        <s v="1 502 960"/>
        <s v="1 502 962"/>
        <s v="1 502 669"/>
        <s v="1 503 573"/>
        <s v="1 503 574"/>
        <s v="1 502 131"/>
        <s v="1 503 572"/>
        <s v="1 503 575"/>
        <s v="1 503 921"/>
        <s v="1 503 429"/>
        <s v="1 503 584"/>
        <s v="1 503 430"/>
        <s v="1 503 922"/>
        <s v="1 504 126"/>
        <s v="1 504 856"/>
        <s v="1 505 093"/>
        <s v="1 505 092"/>
        <s v="1 504 127"/>
        <s v="1 505 091"/>
        <s v="1 505 090"/>
        <s v="1 501 157"/>
        <s v="1 504 124"/>
        <s v="1 504 131"/>
        <s v="1 504 862"/>
        <s v="1 505 677"/>
        <s v="1 505 674"/>
        <s v="1 505 680"/>
        <s v="1 505 134"/>
        <s v="1 505 676"/>
        <s v="1 504 773"/>
        <s v="1 504 877"/>
        <s v="1 505 678"/>
        <s v="1 505 710"/>
        <s v="1 505 679"/>
        <s v="1 505 150"/>
        <s v="1 505 711"/>
        <s v="1 505 675"/>
        <s v="1 505 876"/>
        <s v="1 506 436"/>
        <s v="1 506 438"/>
        <s v="1 506 439"/>
        <s v="1 504 942"/>
        <s v="1 506 435"/>
        <s v="1 506 437"/>
        <s v="1 505 692"/>
        <s v="1 505 690"/>
        <s v="1 507 013"/>
        <s v="1 505 378"/>
        <s v="1 507 016"/>
        <s v="1 507 014"/>
        <s v="1 507 012"/>
        <s v="1 505 195"/>
        <s v="1 506 770"/>
        <s v="1 507 015"/>
        <s v="1 507 960"/>
        <s v="1 507 962"/>
        <s v="1 507 958"/>
        <s v="1 507 961"/>
        <s v="1 507 515"/>
        <s v="1 505 973"/>
        <s v="1 507 494"/>
        <s v="1 507 490"/>
        <s v="1 508 112"/>
        <s v="1 508 109"/>
        <s v="1 508 949"/>
        <s v="1 508 951"/>
        <s v="1 508 080"/>
        <s v="1 507 401"/>
        <s v="1 508 059"/>
        <s v="1 508 950"/>
        <s v="1 507 492"/>
        <s v="1 508 952"/>
        <s v="1 508 678"/>
        <s v="1 509 015"/>
        <s v="1 509 013"/>
        <s v="1 510 239"/>
        <s v="1 509 503"/>
        <s v="1 510 254"/>
        <s v="1 510 238"/>
        <s v="1 510 236"/>
        <s v="1 511 084"/>
        <s v="1 510 206"/>
        <s v="1 510 004"/>
        <s v="1 511 085"/>
        <s v="1 510 093"/>
        <s v="1 511 363"/>
        <s v="1 511 362"/>
        <s v="1 511 358"/>
        <s v="1 510 764"/>
        <s v="1 511 360"/>
        <s v="1 510 780"/>
        <s v="1 511 361"/>
        <s v="1 511 359"/>
        <s v="1 510 594"/>
        <s v="1 511 105"/>
        <s v="1 510 635"/>
        <s v="1 511 182"/>
        <s v="1 511 464"/>
        <s v="1 511 736"/>
        <s v="1 512 452"/>
        <s v="1 512 184"/>
        <s v="1 512 186"/>
        <s v="1 509 896"/>
        <s v="1 511 891"/>
        <s v="1 512 185"/>
        <s v="1 513 055"/>
        <s v="1 513 059"/>
        <s v="1 513 063"/>
        <s v="1 513 057"/>
        <s v="1 512 335"/>
        <s v="1 513 083"/>
        <s v="1 513 062"/>
        <s v="1 512 707"/>
        <s v="1 513 058"/>
        <s v="1 513 159"/>
        <s v="1 513 260"/>
        <s v="1 512 966"/>
        <s v="1 513 953"/>
        <s v="1 513 948"/>
        <s v="1 513 950"/>
        <s v="1 513 721"/>
        <s v="1 513 949"/>
        <s v="1 513 720"/>
        <s v="1 513 951"/>
        <s v="1 513 079"/>
        <s v="1 513 525"/>
        <s v="1 513 947"/>
        <s v="1 513 946"/>
        <s v="1 512 494"/>
        <s v="1 513 797"/>
        <s v="1 514 941"/>
        <s v="1 514 940"/>
        <s v="1 514 418"/>
        <s v="1 514 222"/>
        <s v="1 514 724"/>
        <s v="1 515 714"/>
        <s v="1 514 720"/>
        <s v="1 514 871"/>
        <s v="1 515 655"/>
        <s v="1 513 725"/>
        <s v="1 515 659"/>
        <s v="1 515 658"/>
        <s v="1 516 441"/>
        <s v="1 515 556"/>
        <s v="1 516 991"/>
        <s v="1 514 229"/>
        <s v="1 516 992"/>
        <s v="1 516 196"/>
        <s v="1 516 264"/>
        <s v="1 516 993"/>
        <s v="1 516 995"/>
        <s v="1 516 481"/>
        <s v="1 516 994"/>
        <s v="1 515 555"/>
        <s v="1 515 554"/>
        <s v="1 517 693"/>
        <s v="1 516 168"/>
        <s v="1 517 449"/>
        <s v="1 517 692"/>
        <s v="1 517 448"/>
        <s v="1 518 324"/>
        <s v="1 518 329"/>
        <s v="1 518 325"/>
        <s v="1 518 326"/>
        <s v="1 517 477"/>
        <s v="1 518 389"/>
        <s v="1 518 388"/>
        <s v="1 518 063"/>
        <s v="1 518 390"/>
        <s v="1 518 075"/>
        <s v="1 519 182"/>
        <s v="1 518 072"/>
        <s v="1 519 013"/>
        <s v="1 519 183"/>
        <s v="1 518 095"/>
        <s v="1 518 274"/>
        <s v="1 518 090"/>
        <s v="1 518 097"/>
        <s v="1 519 018"/>
        <s v="1 519 019"/>
        <s v="1 519 017"/>
        <s v="1 519 187"/>
        <s v="1 519 016"/>
        <s v="1 519 014"/>
        <s v="1 519 015"/>
        <s v="1 519 636"/>
        <s v="1 519 635"/>
        <s v="1 518 890"/>
        <s v="1 518 886"/>
        <s v="1 518 067"/>
        <s v="1 518 901"/>
        <s v="1 518 925"/>
        <s v="1 518 906"/>
        <s v="1 518 093"/>
        <s v="1 518 976"/>
        <s v="1 518 611"/>
        <s v="1 519 031"/>
        <s v="1 518 880"/>
        <s v="1 519 683"/>
        <s v="1 520 228"/>
        <s v="1 519 901"/>
        <s v="1 519 687"/>
        <s v="1 518 974"/>
        <s v="1 520 882"/>
        <s v="1 520 883"/>
        <s v="1 520 315"/>
        <s v="1 520 078"/>
        <s v="1 521 189"/>
        <s v="1 521 367"/>
        <s v="1 522 324"/>
        <s v="1 522 323"/>
        <s v="1 521 567"/>
        <s v="1 522 326"/>
        <s v="1 522 199"/>
        <s v="1 523 114"/>
        <s v="1 523 184"/>
        <s v="1 522 105"/>
        <s v="1 520 744"/>
        <s v="1 523 113"/>
        <s v="1 522 174"/>
        <s v="1 523 116"/>
        <s v="1 523 117"/>
        <s v="1 523 115"/>
        <s v="1 523 817"/>
        <s v="1 523 654"/>
        <s v="1 521 364"/>
        <s v="1 522 718"/>
        <s v="1 522 812"/>
        <s v="1 522 817"/>
        <s v="1 523 653"/>
        <s v="1 523 655"/>
        <s v="1 523 998"/>
        <s v="1 523 996"/>
        <s v="1 523 407"/>
        <s v="1 524 025"/>
        <s v="1 523 181"/>
        <s v="1 523 997"/>
        <s v="1 523 412"/>
        <s v="1 523 521"/>
        <s v="1 524 024"/>
        <s v="1 523 520"/>
        <s v="1 522 813"/>
        <s v="1 524 882"/>
        <s v="1 524 127"/>
        <s v="1 524 124"/>
        <s v="1 524 881"/>
        <s v="1 524 952"/>
        <s v="1 524 158"/>
        <s v="1 524 925"/>
        <s v="1 524 883"/>
        <s v="1 524 653"/>
        <s v="1 525 639"/>
        <s v="1 524 778"/>
        <s v="1 525 616"/>
        <s v="1 525 539"/>
        <s v="1 525 540"/>
        <s v="1 524 299"/>
        <s v="1 524 598"/>
        <s v="1 525 357"/>
        <s v="1 525 636"/>
        <s v="1 526 196"/>
        <s v="1 525 895"/>
        <s v="1 525 896"/>
        <s v="1 523 630"/>
        <s v="1 526 201"/>
        <s v="1 525 433"/>
        <s v="1 525 362"/>
        <s v="1 525 314"/>
        <s v="1 526 229"/>
        <s v="1 525 894"/>
        <s v="1 525 963"/>
        <s v="1 525 892"/>
        <s v="1 526 638"/>
        <s v="1 524 040"/>
        <s v="1 526 251"/>
        <s v="1 526 640"/>
        <s v="1 526 001"/>
        <s v="1 526 641"/>
        <s v="1 526 006"/>
        <s v="1 526 637"/>
        <s v="1 526 639"/>
        <s v="1 526 642"/>
        <s v="1 526 002"/>
        <s v="1 527 087"/>
        <s v="1 527 089"/>
        <s v="1 525 886"/>
        <s v="1 527 088"/>
        <s v="1 526 606"/>
        <s v="1 526 605"/>
        <s v="1 527 158"/>
        <s v="1 527 762"/>
        <s v="1 527 826"/>
        <s v="1 527 763"/>
        <s v="1 527 825"/>
        <s v="1 527 764"/>
        <s v="1 527 944"/>
        <s v="1 528 562"/>
        <s v="1 528 561"/>
        <s v="1 527 033"/>
        <s v="1 527 104"/>
        <s v="1 527 394"/>
        <s v="1 528 261"/>
        <s v="1 528 167"/>
        <s v="1 527 549"/>
        <s v="1 529 254"/>
        <s v="1 529 440"/>
        <s v="1 529 251"/>
        <s v="1 529 252"/>
        <s v="1 528 616"/>
        <s v="1 528 340"/>
        <s v="1 529 667"/>
        <s v="1 530 105"/>
        <s v="1 528 622"/>
        <s v="1 528 627"/>
        <s v="1 530 106"/>
        <s v="1 529 321"/>
        <s v="1 529 287"/>
        <s v="1 528 534"/>
        <s v="1 529 326"/>
        <s v="1 529 665"/>
        <s v="1 529 666"/>
        <s v="1 529 322"/>
        <s v="1 529 943"/>
        <s v="1 529 951"/>
        <s v="1 529 571"/>
        <s v="1 529 990"/>
        <s v="1 529 991"/>
        <s v="1 530 687"/>
        <s v="1 530 688"/>
        <s v="1 530 349"/>
        <s v="1 530 534"/>
        <s v="1 531 466"/>
        <s v="1 531 460"/>
        <s v="1 531 243"/>
        <s v="1 532 026"/>
        <s v="1 532 028"/>
        <s v="1 532 456"/>
        <s v="1 532 330"/>
        <s v="1 532 016"/>
        <s v="1 532 335"/>
        <s v="1 531 070"/>
        <s v="1 532 919"/>
        <s v="1 532 917"/>
        <s v="1 532 918"/>
        <s v="1 530 786"/>
        <s v="1 532 074"/>
        <s v="1 532 900"/>
        <s v="1 533 056"/>
        <s v="1 533 096"/>
        <s v="1 532 436"/>
        <s v="1 533 095"/>
        <s v="1 532 331"/>
        <s v="1 533 505"/>
        <s v="1 533 599"/>
        <s v="1 533 601"/>
        <s v="1 533 084"/>
        <s v="1 534 666"/>
        <s v="1 534 665"/>
        <s v="1 532 435"/>
        <s v="1 534 003"/>
        <s v="1 534 575"/>
        <s v="1 531 098"/>
        <s v="1 534 463"/>
        <s v="1 533 982"/>
        <s v="1 534 052"/>
        <s v="1 534 580"/>
        <s v="1 534 576"/>
        <s v="1 535 891"/>
        <s v="1 535 210"/>
        <s v="1 533 912"/>
        <s v="1 536 397"/>
        <s v="1 536 382"/>
        <s v="1 536 381"/>
        <s v="1 535 209"/>
        <s v="1 537 116"/>
        <s v="1 536 393"/>
        <s v="1 534 694"/>
        <s v="1 537 261"/>
        <s v="1 536 974"/>
        <s v="1 535 547"/>
        <s v="1 536 311"/>
        <s v="1 536 113"/>
        <s v="1 536 703"/>
        <s v="1 535 889"/>
        <s v="1 538 617"/>
        <s v="1 538 620"/>
        <s v="1 536 012"/>
        <s v="1 537 453"/>
        <s v="1 537 165"/>
        <s v="1 537 449"/>
        <s v="1 536 013"/>
        <s v="1 537 805"/>
        <s v="1 538 491"/>
        <s v="1 538 583"/>
        <s v="1 537 953"/>
        <s v="1 539 007"/>
        <s v="1 539 140"/>
        <s v="1 539 149"/>
        <s v="1 539 004"/>
        <s v="1 539 006"/>
        <s v="1 538 982"/>
        <s v="1 538 940"/>
        <s v="1 539 399"/>
        <s v="1 539 955"/>
        <s v="1 539 956"/>
        <s v="1 539 866"/>
        <s v="1 539 954"/>
        <s v="1 539 134"/>
        <s v="1 540 114"/>
        <s v="1 539 992"/>
        <s v="1 539 847"/>
        <s v="1 540 333"/>
        <s v="1 539 844"/>
        <s v="1 540 270"/>
        <s v="1 540 440"/>
        <s v="1 540 176"/>
        <s v="1 540 271"/>
        <s v="1 540 942"/>
        <s v="1 540 784"/>
        <s v="1 538 579"/>
        <s v="1 540 930"/>
        <s v="1 540 755"/>
        <s v="1 541 161"/>
        <s v="1 541 160"/>
        <s v="1 541 284"/>
        <s v="1 541 145"/>
        <s v="1 541 152"/>
        <s v="1 541 421"/>
        <s v="1 541 502"/>
        <s v="1 541 808"/>
        <s v="1 541 809"/>
        <s v="1 541 925"/>
        <s v="1 541 365"/>
        <s v="1 541 554"/>
        <s v="1 541 146"/>
        <s v="1 541 815"/>
        <s v="1 541 551"/>
        <s v="1 541 149"/>
        <s v="1 539 843"/>
        <s v="1 542 259"/>
        <s v="1 542 303"/>
        <s v="1 541 855"/>
        <s v="1 542 304"/>
        <s v="1 541 856"/>
        <s v="1 542 559"/>
        <s v="1 542 712"/>
        <s v="1 541 813"/>
        <s v="1 543 022"/>
        <s v="1 542 351"/>
        <s v="1 543 015"/>
        <s v="1 542 936"/>
        <s v="1 543 013"/>
        <s v="1 542 935"/>
        <s v="1 543 014"/>
        <s v="1 543 467"/>
        <s v="1 543 060"/>
        <s v="1 543 353"/>
        <s v="1 543 354"/>
        <s v="1 543 061"/>
        <s v="1 543 490"/>
        <s v="1 543 416"/>
        <s v="1 543 415"/>
        <s v="1 543 632"/>
        <s v="1 543 667"/>
        <s v="1 544 269"/>
        <s v="1 544 467"/>
        <s v="1 544 101"/>
        <s v="1 544 100"/>
        <s v="1 544 099"/>
        <s v="1 544 251"/>
        <s v="1 544 601"/>
        <s v="1 544 045"/>
        <s v="1 544 213"/>
        <s v="1 544 613"/>
        <s v="1 544 614"/>
        <s v="1 544 448"/>
        <s v="1 544 605"/>
        <s v="1 544 576"/>
        <s v="1 543 730"/>
        <s v="1 545 008"/>
        <s v="1 545 001"/>
        <s v="1 545 020"/>
        <s v="1 541 248"/>
        <s v="1 544 828"/>
        <s v="1 544 606"/>
        <s v="1 544 974"/>
        <s v="1 545 514"/>
        <s v="1 545 512"/>
        <s v="1 545 513"/>
        <s v="1 545 511"/>
        <s v="1 545 510"/>
        <s v="1 545 115"/>
        <s v="1 545 119"/>
        <s v="1 545 116"/>
        <s v="1 545 505"/>
        <s v="1 545 605"/>
        <s v="1 545 604"/>
        <s v="1 546 842"/>
        <s v="1 546 707"/>
        <s v="1 546 706"/>
        <s v="1 547 354"/>
        <s v="1 547 211"/>
        <s v="1 546 245"/>
        <s v="1 546 181"/>
        <s v="1 546 787"/>
        <s v="1 546 651"/>
        <s v="1 546 097"/>
        <s v="1 547 207"/>
        <s v="1 547 213"/>
        <s v="1 547 214"/>
        <s v="1 547 264"/>
        <s v="1 547 911"/>
        <s v="1 545 967"/>
        <s v="1 547 195"/>
        <s v="1 547 611"/>
        <s v="1 547 812"/>
        <s v="1 547 613"/>
        <s v="1 547 816"/>
        <s v="1 547 813"/>
        <s v="1 547 612"/>
        <s v="1 548 087"/>
        <s v="1 548 332"/>
        <s v="1 548 314"/>
        <s v="1 548 333"/>
        <s v="1 549 308"/>
        <s v="1 548 691"/>
        <s v="1 549 309"/>
        <s v="1 549 306"/>
        <s v="1 549 304"/>
        <s v="1 549 305"/>
        <s v="1 550 352"/>
        <s v="1 548 694"/>
        <s v="1 549 008"/>
        <s v="1 549 413"/>
        <s v="1 550 324"/>
        <s v="1 550 430"/>
        <s v="1 551 174"/>
        <s v="1 551 331"/>
        <s v="1 551 335"/>
        <s v="1 551 987"/>
        <s v="1 552 449"/>
        <s v="1 552 451"/>
        <s v="1 552 452"/>
        <s v="1 552 450"/>
        <s v="1 551 986"/>
        <s v="1 551 332"/>
        <s v="1 552 323"/>
        <s v="1 553 221"/>
        <s v="1 553 222"/>
        <s v="1 553 223"/>
        <s v="1 552 768"/>
        <s v="1 552 798"/>
        <s v="1 553 232"/>
        <s v="1 554 476"/>
        <s v="1 553 705"/>
        <s v="1 553 710"/>
        <s v="1 552 848"/>
        <s v="1 554 401"/>
        <s v="1 553 772"/>
        <s v="1 554 477"/>
        <s v="1 554 400"/>
        <s v="1 555 152"/>
        <s v="1 554 348"/>
        <s v="1 554 349"/>
        <s v="1 554 080"/>
        <s v="1 554 352"/>
        <s v="1 555 086"/>
        <s v="1 555 021"/>
        <s v="1 555 446"/>
        <s v="1 554 884"/>
        <s v="1 554 978"/>
        <s v="1 553 715"/>
        <s v="1 554 977"/>
        <s v="1 555 560"/>
        <s v="1 555 575"/>
        <s v="1 556 240"/>
        <s v="1 556 242"/>
        <s v="1 556 241"/>
        <s v="1 556 395"/>
        <s v="1 556 032"/>
        <s v="1 556 208"/>
        <s v="1 556 744"/>
        <s v="1 556 033"/>
        <s v="1 556 034"/>
        <s v="1 556 839"/>
        <s v="1 553 965"/>
        <s v="1 557 341"/>
        <s v="1 557 340"/>
        <s v="1 557 344"/>
        <s v="1 558 516"/>
        <s v="1 557 537"/>
        <s v="1 557 916"/>
        <s v="1 557 321"/>
        <s v="1 557 915"/>
        <s v="1 559 216"/>
        <s v="1 559 217"/>
        <s v="1 557 974"/>
        <s v="1 559 213"/>
        <s v="1 559 214"/>
        <s v="1 559 212"/>
        <s v="1 559 145"/>
        <s v="1 560 023"/>
        <s v="1 560 480"/>
        <s v="1 559 708"/>
        <s v="1 559 802"/>
        <s v="1 559 695"/>
        <s v="1 559 699"/>
        <s v="1 561 183"/>
        <s v="1 561 186"/>
        <s v="1 561 181"/>
        <s v="1 560 381"/>
        <s v="1 561 180"/>
        <s v="1 561 182"/>
        <s v="1 560 437"/>
        <s v="1 560 441"/>
        <s v="1 561 179"/>
      </sharedItems>
    </cacheField>
    <cacheField name="Poids OT (kg)" numFmtId="0">
      <sharedItems containsSemiMixedTypes="0" containsString="0" containsNumber="1" containsInteger="1" minValue="20" maxValue="5000"/>
    </cacheField>
    <cacheField name="Poids OT (T)" numFmtId="0">
      <sharedItems containsSemiMixedTypes="0" containsString="0" containsNumber="1" minValue="0.02" maxValue="5"/>
    </cacheField>
    <cacheField name="Type transport" numFmtId="0">
      <sharedItems count="8">
        <s v="AFF"/>
        <s v="PAEX"/>
        <s v="POLE"/>
        <s v="GV"/>
        <s v="NAV"/>
        <s v="PLR"/>
        <s v="C"/>
        <s v="PL"/>
      </sharedItems>
    </cacheField>
    <cacheField name="% répartition segment 1" numFmtId="9">
      <sharedItems containsSemiMixedTypes="0" containsString="0" containsNumber="1" minValue="0.3" maxValue="1"/>
    </cacheField>
    <cacheField name="% répartition segment 2" numFmtId="9">
      <sharedItems containsSemiMixedTypes="0" containsString="0" containsNumber="1" minValue="0" maxValue="0.7"/>
    </cacheField>
    <cacheField name="Tx Segment 1" numFmtId="0">
      <sharedItems containsSemiMixedTypes="0" containsString="0" containsNumber="1" minValue="6.7400000000000002E-2" maxValue="1.1599999999999999"/>
    </cacheField>
    <cacheField name="Segment 1 Bilan emission CO2" numFmtId="0">
      <sharedItems containsMixedTypes="1" containsNumber="1" minValue="6.0880511999999991E-2" maxValue="198.03280000000001"/>
    </cacheField>
    <cacheField name="Tx segment 2" numFmtId="0">
      <sharedItems containsSemiMixedTypes="0" containsString="0" containsNumber="1" minValue="0" maxValue="6.7400000000000002E-2"/>
    </cacheField>
    <cacheField name="Segment 2 Bilan emission CO2" numFmtId="0">
      <sharedItems containsMixedTypes="1" containsNumber="1" minValue="0" maxValue="40.545925840000002"/>
    </cacheField>
    <cacheField name="Bilan CO2" numFmtId="0">
      <sharedItems containsSemiMixedTypes="0" containsString="0" containsNumber="1" minValue="0" maxValue="198.03280000000001"/>
    </cacheField>
    <cacheField name="Coût  OT (€)" numFmtId="0">
      <sharedItems containsMixedTypes="1" containsNumber="1" minValue="60" maxValue="2167"/>
    </cacheField>
    <cacheField name="Lieu depart OT" numFmtId="0">
      <sharedItems count="50">
        <s v="67100 STRASBOURG"/>
        <s v="67000 STRASBOURG"/>
        <s v="93120 COURNEUVE/LA"/>
        <s v="91100 VILLABE"/>
        <s v="26750 ROMANS SUR ISER"/>
        <s v="94440 MAROLLES EN BRI"/>
        <s v="40300 PEYREHORADE"/>
        <s v="21300 CHENOVE"/>
        <s v="59100 ROUBAIX"/>
        <s v="91090 LISSES"/>
        <s v="59810 LESQUIN"/>
        <s v="62780 CUCQ"/>
        <s v="39570 LONS LE SAUNIER"/>
        <s v="59243 QUAROUBLE"/>
        <s v="8090 CHARLEVILLE MEZ"/>
        <s v="80400 HAM"/>
        <s v="62138 HAISNES"/>
        <s v="21600 OUGES"/>
        <s v="60000 BEAUVAIS"/>
        <s v="34000 MONTPELLIER"/>
        <s v="93000 BOBIGNY"/>
        <s v="62450 BAPAUME"/>
        <s v="62620 RUITZ"/>
        <s v="13000 MARSEILLE"/>
        <s v="13010 MARSEILLE"/>
        <s v="19410 PERPEZAC LE NOI"/>
        <s v="59118 WAMBRECHIES"/>
        <s v="73490 RAVOIRE/LA"/>
        <s v="64230 SAUVAGNON"/>
        <s v="80090 AMIENS"/>
        <s v="76380 CANTELEU"/>
        <s v="59200 TOURCOING"/>
        <s v="31390 CARBONNE"/>
        <s v="93130 NOISY LE SEC"/>
        <s v="87000 LIMOGES"/>
        <s v="54710 LUDRES"/>
        <s v="59800 LILLE"/>
        <s v="33520 BRUGES"/>
        <s v="42153 RIORGES"/>
        <s v="93380 PIERREFITTE SUR"/>
        <s v="67400 ILLKIRCH GRAFFEN"/>
        <s v="85200 FONTENAY LE COM"/>
        <s v="53120 GORRON"/>
        <s v="44260 LAVAU SUR LOIRE"/>
        <s v="37000 TOURS"/>
        <s v="37220 ILE BOUCHARD/L''"/>
        <s v="89440 JOUX LA VILLE"/>
        <s v="85200 PISSOTTE"/>
        <s v="83170 BRIGNOLES"/>
        <s v="33800 BORDEAUX"/>
      </sharedItems>
    </cacheField>
    <cacheField name="LIeu arrivee OT" numFmtId="0">
      <sharedItems count="95">
        <s v="59100ROUBAIX"/>
        <s v="91100VILLABE"/>
        <s v="67100STRASBOURG"/>
        <s v="13000MARSEILLE"/>
        <s v="8090CHARLEVILLE MEZ"/>
        <s v="66000PERPIGNAN"/>
        <s v="93120COURNEUVE/LA"/>
        <s v="6700ST LAURENT DU VA"/>
        <s v="26750ROMANS SUR ISER"/>
        <s v="97302CAYENNE"/>
        <s v="21300CHENOVE"/>
        <s v="59200TOURCOING"/>
        <s v="60000BEAUVAIS"/>
        <s v="51800STE MENEHOULD"/>
        <s v="67800BISCHHEIM"/>
        <s v="75001PARIS 01"/>
        <s v="59243QUAROUBLE"/>
        <s v="62780CUCQ"/>
        <s v="44260LAVAU SUR LOIRE"/>
        <s v="59810LESQUIN"/>
        <s v="39570LONS LE SAUNIER"/>
        <s v="77230MOUSSY LE NEUF"/>
        <s v="40300PEYREHORADE"/>
        <s v="28630CHARTRES"/>
        <s v="92230GENNEVILLIERS"/>
        <s v="59800LILLE"/>
        <s v="97217LES ANSES D'ARLET"/>
        <s v="94440MAROLLES EN BRI"/>
        <s v="80400HAM"/>
        <s v="21600OUGES"/>
        <s v="52200LANGRES"/>
        <s v="75019PARIS 19"/>
        <s v="74200THONON LES BAIN"/>
        <s v="62620RUITZ"/>
        <s v="91460MARCOUSSIS"/>
        <s v="4100MANOSQUE"/>
        <s v="75015PARIS 15"/>
        <s v="89440JOUX LA VILLE"/>
        <s v="62450BAPAUME"/>
        <s v="62138HAISNES"/>
        <s v="93000BOBIGNY"/>
        <s v="95310ST OUEN L'AUMON"/>
        <s v="95800CERGY LE HAUT"/>
        <s v="92140CLAMART"/>
        <s v="33185HAILLAN/LE"/>
        <s v="94240HAYES LES ROSES"/>
        <s v="75018PARIS 18"/>
        <s v="92700COLOMBES"/>
        <s v="75014PARIS 14"/>
        <s v="78200MANTES LA JOLIE"/>
        <s v="93410VAUJOURS"/>
        <s v="35330CAMPEL"/>
        <s v="93100MONTREUIL"/>
        <s v="72000MANS/LE"/>
        <s v="37220ILE BOUCHARD/L''"/>
        <s v="91380CHILLY MAZARIN"/>
        <s v="59220ROUVIGNIES"/>
        <s v="33800BORDEAUX"/>
        <s v="24400LECHES/LES"/>
        <s v="73490RAVOIRE/LA"/>
        <s v="93130NOISY LE SEC"/>
        <s v="19410PERPEZAC LE NOI"/>
        <s v="76380CANTELEU"/>
        <s v="33520BRUGES"/>
        <s v="49280CHOLET"/>
        <s v="44150ANCENIS"/>
        <s v="25300PONTARLIER"/>
        <s v="85200FONTENAY LE COM"/>
        <s v="80090AMIENS"/>
        <s v="42000ST ETIENNE"/>
        <s v="31390CARBONNE"/>
        <s v="59118WAMBRECHIES"/>
        <s v="40230ST GEOURS DE MA"/>
        <s v="64230SAUVAGNON"/>
        <s v="75010PARIS 10"/>
        <s v="91300MASSY"/>
        <s v="87000LIMOGES"/>
        <s v="53120GORRON"/>
        <s v="69800ST PRIEST"/>
        <s v="6520GRASSE"/>
        <s v="62117BREBIERES"/>
        <s v="83170BRIGNOLES"/>
        <s v="1300BELLEY"/>
        <s v="93380PIERREFITTE SUR"/>
        <s v="25200GD CHARMONT"/>
        <s v="27940AUBEVOYE"/>
        <s v="42153RIORGES"/>
        <s v="80520WOINCOURT"/>
        <s v="75003PARIS 03"/>
        <s v="91090LISSES"/>
        <s v="13300SALON DE PROVEN"/>
        <s v="92160ANTONY"/>
        <s v="59223RONCQ"/>
        <s v="04100MANOSQUE"/>
        <s v="06520GRASSE"/>
      </sharedItems>
    </cacheField>
    <cacheField name="Distance en km" numFmtId="0">
      <sharedItems containsMixedTypes="1" containsNumber="1" minValue="9.0009999999999994" maxValue="986.75599999999997"/>
    </cacheField>
  </cacheFields>
  <extLst>
    <ext xmlns:x14="http://schemas.microsoft.com/office/spreadsheetml/2009/9/main" uri="{725AE2AE-9491-48be-B2B4-4EB974FC3084}">
      <x14:pivotCacheDefinition pivotCacheId="9527503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1">
  <r>
    <x v="0"/>
    <x v="0"/>
    <x v="0"/>
    <s v="janvier2021"/>
    <x v="0"/>
    <n v="185"/>
    <n v="0.185"/>
    <x v="0"/>
    <n v="1"/>
    <n v="0"/>
    <n v="6.7400000000000002E-2"/>
    <n v="6.7355667649999997"/>
    <n v="0"/>
    <n v="0"/>
    <n v="6.7355667649999997"/>
    <n v="165"/>
    <x v="0"/>
    <x v="0"/>
    <n v="540.18499999999995"/>
  </r>
  <r>
    <x v="0"/>
    <x v="0"/>
    <x v="0"/>
    <s v="janvier2021"/>
    <x v="1"/>
    <n v="452"/>
    <n v="0.45200000000000001"/>
    <x v="1"/>
    <n v="0.3"/>
    <n v="0.7"/>
    <n v="0.16"/>
    <n v="11.025429888"/>
    <n v="6.7400000000000002E-2"/>
    <n v="10.83707879408"/>
    <n v="21.862508682079998"/>
    <n v="220"/>
    <x v="1"/>
    <x v="1"/>
    <n v="508.178"/>
  </r>
  <r>
    <x v="1"/>
    <x v="0"/>
    <x v="0"/>
    <s v="janvier2021"/>
    <x v="2"/>
    <n v="249"/>
    <n v="0.249"/>
    <x v="1"/>
    <n v="0.3"/>
    <n v="0.7"/>
    <n v="0.16"/>
    <n v="5.9988641760000005"/>
    <n v="6.7400000000000002E-2"/>
    <n v="5.8963835796599993"/>
    <n v="11.89524775566"/>
    <n v="220"/>
    <x v="2"/>
    <x v="2"/>
    <n v="501.91300000000001"/>
  </r>
  <r>
    <x v="1"/>
    <x v="0"/>
    <x v="0"/>
    <s v="janvier2021"/>
    <x v="3"/>
    <n v="500"/>
    <n v="0.5"/>
    <x v="1"/>
    <n v="0.3"/>
    <n v="0.7"/>
    <n v="0.16"/>
    <n v="17.770680000000002"/>
    <n v="6.7400000000000002E-2"/>
    <n v="17.467097550000002"/>
    <n v="35.237777550000004"/>
    <n v="345"/>
    <x v="3"/>
    <x v="3"/>
    <n v="740.44500000000005"/>
  </r>
  <r>
    <x v="2"/>
    <x v="0"/>
    <x v="0"/>
    <s v="janvier2021"/>
    <x v="4"/>
    <n v="500"/>
    <n v="0.5"/>
    <x v="0"/>
    <n v="1"/>
    <n v="0"/>
    <n v="6.7400000000000002E-2"/>
    <n v="1.8454457000000002"/>
    <n v="0"/>
    <n v="0"/>
    <n v="1.8454457000000002"/>
    <n v="152"/>
    <x v="2"/>
    <x v="1"/>
    <n v="54.761000000000003"/>
  </r>
  <r>
    <x v="2"/>
    <x v="0"/>
    <x v="0"/>
    <s v="janvier2021"/>
    <x v="5"/>
    <n v="1250"/>
    <n v="1.25"/>
    <x v="0"/>
    <n v="1"/>
    <n v="0"/>
    <n v="6.7400000000000002E-2"/>
    <n v="18.624305"/>
    <n v="0"/>
    <n v="0"/>
    <n v="18.624305"/>
    <n v="238"/>
    <x v="2"/>
    <x v="0"/>
    <n v="221.06"/>
  </r>
  <r>
    <x v="3"/>
    <x v="0"/>
    <x v="0"/>
    <s v="janvier2021"/>
    <x v="6"/>
    <n v="80"/>
    <n v="0.08"/>
    <x v="2"/>
    <n v="0.3"/>
    <n v="0.7"/>
    <n v="0.16"/>
    <n v="0.98653824000000001"/>
    <n v="6.7400000000000002E-2"/>
    <n v="0.96968487840000006"/>
    <n v="1.9562231184000001"/>
    <n v="110"/>
    <x v="3"/>
    <x v="4"/>
    <n v="256.911"/>
  </r>
  <r>
    <x v="3"/>
    <x v="0"/>
    <x v="0"/>
    <s v="janvier2021"/>
    <x v="7"/>
    <n v="40"/>
    <n v="0.04"/>
    <x v="2"/>
    <n v="0.3"/>
    <n v="0.7"/>
    <n v="0.16"/>
    <n v="0.99033216000000002"/>
    <n v="6.7400000000000002E-2"/>
    <n v="0.97341398560000003"/>
    <n v="1.9637461456"/>
    <n v="140"/>
    <x v="3"/>
    <x v="2"/>
    <n v="515.798"/>
  </r>
  <r>
    <x v="3"/>
    <x v="0"/>
    <x v="0"/>
    <s v="janvier2021"/>
    <x v="8"/>
    <n v="1000"/>
    <n v="1"/>
    <x v="2"/>
    <n v="0.3"/>
    <n v="0.7"/>
    <n v="0.16"/>
    <n v="41.250624000000002"/>
    <n v="6.7400000000000002E-2"/>
    <n v="40.545925840000002"/>
    <n v="81.796549840000011"/>
    <n v="385"/>
    <x v="2"/>
    <x v="5"/>
    <n v="859.38800000000003"/>
  </r>
  <r>
    <x v="4"/>
    <x v="0"/>
    <x v="0"/>
    <s v="janvier2021"/>
    <x v="9"/>
    <n v="675"/>
    <n v="0.67500000000000004"/>
    <x v="2"/>
    <n v="0.3"/>
    <n v="0.7"/>
    <n v="0.16"/>
    <n v="26.390512800000007"/>
    <n v="6.7400000000000002E-2"/>
    <n v="25.939674873000001"/>
    <n v="52.330187673000012"/>
    <n v="340"/>
    <x v="4"/>
    <x v="0"/>
    <n v="814.52200000000005"/>
  </r>
  <r>
    <x v="5"/>
    <x v="0"/>
    <x v="0"/>
    <s v="janvier2021"/>
    <x v="10"/>
    <n v="250"/>
    <n v="0.25"/>
    <x v="3"/>
    <n v="1"/>
    <n v="0"/>
    <n v="0.24099999999999999"/>
    <n v="3.2520539999999998"/>
    <n v="0"/>
    <n v="0"/>
    <n v="3.2520539999999998"/>
    <n v="98"/>
    <x v="3"/>
    <x v="6"/>
    <n v="53.975999999999999"/>
  </r>
  <r>
    <x v="5"/>
    <x v="0"/>
    <x v="0"/>
    <s v="janvier2021"/>
    <x v="11"/>
    <n v="47"/>
    <n v="4.7E-2"/>
    <x v="2"/>
    <n v="0.3"/>
    <n v="0.7"/>
    <n v="0.16"/>
    <n v="2.0065518240000002"/>
    <n v="6.7400000000000002E-2"/>
    <n v="1.9722732303400001"/>
    <n v="3.9788250543400006"/>
    <n v="153"/>
    <x v="3"/>
    <x v="7"/>
    <n v="889.42899999999997"/>
  </r>
  <r>
    <x v="6"/>
    <x v="0"/>
    <x v="0"/>
    <s v="janvier2021"/>
    <x v="12"/>
    <n v="500"/>
    <n v="0.5"/>
    <x v="1"/>
    <n v="0.3"/>
    <n v="0.7"/>
    <n v="0.16"/>
    <n v="14.208336000000001"/>
    <n v="6.7400000000000002E-2"/>
    <n v="13.96561026"/>
    <n v="28.173946260000001"/>
    <n v="269"/>
    <x v="2"/>
    <x v="8"/>
    <n v="592.01400000000001"/>
  </r>
  <r>
    <x v="7"/>
    <x v="0"/>
    <x v="0"/>
    <s v="janvier2021"/>
    <x v="13"/>
    <n v="300"/>
    <n v="0.3"/>
    <x v="4"/>
    <n v="1"/>
    <n v="0"/>
    <n v="1.1599999999999999"/>
    <s v="0"/>
    <n v="0"/>
    <s v="0"/>
    <n v="0"/>
    <n v="2167"/>
    <x v="5"/>
    <x v="9"/>
    <s v="7.086,72"/>
  </r>
  <r>
    <x v="7"/>
    <x v="0"/>
    <x v="0"/>
    <s v="janvier2021"/>
    <x v="14"/>
    <n v="300"/>
    <n v="0.3"/>
    <x v="1"/>
    <n v="0.3"/>
    <n v="0.7"/>
    <n v="0.16"/>
    <n v="3.6129311999999998"/>
    <n v="6.7400000000000002E-2"/>
    <n v="3.5512102919999999"/>
    <n v="7.1641414919999997"/>
    <n v="140"/>
    <x v="5"/>
    <x v="0"/>
    <n v="250.898"/>
  </r>
  <r>
    <x v="7"/>
    <x v="0"/>
    <x v="0"/>
    <s v="janvier2021"/>
    <x v="15"/>
    <n v="200"/>
    <n v="0.2"/>
    <x v="1"/>
    <n v="0.3"/>
    <n v="0.7"/>
    <n v="0.16"/>
    <n v="4.8785088000000005"/>
    <n v="6.7400000000000002E-2"/>
    <n v="4.7951676079999999"/>
    <n v="9.6736764080000004"/>
    <n v="175"/>
    <x v="1"/>
    <x v="1"/>
    <n v="508.178"/>
  </r>
  <r>
    <x v="7"/>
    <x v="0"/>
    <x v="0"/>
    <s v="janvier2021"/>
    <x v="16"/>
    <n v="300"/>
    <n v="0.3"/>
    <x v="1"/>
    <n v="0.3"/>
    <n v="0.7"/>
    <n v="0.16"/>
    <n v="4.7611151999999999"/>
    <n v="6.7400000000000002E-2"/>
    <n v="4.6797794819999998"/>
    <n v="9.4408946819999997"/>
    <n v="182"/>
    <x v="2"/>
    <x v="10"/>
    <n v="330.63299999999998"/>
  </r>
  <r>
    <x v="8"/>
    <x v="0"/>
    <x v="0"/>
    <s v="janvier2021"/>
    <x v="17"/>
    <n v="200"/>
    <n v="0.2"/>
    <x v="1"/>
    <n v="0.3"/>
    <n v="0.7"/>
    <n v="0.16"/>
    <n v="2.5551936000000004"/>
    <n v="6.7400000000000002E-2"/>
    <n v="2.511542376"/>
    <n v="5.0667359760000004"/>
    <n v="92"/>
    <x v="3"/>
    <x v="0"/>
    <n v="266.166"/>
  </r>
  <r>
    <x v="8"/>
    <x v="0"/>
    <x v="0"/>
    <s v="janvier2021"/>
    <x v="18"/>
    <n v="200"/>
    <n v="0.2"/>
    <x v="1"/>
    <n v="0.3"/>
    <n v="0.7"/>
    <n v="0.16"/>
    <n v="2.5492320000000004"/>
    <n v="6.7400000000000002E-2"/>
    <n v="2.50568262"/>
    <n v="5.0549146199999999"/>
    <n v="92"/>
    <x v="3"/>
    <x v="11"/>
    <n v="265.54500000000002"/>
  </r>
  <r>
    <x v="8"/>
    <x v="0"/>
    <x v="0"/>
    <s v="janvier2021"/>
    <x v="19"/>
    <n v="250"/>
    <n v="0.25"/>
    <x v="1"/>
    <n v="0.3"/>
    <n v="0.7"/>
    <n v="0.16"/>
    <n v="0.99986400000000009"/>
    <n v="6.7400000000000002E-2"/>
    <n v="0.98278299000000002"/>
    <n v="1.9826469900000001"/>
    <n v="100"/>
    <x v="2"/>
    <x v="12"/>
    <n v="83.322000000000003"/>
  </r>
  <r>
    <x v="8"/>
    <x v="0"/>
    <x v="0"/>
    <s v="janvier2021"/>
    <x v="20"/>
    <n v="250"/>
    <n v="0.25"/>
    <x v="1"/>
    <n v="0.3"/>
    <n v="0.7"/>
    <n v="0.16"/>
    <n v="6.0229560000000006"/>
    <n v="6.7400000000000002E-2"/>
    <n v="5.9200638349999997"/>
    <n v="11.943019835000001"/>
    <n v="220"/>
    <x v="2"/>
    <x v="2"/>
    <n v="501.91300000000001"/>
  </r>
  <r>
    <x v="8"/>
    <x v="0"/>
    <x v="0"/>
    <s v="janvier2021"/>
    <x v="21"/>
    <n v="200"/>
    <n v="0.2"/>
    <x v="0"/>
    <n v="1"/>
    <n v="0"/>
    <n v="6.7400000000000002E-2"/>
    <n v="3.5879176800000003"/>
    <n v="0"/>
    <n v="0"/>
    <n v="3.5879176800000003"/>
    <n v="600"/>
    <x v="3"/>
    <x v="0"/>
    <n v="266.166"/>
  </r>
  <r>
    <x v="9"/>
    <x v="0"/>
    <x v="0"/>
    <s v="janvier2021"/>
    <x v="22"/>
    <n v="500"/>
    <n v="0.5"/>
    <x v="3"/>
    <n v="1"/>
    <n v="0"/>
    <n v="0.24099999999999999"/>
    <n v="6.5987005000000005"/>
    <n v="0"/>
    <n v="0"/>
    <n v="6.5987005000000005"/>
    <n v="123"/>
    <x v="2"/>
    <x v="1"/>
    <n v="54.761000000000003"/>
  </r>
  <r>
    <x v="9"/>
    <x v="0"/>
    <x v="0"/>
    <s v="janvier2021"/>
    <x v="23"/>
    <n v="1000"/>
    <n v="1"/>
    <x v="2"/>
    <n v="0.3"/>
    <n v="0.7"/>
    <n v="0.16"/>
    <n v="28.416672000000002"/>
    <n v="6.7400000000000002E-2"/>
    <n v="27.93122052"/>
    <n v="56.347892520000002"/>
    <n v="269"/>
    <x v="2"/>
    <x v="8"/>
    <n v="592.01400000000001"/>
  </r>
  <r>
    <x v="10"/>
    <x v="0"/>
    <x v="0"/>
    <s v="janvier2021"/>
    <x v="24"/>
    <n v="225"/>
    <n v="0.22500000000000001"/>
    <x v="1"/>
    <n v="0.3"/>
    <n v="0.7"/>
    <n v="0.16"/>
    <n v="10.656964800000001"/>
    <n v="6.7400000000000002E-2"/>
    <n v="10.474908317999999"/>
    <n v="21.131873118000001"/>
    <n v="175"/>
    <x v="6"/>
    <x v="0"/>
    <n v="986.75599999999997"/>
  </r>
  <r>
    <x v="10"/>
    <x v="0"/>
    <x v="0"/>
    <s v="janvier2021"/>
    <x v="25"/>
    <n v="450"/>
    <n v="0.45"/>
    <x v="2"/>
    <n v="0.3"/>
    <n v="0.7"/>
    <n v="0.16"/>
    <n v="17.593675200000003"/>
    <n v="6.7400000000000002E-2"/>
    <n v="17.293116582"/>
    <n v="34.886791782000003"/>
    <n v="288"/>
    <x v="4"/>
    <x v="0"/>
    <n v="814.52200000000005"/>
  </r>
  <r>
    <x v="10"/>
    <x v="0"/>
    <x v="0"/>
    <s v="janvier2021"/>
    <x v="26"/>
    <n v="1950"/>
    <n v="1.95"/>
    <x v="0"/>
    <n v="1"/>
    <n v="0"/>
    <n v="6.7400000000000002E-2"/>
    <n v="17.543933550000002"/>
    <n v="0"/>
    <n v="0"/>
    <n v="17.543933550000002"/>
    <n v="350"/>
    <x v="3"/>
    <x v="12"/>
    <n v="133.48500000000001"/>
  </r>
  <r>
    <x v="10"/>
    <x v="0"/>
    <x v="0"/>
    <s v="janvier2021"/>
    <x v="27"/>
    <n v="4950"/>
    <n v="4.95"/>
    <x v="5"/>
    <n v="1"/>
    <n v="0"/>
    <n v="0.16"/>
    <n v="105.72012000000002"/>
    <n v="0"/>
    <n v="0"/>
    <n v="105.72012000000002"/>
    <n v="518"/>
    <x v="3"/>
    <x v="12"/>
    <n v="133.48500000000001"/>
  </r>
  <r>
    <x v="11"/>
    <x v="0"/>
    <x v="0"/>
    <s v="janvier2021"/>
    <x v="28"/>
    <n v="250"/>
    <n v="0.25"/>
    <x v="3"/>
    <n v="1"/>
    <n v="0"/>
    <n v="0.24099999999999999"/>
    <n v="3.2520539999999998"/>
    <n v="0"/>
    <n v="0"/>
    <n v="3.2520539999999998"/>
    <n v="98"/>
    <x v="3"/>
    <x v="6"/>
    <n v="53.975999999999999"/>
  </r>
  <r>
    <x v="11"/>
    <x v="0"/>
    <x v="0"/>
    <s v="janvier2021"/>
    <x v="29"/>
    <n v="450"/>
    <n v="0.45"/>
    <x v="1"/>
    <n v="0.3"/>
    <n v="0.7"/>
    <n v="0.16"/>
    <n v="11.245219199999999"/>
    <n v="6.7400000000000002E-2"/>
    <n v="11.053113371999999"/>
    <n v="22.298332572"/>
    <n v="170"/>
    <x v="7"/>
    <x v="0"/>
    <n v="520.61199999999997"/>
  </r>
  <r>
    <x v="11"/>
    <x v="0"/>
    <x v="0"/>
    <s v="janvier2021"/>
    <x v="30"/>
    <n v="350"/>
    <n v="0.35"/>
    <x v="0"/>
    <n v="1"/>
    <n v="0"/>
    <n v="6.7400000000000002E-2"/>
    <n v="5.6137830700000002"/>
    <n v="0"/>
    <n v="0"/>
    <n v="5.6137830700000002"/>
    <n v="230"/>
    <x v="3"/>
    <x v="13"/>
    <n v="237.97300000000001"/>
  </r>
  <r>
    <x v="12"/>
    <x v="1"/>
    <x v="0"/>
    <s v="février2021"/>
    <x v="31"/>
    <n v="100"/>
    <n v="0.1"/>
    <x v="2"/>
    <n v="0.3"/>
    <n v="0.7"/>
    <n v="0.16"/>
    <n v="2.4165264"/>
    <n v="6.7400000000000002E-2"/>
    <n v="2.3752440739999998"/>
    <n v="4.7917704739999998"/>
    <n v="140"/>
    <x v="3"/>
    <x v="14"/>
    <n v="503.44299999999998"/>
  </r>
  <r>
    <x v="13"/>
    <x v="1"/>
    <x v="0"/>
    <s v="février2021"/>
    <x v="32"/>
    <n v="130"/>
    <n v="0.13"/>
    <x v="1"/>
    <n v="0.3"/>
    <n v="0.7"/>
    <n v="0.16"/>
    <n v="1.6608758400000001"/>
    <n v="6.7400000000000002E-2"/>
    <n v="1.6325025443999999"/>
    <n v="3.2933783844"/>
    <n v="92"/>
    <x v="3"/>
    <x v="0"/>
    <n v="266.166"/>
  </r>
  <r>
    <x v="13"/>
    <x v="1"/>
    <x v="0"/>
    <s v="février2021"/>
    <x v="33"/>
    <n v="60"/>
    <n v="0.06"/>
    <x v="2"/>
    <n v="0.3"/>
    <n v="0.7"/>
    <n v="0.16"/>
    <n v="0.73990367999999995"/>
    <n v="6.7400000000000002E-2"/>
    <n v="0.72726365879999999"/>
    <n v="1.4671673387999999"/>
    <n v="110"/>
    <x v="3"/>
    <x v="4"/>
    <n v="256.911"/>
  </r>
  <r>
    <x v="13"/>
    <x v="1"/>
    <x v="0"/>
    <s v="février2021"/>
    <x v="34"/>
    <n v="120"/>
    <n v="0.12"/>
    <x v="2"/>
    <n v="0.3"/>
    <n v="0.7"/>
    <n v="0.16"/>
    <n v="1.3444588799999999"/>
    <n v="6.7400000000000002E-2"/>
    <n v="1.3214910408"/>
    <n v="2.6659499208000002"/>
    <n v="130"/>
    <x v="8"/>
    <x v="15"/>
    <n v="233.41300000000001"/>
  </r>
  <r>
    <x v="14"/>
    <x v="1"/>
    <x v="0"/>
    <s v="février2021"/>
    <x v="35"/>
    <n v="420"/>
    <n v="0.42"/>
    <x v="1"/>
    <n v="0.3"/>
    <n v="0.7"/>
    <n v="0.16"/>
    <n v="5.0516726400000005"/>
    <n v="6.7400000000000002E-2"/>
    <n v="4.9653732324000002"/>
    <n v="10.017045872400001"/>
    <n v="92"/>
    <x v="3"/>
    <x v="16"/>
    <n v="250.57900000000001"/>
  </r>
  <r>
    <x v="14"/>
    <x v="1"/>
    <x v="0"/>
    <s v="février2021"/>
    <x v="36"/>
    <n v="420"/>
    <n v="0.42"/>
    <x v="1"/>
    <n v="0.3"/>
    <n v="0.7"/>
    <n v="0.16"/>
    <n v="5.6588716799999998"/>
    <n v="6.7400000000000002E-2"/>
    <n v="5.5621992887999996"/>
    <n v="11.221070968799999"/>
    <n v="100"/>
    <x v="3"/>
    <x v="17"/>
    <n v="280.69799999999998"/>
  </r>
  <r>
    <x v="14"/>
    <x v="1"/>
    <x v="0"/>
    <s v="février2021"/>
    <x v="37"/>
    <n v="50"/>
    <n v="0.05"/>
    <x v="1"/>
    <n v="0.3"/>
    <n v="0.7"/>
    <n v="0.16"/>
    <n v="0.99285120000000004"/>
    <n v="6.7400000000000002E-2"/>
    <n v="0.97588999199999993"/>
    <n v="1.968741192"/>
    <n v="102"/>
    <x v="3"/>
    <x v="18"/>
    <n v="413.68799999999999"/>
  </r>
  <r>
    <x v="14"/>
    <x v="1"/>
    <x v="0"/>
    <s v="février2021"/>
    <x v="38"/>
    <n v="200"/>
    <n v="0.2"/>
    <x v="1"/>
    <n v="0.3"/>
    <n v="0.7"/>
    <n v="0.16"/>
    <n v="2.6860704000000002"/>
    <n v="6.7400000000000002E-2"/>
    <n v="2.6401833639999999"/>
    <n v="5.3262537640000005"/>
    <n v="105"/>
    <x v="3"/>
    <x v="10"/>
    <n v="279.79899999999998"/>
  </r>
  <r>
    <x v="14"/>
    <x v="1"/>
    <x v="0"/>
    <s v="février2021"/>
    <x v="39"/>
    <n v="130"/>
    <n v="0.13"/>
    <x v="1"/>
    <n v="0.3"/>
    <n v="0.7"/>
    <n v="0.16"/>
    <n v="1.6031246400000001"/>
    <n v="6.7400000000000002E-2"/>
    <n v="1.5757379273999998"/>
    <n v="3.1788625673999999"/>
    <n v="110"/>
    <x v="3"/>
    <x v="4"/>
    <n v="256.911"/>
  </r>
  <r>
    <x v="14"/>
    <x v="1"/>
    <x v="0"/>
    <s v="février2021"/>
    <x v="40"/>
    <n v="330"/>
    <n v="0.33"/>
    <x v="1"/>
    <n v="0.3"/>
    <n v="0.7"/>
    <n v="0.16"/>
    <n v="3.9409444799999997"/>
    <n v="6.7400000000000002E-2"/>
    <n v="3.8736200117999999"/>
    <n v="7.8145644917999997"/>
    <n v="120"/>
    <x v="3"/>
    <x v="19"/>
    <n v="248.797"/>
  </r>
  <r>
    <x v="14"/>
    <x v="1"/>
    <x v="0"/>
    <s v="février2021"/>
    <x v="41"/>
    <n v="380"/>
    <n v="0.38"/>
    <x v="1"/>
    <n v="0.3"/>
    <n v="0.7"/>
    <n v="0.16"/>
    <n v="6.9394991999999993"/>
    <n v="6.7400000000000002E-2"/>
    <n v="6.820949422"/>
    <n v="13.760448621999998"/>
    <n v="121"/>
    <x v="3"/>
    <x v="20"/>
    <n v="380.45499999999998"/>
  </r>
  <r>
    <x v="14"/>
    <x v="1"/>
    <x v="0"/>
    <s v="février2021"/>
    <x v="42"/>
    <n v="370"/>
    <n v="0.37"/>
    <x v="2"/>
    <n v="0.3"/>
    <n v="0.7"/>
    <n v="0.16"/>
    <n v="9.6113567999999994"/>
    <n v="6.7400000000000002E-2"/>
    <n v="9.4471627879999982"/>
    <n v="19.058519587999996"/>
    <n v="123"/>
    <x v="3"/>
    <x v="8"/>
    <n v="541.17999999999995"/>
  </r>
  <r>
    <x v="14"/>
    <x v="1"/>
    <x v="0"/>
    <s v="février2021"/>
    <x v="43"/>
    <n v="420"/>
    <n v="0.42"/>
    <x v="2"/>
    <n v="0.3"/>
    <n v="0.7"/>
    <n v="0.16"/>
    <n v="10.398487680000001"/>
    <n v="6.7400000000000002E-2"/>
    <n v="10.220846848799999"/>
    <n v="20.6193345288"/>
    <n v="140"/>
    <x v="3"/>
    <x v="2"/>
    <n v="515.798"/>
  </r>
  <r>
    <x v="14"/>
    <x v="1"/>
    <x v="0"/>
    <s v="février2021"/>
    <x v="44"/>
    <n v="420"/>
    <n v="0.42"/>
    <x v="2"/>
    <n v="0.3"/>
    <n v="0.7"/>
    <n v="0.16"/>
    <n v="16.882246080000002"/>
    <n v="6.7400000000000002E-2"/>
    <n v="16.593841042800001"/>
    <n v="33.476087122800003"/>
    <n v="147"/>
    <x v="3"/>
    <x v="5"/>
    <n v="837.41300000000001"/>
  </r>
  <r>
    <x v="14"/>
    <x v="1"/>
    <x v="0"/>
    <s v="février2021"/>
    <x v="45"/>
    <n v="60"/>
    <n v="0.06"/>
    <x v="0"/>
    <n v="1"/>
    <n v="0"/>
    <n v="6.7400000000000002E-2"/>
    <n v="0.30228495599999999"/>
    <n v="0"/>
    <n v="0"/>
    <n v="0.30228495599999999"/>
    <n v="154"/>
    <x v="3"/>
    <x v="21"/>
    <n v="74.748999999999995"/>
  </r>
  <r>
    <x v="14"/>
    <x v="1"/>
    <x v="0"/>
    <s v="février2021"/>
    <x v="46"/>
    <n v="250"/>
    <n v="0.25"/>
    <x v="1"/>
    <n v="0.3"/>
    <n v="0.7"/>
    <n v="0.16"/>
    <n v="9.2917439999999996"/>
    <n v="6.7400000000000002E-2"/>
    <n v="9.1330100400000003"/>
    <n v="18.42475404"/>
    <n v="293"/>
    <x v="2"/>
    <x v="22"/>
    <n v="774.31200000000001"/>
  </r>
  <r>
    <x v="15"/>
    <x v="1"/>
    <x v="0"/>
    <s v="février2021"/>
    <x v="47"/>
    <n v="250"/>
    <n v="0.25"/>
    <x v="1"/>
    <n v="0.3"/>
    <n v="0.7"/>
    <n v="0.16"/>
    <n v="3.9675959999999999"/>
    <n v="6.7400000000000002E-2"/>
    <n v="3.8998162349999999"/>
    <n v="7.8674122349999998"/>
    <n v="182"/>
    <x v="2"/>
    <x v="10"/>
    <n v="330.63299999999998"/>
  </r>
  <r>
    <x v="16"/>
    <x v="1"/>
    <x v="0"/>
    <s v="février2021"/>
    <x v="48"/>
    <n v="40"/>
    <n v="0.04"/>
    <x v="1"/>
    <n v="0.3"/>
    <n v="0.7"/>
    <n v="0.16"/>
    <n v="0.99033216000000002"/>
    <n v="6.7400000000000002E-2"/>
    <n v="0.97341398560000003"/>
    <n v="1.9637461456"/>
    <n v="140"/>
    <x v="3"/>
    <x v="2"/>
    <n v="515.798"/>
  </r>
  <r>
    <x v="16"/>
    <x v="1"/>
    <x v="0"/>
    <s v="février2021"/>
    <x v="49"/>
    <n v="50"/>
    <n v="0.05"/>
    <x v="2"/>
    <n v="0.3"/>
    <n v="0.7"/>
    <n v="0.16"/>
    <n v="2.0097912"/>
    <n v="6.7400000000000002E-2"/>
    <n v="1.9754572669999999"/>
    <n v="3.9852484669999999"/>
    <n v="147"/>
    <x v="3"/>
    <x v="5"/>
    <n v="837.41300000000001"/>
  </r>
  <r>
    <x v="17"/>
    <x v="1"/>
    <x v="0"/>
    <s v="février2021"/>
    <x v="50"/>
    <n v="40"/>
    <n v="0.04"/>
    <x v="1"/>
    <n v="0.3"/>
    <n v="0.7"/>
    <n v="0.16"/>
    <n v="0.96661056000000001"/>
    <n v="6.7400000000000002E-2"/>
    <n v="0.95009762959999999"/>
    <n v="1.9167081896"/>
    <n v="140"/>
    <x v="3"/>
    <x v="14"/>
    <n v="503.44299999999998"/>
  </r>
  <r>
    <x v="18"/>
    <x v="1"/>
    <x v="0"/>
    <s v="février2021"/>
    <x v="51"/>
    <n v="450"/>
    <n v="0.45"/>
    <x v="2"/>
    <n v="0.3"/>
    <n v="0.7"/>
    <n v="0.16"/>
    <n v="17.593675200000003"/>
    <n v="6.7400000000000002E-2"/>
    <n v="17.293116582"/>
    <n v="34.886791782000003"/>
    <n v="340"/>
    <x v="4"/>
    <x v="0"/>
    <n v="814.52200000000005"/>
  </r>
  <r>
    <x v="19"/>
    <x v="1"/>
    <x v="0"/>
    <s v="février2021"/>
    <x v="52"/>
    <n v="250"/>
    <n v="0.25"/>
    <x v="3"/>
    <n v="1"/>
    <n v="0"/>
    <n v="0.24099999999999999"/>
    <n v="3.2520539999999998"/>
    <n v="0"/>
    <n v="0"/>
    <n v="3.2520539999999998"/>
    <n v="98"/>
    <x v="3"/>
    <x v="6"/>
    <n v="53.975999999999999"/>
  </r>
  <r>
    <x v="19"/>
    <x v="1"/>
    <x v="0"/>
    <s v="février2021"/>
    <x v="53"/>
    <n v="500"/>
    <n v="0.5"/>
    <x v="3"/>
    <n v="1"/>
    <n v="0"/>
    <n v="0.24099999999999999"/>
    <n v="6.5987005000000005"/>
    <n v="0"/>
    <n v="0"/>
    <n v="6.5987005000000005"/>
    <n v="123"/>
    <x v="2"/>
    <x v="1"/>
    <n v="54.761000000000003"/>
  </r>
  <r>
    <x v="19"/>
    <x v="1"/>
    <x v="0"/>
    <s v="février2021"/>
    <x v="54"/>
    <n v="1250"/>
    <n v="1.25"/>
    <x v="2"/>
    <n v="0.3"/>
    <n v="0.7"/>
    <n v="0.16"/>
    <n v="35.52084"/>
    <n v="6.7400000000000002E-2"/>
    <n v="34.914025649999999"/>
    <n v="70.434865650000006"/>
    <n v="308"/>
    <x v="2"/>
    <x v="8"/>
    <n v="592.01400000000001"/>
  </r>
  <r>
    <x v="20"/>
    <x v="1"/>
    <x v="0"/>
    <s v="février2021"/>
    <x v="55"/>
    <n v="150"/>
    <n v="0.15"/>
    <x v="6"/>
    <n v="1"/>
    <n v="0"/>
    <n v="0.378"/>
    <n v="4.9932287999999998"/>
    <n v="0"/>
    <n v="0"/>
    <n v="4.9932287999999998"/>
    <n v="237.5"/>
    <x v="3"/>
    <x v="23"/>
    <n v="88.063999999999993"/>
  </r>
  <r>
    <x v="21"/>
    <x v="1"/>
    <x v="0"/>
    <s v="février2021"/>
    <x v="56"/>
    <n v="868"/>
    <n v="0.86799999999999999"/>
    <x v="0"/>
    <n v="1"/>
    <n v="0"/>
    <n v="6.7400000000000002E-2"/>
    <n v="31.602551091999995"/>
    <n v="0"/>
    <n v="0"/>
    <n v="31.602551091999995"/>
    <n v="358"/>
    <x v="0"/>
    <x v="0"/>
    <n v="540.18499999999995"/>
  </r>
  <r>
    <x v="22"/>
    <x v="1"/>
    <x v="0"/>
    <s v="février2021"/>
    <x v="57"/>
    <n v="180"/>
    <n v="0.18"/>
    <x v="1"/>
    <n v="0.3"/>
    <n v="0.7"/>
    <n v="0.16"/>
    <n v="2.16500256"/>
    <n v="6.7400000000000002E-2"/>
    <n v="2.1280170995999996"/>
    <n v="4.2930196595999996"/>
    <n v="92"/>
    <x v="3"/>
    <x v="16"/>
    <n v="250.57900000000001"/>
  </r>
  <r>
    <x v="22"/>
    <x v="1"/>
    <x v="0"/>
    <s v="février2021"/>
    <x v="58"/>
    <n v="200"/>
    <n v="0.2"/>
    <x v="1"/>
    <n v="0.3"/>
    <n v="0.7"/>
    <n v="0.16"/>
    <n v="2.3884512"/>
    <n v="6.7400000000000002E-2"/>
    <n v="2.3476484919999998"/>
    <n v="4.7360996919999998"/>
    <n v="92"/>
    <x v="3"/>
    <x v="19"/>
    <n v="248.797"/>
  </r>
  <r>
    <x v="22"/>
    <x v="1"/>
    <x v="0"/>
    <s v="février2021"/>
    <x v="59"/>
    <n v="180"/>
    <n v="0.18"/>
    <x v="1"/>
    <n v="0.3"/>
    <n v="0.7"/>
    <n v="0.16"/>
    <n v="2.4252307200000001"/>
    <n v="6.7400000000000002E-2"/>
    <n v="2.3837996951999996"/>
    <n v="4.8090304151999996"/>
    <n v="100"/>
    <x v="3"/>
    <x v="17"/>
    <n v="280.69799999999998"/>
  </r>
  <r>
    <x v="22"/>
    <x v="1"/>
    <x v="0"/>
    <s v="février2021"/>
    <x v="60"/>
    <n v="140"/>
    <n v="0.14000000000000001"/>
    <x v="1"/>
    <n v="0.3"/>
    <n v="0.7"/>
    <n v="0.16"/>
    <n v="2.5566576000000003"/>
    <n v="6.7400000000000002E-2"/>
    <n v="2.512981366"/>
    <n v="5.0696389660000003"/>
    <n v="123"/>
    <x v="3"/>
    <x v="20"/>
    <n v="380.45499999999998"/>
  </r>
  <r>
    <x v="22"/>
    <x v="1"/>
    <x v="0"/>
    <s v="février2021"/>
    <x v="61"/>
    <n v="140"/>
    <n v="0.14000000000000001"/>
    <x v="2"/>
    <n v="0.3"/>
    <n v="0.7"/>
    <n v="0.16"/>
    <n v="3.6367296000000002"/>
    <n v="6.7400000000000002E-2"/>
    <n v="3.5746021359999998"/>
    <n v="7.211331736"/>
    <n v="123"/>
    <x v="3"/>
    <x v="8"/>
    <n v="541.17999999999995"/>
  </r>
  <r>
    <x v="22"/>
    <x v="1"/>
    <x v="0"/>
    <s v="février2021"/>
    <x v="62"/>
    <n v="1000"/>
    <n v="1"/>
    <x v="4"/>
    <n v="1"/>
    <n v="0"/>
    <n v="1.1599999999999999"/>
    <n v="67.892479999999992"/>
    <n v="0"/>
    <n v="0"/>
    <n v="67.892479999999992"/>
    <n v="123"/>
    <x v="9"/>
    <x v="24"/>
    <n v="58.527999999999999"/>
  </r>
  <r>
    <x v="22"/>
    <x v="1"/>
    <x v="0"/>
    <s v="février2021"/>
    <x v="63"/>
    <n v="50"/>
    <n v="0.05"/>
    <x v="1"/>
    <n v="0.3"/>
    <n v="0.7"/>
    <n v="0.16"/>
    <n v="1.2082632"/>
    <n v="6.7400000000000002E-2"/>
    <n v="1.1876220369999999"/>
    <n v="2.3958852369999999"/>
    <n v="140"/>
    <x v="3"/>
    <x v="14"/>
    <n v="503.44299999999998"/>
  </r>
  <r>
    <x v="22"/>
    <x v="1"/>
    <x v="0"/>
    <s v="février2021"/>
    <x v="64"/>
    <n v="180"/>
    <n v="0.18"/>
    <x v="1"/>
    <n v="0.3"/>
    <n v="0.7"/>
    <n v="0.16"/>
    <n v="4.4564947200000002"/>
    <n v="6.7400000000000002E-2"/>
    <n v="4.3803629351999991"/>
    <n v="8.8368576551999993"/>
    <n v="140"/>
    <x v="3"/>
    <x v="2"/>
    <n v="515.798"/>
  </r>
  <r>
    <x v="22"/>
    <x v="1"/>
    <x v="0"/>
    <s v="février2021"/>
    <x v="65"/>
    <n v="180"/>
    <n v="0.18"/>
    <x v="2"/>
    <n v="0.3"/>
    <n v="0.7"/>
    <n v="0.16"/>
    <n v="7.2352483200000002"/>
    <n v="6.7400000000000002E-2"/>
    <n v="7.1116461611999995"/>
    <n v="14.3468944812"/>
    <n v="210"/>
    <x v="3"/>
    <x v="5"/>
    <n v="837.41300000000001"/>
  </r>
  <r>
    <x v="22"/>
    <x v="1"/>
    <x v="0"/>
    <s v="février2021"/>
    <x v="66"/>
    <n v="250"/>
    <n v="0.25"/>
    <x v="1"/>
    <n v="0.3"/>
    <n v="0.7"/>
    <n v="0.16"/>
    <n v="6.0229560000000006"/>
    <n v="6.7400000000000002E-2"/>
    <n v="5.9200638349999997"/>
    <n v="11.943019835000001"/>
    <n v="332"/>
    <x v="2"/>
    <x v="2"/>
    <n v="501.91300000000001"/>
  </r>
  <r>
    <x v="23"/>
    <x v="1"/>
    <x v="0"/>
    <s v="février2021"/>
    <x v="67"/>
    <n v="440"/>
    <n v="0.44"/>
    <x v="1"/>
    <n v="0.3"/>
    <n v="0.7"/>
    <n v="0.16"/>
    <n v="5.2989657599999997"/>
    <n v="6.7400000000000002E-2"/>
    <n v="5.2084417615999996"/>
    <n v="10.507407521599999"/>
    <n v="140"/>
    <x v="5"/>
    <x v="0"/>
    <n v="250.898"/>
  </r>
  <r>
    <x v="24"/>
    <x v="1"/>
    <x v="0"/>
    <s v="février2021"/>
    <x v="68"/>
    <n v="70"/>
    <n v="7.0000000000000007E-2"/>
    <x v="0"/>
    <n v="1"/>
    <n v="0"/>
    <n v="6.7400000000000002E-2"/>
    <n v="0.35266578200000004"/>
    <n v="0"/>
    <n v="0"/>
    <n v="0.35266578200000004"/>
    <n v="154"/>
    <x v="3"/>
    <x v="21"/>
    <n v="74.748999999999995"/>
  </r>
  <r>
    <x v="25"/>
    <x v="1"/>
    <x v="0"/>
    <s v="février2021"/>
    <x v="69"/>
    <n v="160"/>
    <n v="0.16"/>
    <x v="1"/>
    <n v="0.3"/>
    <n v="0.7"/>
    <n v="0.16"/>
    <n v="1.91076096"/>
    <n v="6.7400000000000002E-2"/>
    <n v="1.8781187936000001"/>
    <n v="3.7888797535999998"/>
    <n v="92"/>
    <x v="3"/>
    <x v="19"/>
    <n v="248.797"/>
  </r>
  <r>
    <x v="25"/>
    <x v="1"/>
    <x v="0"/>
    <s v="février2021"/>
    <x v="70"/>
    <n v="180"/>
    <n v="0.18"/>
    <x v="1"/>
    <n v="0.3"/>
    <n v="0.7"/>
    <n v="0.16"/>
    <n v="2.4174633599999997"/>
    <n v="6.7400000000000002E-2"/>
    <n v="2.3761650275999995"/>
    <n v="4.7936283875999992"/>
    <n v="105"/>
    <x v="3"/>
    <x v="10"/>
    <n v="279.79899999999998"/>
  </r>
  <r>
    <x v="25"/>
    <x v="1"/>
    <x v="0"/>
    <s v="février2021"/>
    <x v="71"/>
    <n v="140"/>
    <n v="0.14000000000000001"/>
    <x v="1"/>
    <n v="0.3"/>
    <n v="0.7"/>
    <n v="0.16"/>
    <n v="1.7264419200000003"/>
    <n v="6.7400000000000002E-2"/>
    <n v="1.6969485372000002"/>
    <n v="3.4233904572000005"/>
    <n v="110"/>
    <x v="3"/>
    <x v="4"/>
    <n v="256.911"/>
  </r>
  <r>
    <x v="25"/>
    <x v="1"/>
    <x v="0"/>
    <s v="février2021"/>
    <x v="72"/>
    <n v="1000"/>
    <n v="1"/>
    <x v="1"/>
    <n v="0.3"/>
    <n v="0.7"/>
    <n v="0.16"/>
    <n v="24.790752000000001"/>
    <n v="6.7400000000000002E-2"/>
    <n v="24.367243320000004"/>
    <n v="49.157995320000005"/>
    <n v="190"/>
    <x v="0"/>
    <x v="1"/>
    <n v="516.47400000000005"/>
  </r>
  <r>
    <x v="26"/>
    <x v="2"/>
    <x v="0"/>
    <s v="mars2021"/>
    <x v="73"/>
    <n v="250"/>
    <n v="0.25"/>
    <x v="2"/>
    <n v="0.3"/>
    <n v="0.7"/>
    <n v="0.16"/>
    <n v="3.003336"/>
    <n v="6.7400000000000002E-2"/>
    <n v="2.95202901"/>
    <n v="5.9553650099999995"/>
    <n v="135.77000000000001"/>
    <x v="10"/>
    <x v="1"/>
    <n v="250.27799999999999"/>
  </r>
  <r>
    <x v="26"/>
    <x v="2"/>
    <x v="0"/>
    <s v="mars2021"/>
    <x v="74"/>
    <n v="1000"/>
    <n v="1"/>
    <x v="3"/>
    <n v="1"/>
    <n v="0"/>
    <n v="0.24099999999999999"/>
    <n v="64.191073000000003"/>
    <n v="0"/>
    <n v="0"/>
    <n v="64.191073000000003"/>
    <n v="637.20000000000005"/>
    <x v="8"/>
    <x v="1"/>
    <n v="266.35300000000001"/>
  </r>
  <r>
    <x v="27"/>
    <x v="2"/>
    <x v="0"/>
    <s v="mars2021"/>
    <x v="75"/>
    <n v="250"/>
    <n v="0.25"/>
    <x v="2"/>
    <n v="0.3"/>
    <n v="0.7"/>
    <n v="0.16"/>
    <n v="3.3377399999999997"/>
    <n v="6.7400000000000002E-2"/>
    <n v="3.2807202749999997"/>
    <n v="6.6184602749999994"/>
    <n v="90"/>
    <x v="7"/>
    <x v="1"/>
    <n v="278.14499999999998"/>
  </r>
  <r>
    <x v="27"/>
    <x v="2"/>
    <x v="0"/>
    <s v="mars2021"/>
    <x v="76"/>
    <n v="200"/>
    <n v="0.2"/>
    <x v="2"/>
    <n v="0.3"/>
    <n v="0.7"/>
    <n v="0.16"/>
    <n v="2.3884512"/>
    <n v="6.7400000000000002E-2"/>
    <n v="2.3476484919999998"/>
    <n v="4.7360996919999998"/>
    <n v="120"/>
    <x v="3"/>
    <x v="19"/>
    <n v="248.797"/>
  </r>
  <r>
    <x v="28"/>
    <x v="2"/>
    <x v="0"/>
    <s v="mars2021"/>
    <x v="77"/>
    <n v="200"/>
    <n v="0.2"/>
    <x v="2"/>
    <n v="0.3"/>
    <n v="0.7"/>
    <n v="0.16"/>
    <n v="2.4026688000000003"/>
    <n v="6.7400000000000002E-2"/>
    <n v="2.3616232079999997"/>
    <n v="4.764292008"/>
    <n v="115"/>
    <x v="10"/>
    <x v="1"/>
    <n v="250.27799999999999"/>
  </r>
  <r>
    <x v="28"/>
    <x v="2"/>
    <x v="0"/>
    <s v="mars2021"/>
    <x v="78"/>
    <n v="250"/>
    <n v="0.25"/>
    <x v="2"/>
    <n v="0.3"/>
    <n v="0.7"/>
    <n v="0.16"/>
    <n v="3.3419640000000004"/>
    <n v="6.7400000000000002E-2"/>
    <n v="3.2848721150000002"/>
    <n v="6.6268361150000006"/>
    <n v="158"/>
    <x v="11"/>
    <x v="1"/>
    <n v="278.49700000000001"/>
  </r>
  <r>
    <x v="29"/>
    <x v="2"/>
    <x v="0"/>
    <s v="mars2021"/>
    <x v="79"/>
    <n v="250"/>
    <n v="0.25"/>
    <x v="3"/>
    <n v="1"/>
    <n v="0"/>
    <n v="0.24099999999999999"/>
    <n v="3.2520539999999998"/>
    <n v="0"/>
    <n v="0"/>
    <n v="3.2520539999999998"/>
    <n v="98"/>
    <x v="3"/>
    <x v="6"/>
    <n v="53.975999999999999"/>
  </r>
  <r>
    <x v="29"/>
    <x v="2"/>
    <x v="0"/>
    <s v="mars2021"/>
    <x v="80"/>
    <n v="200"/>
    <n v="0.2"/>
    <x v="2"/>
    <n v="0.3"/>
    <n v="0.7"/>
    <n v="0.16"/>
    <n v="3.6536256000000003"/>
    <n v="6.7400000000000002E-2"/>
    <n v="3.5912094960000003"/>
    <n v="7.244835096000001"/>
    <n v="110.58"/>
    <x v="12"/>
    <x v="1"/>
    <n v="380.58600000000001"/>
  </r>
  <r>
    <x v="29"/>
    <x v="2"/>
    <x v="0"/>
    <s v="mars2021"/>
    <x v="81"/>
    <n v="200"/>
    <n v="0.2"/>
    <x v="1"/>
    <n v="0.3"/>
    <n v="0.7"/>
    <n v="0.16"/>
    <n v="4.958150400000001"/>
    <n v="6.7400000000000002E-2"/>
    <n v="4.8734486640000005"/>
    <n v="9.8315990640000024"/>
    <n v="190"/>
    <x v="0"/>
    <x v="1"/>
    <n v="516.47400000000005"/>
  </r>
  <r>
    <x v="30"/>
    <x v="2"/>
    <x v="0"/>
    <s v="mars2021"/>
    <x v="82"/>
    <n v="120"/>
    <n v="0.12"/>
    <x v="2"/>
    <n v="0.3"/>
    <n v="0.7"/>
    <n v="0.16"/>
    <n v="3.1191897599999994"/>
    <n v="6.7400000000000002E-2"/>
    <n v="3.0659036015999996"/>
    <n v="6.185093361599999"/>
    <n v="115"/>
    <x v="4"/>
    <x v="1"/>
    <n v="541.52599999999995"/>
  </r>
  <r>
    <x v="30"/>
    <x v="2"/>
    <x v="0"/>
    <s v="mars2021"/>
    <x v="83"/>
    <n v="400"/>
    <n v="0.4"/>
    <x v="3"/>
    <n v="1"/>
    <n v="0"/>
    <n v="0.24099999999999999"/>
    <n v="25.676429200000001"/>
    <n v="0"/>
    <n v="0"/>
    <n v="25.676429200000001"/>
    <n v="637.20000000000005"/>
    <x v="8"/>
    <x v="1"/>
    <n v="266.35300000000001"/>
  </r>
  <r>
    <x v="31"/>
    <x v="2"/>
    <x v="0"/>
    <s v="mars2021"/>
    <x v="84"/>
    <n v="120"/>
    <n v="0.12"/>
    <x v="2"/>
    <n v="0.3"/>
    <n v="0.7"/>
    <n v="0.16"/>
    <n v="1.4510534399999999"/>
    <n v="6.7400000000000002E-2"/>
    <n v="1.4262646104000001"/>
    <n v="2.8773180504"/>
    <n v="115"/>
    <x v="13"/>
    <x v="1"/>
    <n v="251.91900000000001"/>
  </r>
  <r>
    <x v="31"/>
    <x v="2"/>
    <x v="0"/>
    <s v="mars2021"/>
    <x v="85"/>
    <n v="500"/>
    <n v="0.5"/>
    <x v="3"/>
    <n v="1"/>
    <n v="0"/>
    <n v="0.24099999999999999"/>
    <n v="6.5987005000000005"/>
    <n v="0"/>
    <n v="0"/>
    <n v="6.5987005000000005"/>
    <n v="123"/>
    <x v="2"/>
    <x v="1"/>
    <n v="54.761000000000003"/>
  </r>
  <r>
    <x v="31"/>
    <x v="2"/>
    <x v="0"/>
    <s v="mars2021"/>
    <x v="86"/>
    <n v="200"/>
    <n v="0.2"/>
    <x v="2"/>
    <n v="0.3"/>
    <n v="0.7"/>
    <n v="0.16"/>
    <n v="2.6735712000000005"/>
    <n v="6.7400000000000002E-2"/>
    <n v="2.6278976919999999"/>
    <n v="5.3014688920000008"/>
    <n v="158"/>
    <x v="11"/>
    <x v="1"/>
    <n v="278.49700000000001"/>
  </r>
  <r>
    <x v="32"/>
    <x v="2"/>
    <x v="0"/>
    <s v="mars2021"/>
    <x v="87"/>
    <n v="160"/>
    <n v="0.16"/>
    <x v="1"/>
    <n v="0.3"/>
    <n v="0.7"/>
    <n v="0.16"/>
    <n v="1.9244467200000002"/>
    <n v="6.7400000000000002E-2"/>
    <n v="1.8915707552000003"/>
    <n v="3.8160174752000007"/>
    <n v="92"/>
    <x v="3"/>
    <x v="16"/>
    <n v="250.57900000000001"/>
  </r>
  <r>
    <x v="32"/>
    <x v="2"/>
    <x v="0"/>
    <s v="mars2021"/>
    <x v="88"/>
    <n v="160"/>
    <n v="0.16"/>
    <x v="1"/>
    <n v="0.3"/>
    <n v="0.7"/>
    <n v="0.16"/>
    <n v="2.1488563199999997"/>
    <n v="6.7400000000000002E-2"/>
    <n v="2.1121466912"/>
    <n v="4.2610030111999997"/>
    <n v="105"/>
    <x v="3"/>
    <x v="10"/>
    <n v="279.79899999999998"/>
  </r>
  <r>
    <x v="32"/>
    <x v="2"/>
    <x v="0"/>
    <s v="mars2021"/>
    <x v="89"/>
    <n v="120"/>
    <n v="0.12"/>
    <x v="1"/>
    <n v="0.3"/>
    <n v="0.7"/>
    <n v="0.16"/>
    <n v="1.4798073599999999"/>
    <n v="6.7400000000000002E-2"/>
    <n v="1.4545273176"/>
    <n v="2.9343346775999999"/>
    <n v="110"/>
    <x v="3"/>
    <x v="4"/>
    <n v="256.911"/>
  </r>
  <r>
    <x v="32"/>
    <x v="2"/>
    <x v="0"/>
    <s v="mars2021"/>
    <x v="90"/>
    <n v="200"/>
    <n v="0.2"/>
    <x v="2"/>
    <n v="0.3"/>
    <n v="0.7"/>
    <n v="0.16"/>
    <n v="2.4026688000000003"/>
    <n v="6.7400000000000002E-2"/>
    <n v="2.3616232079999997"/>
    <n v="4.764292008"/>
    <n v="115"/>
    <x v="10"/>
    <x v="1"/>
    <n v="250.27799999999999"/>
  </r>
  <r>
    <x v="32"/>
    <x v="2"/>
    <x v="0"/>
    <s v="mars2021"/>
    <x v="91"/>
    <n v="250"/>
    <n v="0.25"/>
    <x v="1"/>
    <n v="0.3"/>
    <n v="0.7"/>
    <n v="0.16"/>
    <n v="2.5088279999999998"/>
    <n v="6.7400000000000002E-2"/>
    <n v="2.4659688549999998"/>
    <n v="4.9747968549999992"/>
    <n v="120"/>
    <x v="2"/>
    <x v="25"/>
    <n v="209.06899999999999"/>
  </r>
  <r>
    <x v="32"/>
    <x v="2"/>
    <x v="0"/>
    <s v="mars2021"/>
    <x v="92"/>
    <n v="140"/>
    <n v="0.14000000000000001"/>
    <x v="2"/>
    <n v="0.3"/>
    <n v="0.7"/>
    <n v="0.16"/>
    <n v="3.6367296000000002"/>
    <n v="6.7400000000000002E-2"/>
    <n v="3.5746021359999998"/>
    <n v="7.211331736"/>
    <n v="123"/>
    <x v="3"/>
    <x v="8"/>
    <n v="541.17999999999995"/>
  </r>
  <r>
    <x v="33"/>
    <x v="2"/>
    <x v="0"/>
    <s v="mars2021"/>
    <x v="93"/>
    <n v="400"/>
    <n v="0.4"/>
    <x v="1"/>
    <n v="0.3"/>
    <n v="0.7"/>
    <n v="0.16"/>
    <n v="9.9163008000000019"/>
    <n v="6.7400000000000002E-2"/>
    <n v="9.7468973280000011"/>
    <n v="19.663198128000005"/>
    <n v="190"/>
    <x v="0"/>
    <x v="1"/>
    <n v="516.47400000000005"/>
  </r>
  <r>
    <x v="34"/>
    <x v="2"/>
    <x v="0"/>
    <s v="mars2021"/>
    <x v="94"/>
    <n v="200"/>
    <n v="0.2"/>
    <x v="2"/>
    <n v="0.3"/>
    <n v="0.7"/>
    <n v="0.16"/>
    <n v="2.6701920000000001"/>
    <n v="6.7400000000000002E-2"/>
    <n v="2.6245762199999998"/>
    <n v="5.2947682199999999"/>
    <n v="90"/>
    <x v="7"/>
    <x v="1"/>
    <n v="278.14499999999998"/>
  </r>
  <r>
    <x v="34"/>
    <x v="2"/>
    <x v="0"/>
    <s v="mars2021"/>
    <x v="95"/>
    <n v="250"/>
    <n v="0.25"/>
    <x v="4"/>
    <n v="1"/>
    <n v="0"/>
    <n v="1.1599999999999999"/>
    <s v="0"/>
    <n v="0"/>
    <s v="0"/>
    <n v="0"/>
    <s v="2098.00"/>
    <x v="2"/>
    <x v="26"/>
    <s v="6,871.60"/>
  </r>
  <r>
    <x v="34"/>
    <x v="2"/>
    <x v="0"/>
    <s v="mars2021"/>
    <x v="96"/>
    <n v="250"/>
    <n v="0.25"/>
    <x v="0"/>
    <n v="1"/>
    <n v="0"/>
    <n v="6.7400000000000002E-2"/>
    <n v="0.64695575000000005"/>
    <n v="0"/>
    <n v="0"/>
    <n v="0.64695575000000005"/>
    <n v="98"/>
    <x v="2"/>
    <x v="27"/>
    <n v="38.395000000000003"/>
  </r>
  <r>
    <x v="34"/>
    <x v="2"/>
    <x v="0"/>
    <s v="mars2021"/>
    <x v="97"/>
    <n v="250"/>
    <n v="0.25"/>
    <x v="2"/>
    <n v="0.3"/>
    <n v="0.7"/>
    <n v="0.16"/>
    <n v="6.4983119999999994"/>
    <n v="6.7400000000000002E-2"/>
    <n v="6.3872991699999995"/>
    <n v="12.885611169999999"/>
    <n v="115"/>
    <x v="4"/>
    <x v="1"/>
    <n v="541.52599999999995"/>
  </r>
  <r>
    <x v="35"/>
    <x v="2"/>
    <x v="0"/>
    <s v="mars2021"/>
    <x v="98"/>
    <n v="90"/>
    <n v="0.09"/>
    <x v="1"/>
    <n v="0.3"/>
    <n v="0.7"/>
    <n v="0.16"/>
    <n v="2.2282473600000001"/>
    <n v="6.7400000000000002E-2"/>
    <n v="2.1901814675999995"/>
    <n v="4.4184288275999997"/>
    <n v="140"/>
    <x v="3"/>
    <x v="2"/>
    <n v="515.798"/>
  </r>
  <r>
    <x v="36"/>
    <x v="2"/>
    <x v="0"/>
    <s v="mars2021"/>
    <x v="99"/>
    <n v="120"/>
    <n v="0.12"/>
    <x v="1"/>
    <n v="0.3"/>
    <n v="0.7"/>
    <n v="0.16"/>
    <n v="1.44333504"/>
    <n v="6.7400000000000002E-2"/>
    <n v="1.4186780664"/>
    <n v="2.8620131064000001"/>
    <n v="92"/>
    <x v="3"/>
    <x v="16"/>
    <n v="250.57900000000001"/>
  </r>
  <r>
    <x v="36"/>
    <x v="2"/>
    <x v="0"/>
    <s v="mars2021"/>
    <x v="100"/>
    <n v="100"/>
    <n v="0.1"/>
    <x v="1"/>
    <n v="0.3"/>
    <n v="0.7"/>
    <n v="0.16"/>
    <n v="1.2200400000000002"/>
    <n v="6.7400000000000002E-2"/>
    <n v="1.1991976500000001"/>
    <n v="2.4192376500000004"/>
    <n v="95"/>
    <x v="3"/>
    <x v="25"/>
    <n v="254.17500000000001"/>
  </r>
  <r>
    <x v="36"/>
    <x v="2"/>
    <x v="0"/>
    <s v="mars2021"/>
    <x v="101"/>
    <n v="250"/>
    <n v="0.25"/>
    <x v="3"/>
    <n v="1"/>
    <n v="0"/>
    <n v="0.24099999999999999"/>
    <n v="3.2520539999999998"/>
    <n v="0"/>
    <n v="0"/>
    <n v="3.2520539999999998"/>
    <n v="98"/>
    <x v="3"/>
    <x v="6"/>
    <n v="53.975999999999999"/>
  </r>
  <r>
    <x v="36"/>
    <x v="2"/>
    <x v="0"/>
    <s v="mars2021"/>
    <x v="102"/>
    <n v="160"/>
    <n v="0.16"/>
    <x v="1"/>
    <n v="0.3"/>
    <n v="0.7"/>
    <n v="0.16"/>
    <n v="2.15576064"/>
    <n v="6.7400000000000002E-2"/>
    <n v="2.1189330624"/>
    <n v="4.2746937024000005"/>
    <n v="100"/>
    <x v="3"/>
    <x v="17"/>
    <n v="280.69799999999998"/>
  </r>
  <r>
    <x v="36"/>
    <x v="2"/>
    <x v="0"/>
    <s v="mars2021"/>
    <x v="103"/>
    <n v="100"/>
    <n v="0.1"/>
    <x v="1"/>
    <n v="0.3"/>
    <n v="0.7"/>
    <n v="0.16"/>
    <n v="1.2331728000000002"/>
    <n v="6.7400000000000002E-2"/>
    <n v="1.212106098"/>
    <n v="2.4452788980000002"/>
    <n v="110"/>
    <x v="3"/>
    <x v="4"/>
    <n v="256.911"/>
  </r>
  <r>
    <x v="36"/>
    <x v="2"/>
    <x v="0"/>
    <s v="mars2021"/>
    <x v="104"/>
    <n v="200"/>
    <n v="0.2"/>
    <x v="2"/>
    <n v="0.3"/>
    <n v="0.7"/>
    <n v="0.16"/>
    <n v="2.4026688000000003"/>
    <n v="6.7400000000000002E-2"/>
    <n v="2.3616232079999997"/>
    <n v="4.764292008"/>
    <n v="115"/>
    <x v="10"/>
    <x v="1"/>
    <n v="250.27799999999999"/>
  </r>
  <r>
    <x v="37"/>
    <x v="2"/>
    <x v="0"/>
    <s v="mars2021"/>
    <x v="105"/>
    <n v="200"/>
    <n v="0.2"/>
    <x v="2"/>
    <n v="0.3"/>
    <n v="0.7"/>
    <n v="0.16"/>
    <n v="2.4184224000000003"/>
    <n v="6.7400000000000002E-2"/>
    <n v="2.3771076840000003"/>
    <n v="4.795530084000001"/>
    <n v="115"/>
    <x v="13"/>
    <x v="1"/>
    <n v="251.91900000000001"/>
  </r>
  <r>
    <x v="38"/>
    <x v="2"/>
    <x v="0"/>
    <s v="mars2021"/>
    <x v="106"/>
    <n v="200"/>
    <n v="0.2"/>
    <x v="1"/>
    <n v="0.3"/>
    <n v="0.7"/>
    <n v="0.16"/>
    <n v="2.5551936000000004"/>
    <n v="6.7400000000000002E-2"/>
    <n v="2.511542376"/>
    <n v="5.0667359760000004"/>
    <n v="92"/>
    <x v="3"/>
    <x v="0"/>
    <n v="266.166"/>
  </r>
  <r>
    <x v="38"/>
    <x v="2"/>
    <x v="0"/>
    <s v="mars2021"/>
    <x v="107"/>
    <n v="400"/>
    <n v="0.4"/>
    <x v="1"/>
    <n v="0.3"/>
    <n v="0.7"/>
    <n v="0.16"/>
    <n v="9.9163008000000019"/>
    <n v="6.7400000000000002E-2"/>
    <n v="9.7468973280000011"/>
    <n v="19.663198128000005"/>
    <n v="190"/>
    <x v="0"/>
    <x v="1"/>
    <n v="516.47400000000005"/>
  </r>
  <r>
    <x v="38"/>
    <x v="2"/>
    <x v="0"/>
    <s v="mars2021"/>
    <x v="108"/>
    <n v="1600"/>
    <n v="1.6"/>
    <x v="0"/>
    <n v="1"/>
    <n v="0"/>
    <n v="6.7400000000000002E-2"/>
    <n v="28.723507520000002"/>
    <n v="0"/>
    <n v="0"/>
    <n v="28.723507520000002"/>
    <n v="205"/>
    <x v="8"/>
    <x v="1"/>
    <n v="266.35300000000001"/>
  </r>
  <r>
    <x v="39"/>
    <x v="2"/>
    <x v="0"/>
    <s v="mars2021"/>
    <x v="109"/>
    <n v="200"/>
    <n v="0.2"/>
    <x v="2"/>
    <n v="0.3"/>
    <n v="0.7"/>
    <n v="0.16"/>
    <n v="3.6536256000000003"/>
    <n v="6.7400000000000002E-2"/>
    <n v="3.5912094960000003"/>
    <n v="7.244835096000001"/>
    <n v="110.58"/>
    <x v="12"/>
    <x v="1"/>
    <n v="380.58600000000001"/>
  </r>
  <r>
    <x v="39"/>
    <x v="2"/>
    <x v="0"/>
    <s v="mars2021"/>
    <x v="110"/>
    <n v="500"/>
    <n v="0.5"/>
    <x v="3"/>
    <n v="1"/>
    <n v="0"/>
    <n v="0.24099999999999999"/>
    <n v="6.5987005000000005"/>
    <n v="0"/>
    <n v="0"/>
    <n v="6.5987005000000005"/>
    <n v="123"/>
    <x v="2"/>
    <x v="1"/>
    <n v="54.761000000000003"/>
  </r>
  <r>
    <x v="39"/>
    <x v="2"/>
    <x v="0"/>
    <s v="mars2021"/>
    <x v="111"/>
    <n v="600"/>
    <n v="0.6"/>
    <x v="2"/>
    <n v="0.3"/>
    <n v="0.7"/>
    <n v="0.16"/>
    <n v="8.0207136000000006"/>
    <n v="6.7400000000000002E-2"/>
    <n v="7.8836930760000001"/>
    <n v="15.904406676000001"/>
    <n v="158"/>
    <x v="11"/>
    <x v="1"/>
    <n v="278.49700000000001"/>
  </r>
  <r>
    <x v="40"/>
    <x v="2"/>
    <x v="0"/>
    <s v="mars2021"/>
    <x v="112"/>
    <n v="100"/>
    <n v="0.1"/>
    <x v="1"/>
    <n v="0.3"/>
    <n v="0.7"/>
    <n v="0.16"/>
    <n v="1.2775968000000002"/>
    <n v="6.7400000000000002E-2"/>
    <n v="1.255771188"/>
    <n v="2.5333679880000002"/>
    <n v="373.8"/>
    <x v="3"/>
    <x v="0"/>
    <n v="266.166"/>
  </r>
  <r>
    <x v="41"/>
    <x v="2"/>
    <x v="0"/>
    <s v="mars2021"/>
    <x v="113"/>
    <n v="200"/>
    <n v="0.2"/>
    <x v="2"/>
    <n v="0.3"/>
    <n v="0.7"/>
    <n v="0.16"/>
    <n v="2.6701920000000001"/>
    <n v="6.7400000000000002E-2"/>
    <n v="2.6245762199999998"/>
    <n v="5.2947682199999999"/>
    <n v="90"/>
    <x v="7"/>
    <x v="1"/>
    <n v="278.14499999999998"/>
  </r>
  <r>
    <x v="41"/>
    <x v="2"/>
    <x v="0"/>
    <s v="mars2021"/>
    <x v="114"/>
    <n v="200"/>
    <n v="0.2"/>
    <x v="2"/>
    <n v="0.3"/>
    <n v="0.7"/>
    <n v="0.16"/>
    <n v="2.4026688000000003"/>
    <n v="6.7400000000000002E-2"/>
    <n v="2.3616232079999997"/>
    <n v="4.764292008"/>
    <n v="115"/>
    <x v="10"/>
    <x v="1"/>
    <n v="250.27799999999999"/>
  </r>
  <r>
    <x v="41"/>
    <x v="2"/>
    <x v="0"/>
    <s v="mars2021"/>
    <x v="115"/>
    <n v="250"/>
    <n v="0.25"/>
    <x v="2"/>
    <n v="0.3"/>
    <n v="0.7"/>
    <n v="0.16"/>
    <n v="6.4983119999999994"/>
    <n v="6.7400000000000002E-2"/>
    <n v="6.3872991699999995"/>
    <n v="12.885611169999999"/>
    <n v="115"/>
    <x v="4"/>
    <x v="1"/>
    <n v="541.52599999999995"/>
  </r>
  <r>
    <x v="42"/>
    <x v="2"/>
    <x v="0"/>
    <s v="mars2021"/>
    <x v="116"/>
    <n v="110"/>
    <n v="0.11"/>
    <x v="1"/>
    <n v="0.3"/>
    <n v="0.7"/>
    <n v="0.16"/>
    <n v="0.88729343999999999"/>
    <n v="6.7400000000000002E-2"/>
    <n v="0.87213551039999992"/>
    <n v="1.7594289503999998"/>
    <n v="95"/>
    <x v="3"/>
    <x v="28"/>
    <n v="168.048"/>
  </r>
  <r>
    <x v="42"/>
    <x v="2"/>
    <x v="0"/>
    <s v="mars2021"/>
    <x v="117"/>
    <n v="100"/>
    <n v="0.1"/>
    <x v="1"/>
    <n v="0.3"/>
    <n v="0.7"/>
    <n v="0.16"/>
    <n v="1.3643184000000002"/>
    <n v="6.7400000000000002E-2"/>
    <n v="1.3410112940000001"/>
    <n v="2.7053296940000005"/>
    <n v="105"/>
    <x v="3"/>
    <x v="29"/>
    <n v="284.233"/>
  </r>
  <r>
    <x v="42"/>
    <x v="2"/>
    <x v="0"/>
    <s v="mars2021"/>
    <x v="118"/>
    <n v="200"/>
    <n v="0.2"/>
    <x v="2"/>
    <n v="0.3"/>
    <n v="0.7"/>
    <n v="0.16"/>
    <n v="2.4184224000000003"/>
    <n v="6.7400000000000002E-2"/>
    <n v="2.3771076840000003"/>
    <n v="4.795530084000001"/>
    <n v="115"/>
    <x v="13"/>
    <x v="1"/>
    <n v="251.91900000000001"/>
  </r>
  <r>
    <x v="42"/>
    <x v="2"/>
    <x v="0"/>
    <s v="mars2021"/>
    <x v="119"/>
    <n v="100"/>
    <n v="0.1"/>
    <x v="1"/>
    <n v="0.3"/>
    <n v="0.7"/>
    <n v="0.16"/>
    <n v="1.2669072000000001"/>
    <n v="6.7400000000000002E-2"/>
    <n v="1.245264202"/>
    <n v="2.5121714019999999"/>
    <n v="139"/>
    <x v="3"/>
    <x v="30"/>
    <n v="263.93900000000002"/>
  </r>
  <r>
    <x v="42"/>
    <x v="2"/>
    <x v="0"/>
    <s v="mars2021"/>
    <x v="120"/>
    <n v="100"/>
    <n v="0.1"/>
    <x v="2"/>
    <n v="0.3"/>
    <n v="0.7"/>
    <n v="0.16"/>
    <n v="3.5541360000000006"/>
    <n v="6.7400000000000002E-2"/>
    <n v="3.4934195100000003"/>
    <n v="7.0475555100000005"/>
    <n v="150"/>
    <x v="3"/>
    <x v="3"/>
    <n v="740.44500000000005"/>
  </r>
  <r>
    <x v="42"/>
    <x v="2"/>
    <x v="0"/>
    <s v="mars2021"/>
    <x v="121"/>
    <n v="750"/>
    <n v="0.75"/>
    <x v="1"/>
    <n v="0.3"/>
    <n v="0.7"/>
    <n v="0.16"/>
    <n v="7.5264840000000008"/>
    <n v="6.7400000000000002E-2"/>
    <n v="7.3979065649999995"/>
    <n v="14.924390564999999"/>
    <n v="165"/>
    <x v="2"/>
    <x v="25"/>
    <n v="209.06899999999999"/>
  </r>
  <r>
    <x v="42"/>
    <x v="2"/>
    <x v="0"/>
    <s v="mars2021"/>
    <x v="122"/>
    <n v="750"/>
    <n v="0.75"/>
    <x v="1"/>
    <n v="0.3"/>
    <n v="0.7"/>
    <n v="0.16"/>
    <n v="35.523216000000005"/>
    <n v="6.7400000000000002E-2"/>
    <n v="34.91636106"/>
    <n v="70.439577060000005"/>
    <n v="328"/>
    <x v="6"/>
    <x v="0"/>
    <n v="986.75599999999997"/>
  </r>
  <r>
    <x v="43"/>
    <x v="2"/>
    <x v="0"/>
    <s v="mars2021"/>
    <x v="123"/>
    <n v="200"/>
    <n v="0.2"/>
    <x v="1"/>
    <n v="0.3"/>
    <n v="0.7"/>
    <n v="0.16"/>
    <n v="4.958150400000001"/>
    <n v="6.7400000000000002E-2"/>
    <n v="4.8734486640000005"/>
    <n v="9.8315990640000024"/>
    <n v="220"/>
    <x v="0"/>
    <x v="1"/>
    <n v="516.47400000000005"/>
  </r>
  <r>
    <x v="44"/>
    <x v="2"/>
    <x v="0"/>
    <s v="mars2021"/>
    <x v="124"/>
    <n v="200"/>
    <n v="0.2"/>
    <x v="2"/>
    <n v="0.3"/>
    <n v="0.7"/>
    <n v="0.16"/>
    <n v="3.6536256000000003"/>
    <n v="6.7400000000000002E-2"/>
    <n v="3.5912094960000003"/>
    <n v="7.244835096000001"/>
    <n v="110.58"/>
    <x v="12"/>
    <x v="1"/>
    <n v="380.58600000000001"/>
  </r>
  <r>
    <x v="44"/>
    <x v="2"/>
    <x v="0"/>
    <s v="mars2021"/>
    <x v="125"/>
    <n v="250"/>
    <n v="0.25"/>
    <x v="2"/>
    <n v="0.3"/>
    <n v="0.7"/>
    <n v="0.16"/>
    <n v="6.4983119999999994"/>
    <n v="6.7400000000000002E-2"/>
    <n v="6.3872991699999995"/>
    <n v="12.885611169999999"/>
    <n v="115"/>
    <x v="4"/>
    <x v="1"/>
    <n v="541.52599999999995"/>
  </r>
  <r>
    <x v="44"/>
    <x v="2"/>
    <x v="0"/>
    <s v="mars2021"/>
    <x v="126"/>
    <n v="400"/>
    <n v="0.4"/>
    <x v="2"/>
    <n v="0.3"/>
    <n v="0.7"/>
    <n v="0.16"/>
    <n v="5.347142400000001"/>
    <n v="6.7400000000000002E-2"/>
    <n v="5.2557953839999998"/>
    <n v="10.602937784000002"/>
    <n v="158"/>
    <x v="11"/>
    <x v="1"/>
    <n v="278.49700000000001"/>
  </r>
  <r>
    <x v="45"/>
    <x v="2"/>
    <x v="0"/>
    <s v="mars2021"/>
    <x v="127"/>
    <n v="200"/>
    <n v="0.2"/>
    <x v="2"/>
    <n v="0.3"/>
    <n v="0.7"/>
    <n v="0.16"/>
    <n v="5.1953279999999999"/>
    <n v="6.7400000000000002E-2"/>
    <n v="5.1065744799999999"/>
    <n v="10.301902479999999"/>
    <n v="123"/>
    <x v="3"/>
    <x v="8"/>
    <n v="541.17999999999995"/>
  </r>
  <r>
    <x v="45"/>
    <x v="2"/>
    <x v="0"/>
    <s v="mars2021"/>
    <x v="128"/>
    <n v="200"/>
    <n v="0.2"/>
    <x v="2"/>
    <n v="0.3"/>
    <n v="0.7"/>
    <n v="0.16"/>
    <n v="2.4772128000000002"/>
    <n v="6.7400000000000002E-2"/>
    <n v="2.4348937479999999"/>
    <n v="4.9121065480000006"/>
    <n v="137.5"/>
    <x v="14"/>
    <x v="1"/>
    <n v="258.04300000000001"/>
  </r>
  <r>
    <x v="45"/>
    <x v="2"/>
    <x v="0"/>
    <s v="mars2021"/>
    <x v="129"/>
    <n v="750"/>
    <n v="0.75"/>
    <x v="1"/>
    <n v="0.3"/>
    <n v="0.7"/>
    <n v="0.16"/>
    <n v="11.902788000000001"/>
    <n v="6.7400000000000002E-2"/>
    <n v="11.699448705"/>
    <n v="23.602236705000003"/>
    <n v="182"/>
    <x v="2"/>
    <x v="10"/>
    <n v="330.63299999999998"/>
  </r>
  <r>
    <x v="46"/>
    <x v="2"/>
    <x v="0"/>
    <s v="mars2021"/>
    <x v="130"/>
    <n v="120"/>
    <n v="0.12"/>
    <x v="1"/>
    <n v="0.3"/>
    <n v="0.7"/>
    <n v="0.16"/>
    <n v="1.464048"/>
    <n v="6.7400000000000002E-2"/>
    <n v="1.4390371800000001"/>
    <n v="2.9030851800000002"/>
    <n v="95"/>
    <x v="3"/>
    <x v="25"/>
    <n v="254.17500000000001"/>
  </r>
  <r>
    <x v="46"/>
    <x v="2"/>
    <x v="0"/>
    <s v="mars2021"/>
    <x v="131"/>
    <n v="120"/>
    <n v="0.12"/>
    <x v="1"/>
    <n v="0.3"/>
    <n v="0.7"/>
    <n v="0.16"/>
    <n v="0.76887360000000005"/>
    <n v="6.7400000000000002E-2"/>
    <n v="0.75573867600000011"/>
    <n v="1.524612276"/>
    <n v="100"/>
    <x v="3"/>
    <x v="12"/>
    <n v="133.48500000000001"/>
  </r>
  <r>
    <x v="46"/>
    <x v="2"/>
    <x v="0"/>
    <s v="mars2021"/>
    <x v="132"/>
    <n v="130"/>
    <n v="0.13"/>
    <x v="1"/>
    <n v="0.3"/>
    <n v="0.7"/>
    <n v="0.16"/>
    <n v="1.7736139200000003"/>
    <n v="6.7400000000000002E-2"/>
    <n v="1.7433146821999999"/>
    <n v="3.5169286022000001"/>
    <n v="105"/>
    <x v="3"/>
    <x v="29"/>
    <n v="284.233"/>
  </r>
  <r>
    <x v="46"/>
    <x v="2"/>
    <x v="0"/>
    <s v="mars2021"/>
    <x v="133"/>
    <n v="200"/>
    <n v="0.2"/>
    <x v="2"/>
    <n v="0.3"/>
    <n v="0.7"/>
    <n v="0.16"/>
    <n v="2.4026688000000003"/>
    <n v="6.7400000000000002E-2"/>
    <n v="2.3616232079999997"/>
    <n v="4.764292008"/>
    <n v="115"/>
    <x v="10"/>
    <x v="1"/>
    <n v="250.27799999999999"/>
  </r>
  <r>
    <x v="46"/>
    <x v="2"/>
    <x v="0"/>
    <s v="mars2021"/>
    <x v="134"/>
    <n v="130"/>
    <n v="0.13"/>
    <x v="1"/>
    <n v="0.3"/>
    <n v="0.7"/>
    <n v="0.16"/>
    <n v="1.6469793600000002"/>
    <n v="6.7400000000000002E-2"/>
    <n v="1.6188434626000001"/>
    <n v="3.2658228226000006"/>
    <n v="139"/>
    <x v="3"/>
    <x v="30"/>
    <n v="263.93900000000002"/>
  </r>
  <r>
    <x v="46"/>
    <x v="2"/>
    <x v="0"/>
    <s v="mars2021"/>
    <x v="135"/>
    <n v="600"/>
    <n v="0.6"/>
    <x v="1"/>
    <n v="0.3"/>
    <n v="0.7"/>
    <n v="0.16"/>
    <n v="14.993625599999998"/>
    <n v="6.7400000000000002E-2"/>
    <n v="14.737484495999999"/>
    <n v="29.731110095999995"/>
    <n v="182"/>
    <x v="7"/>
    <x v="0"/>
    <n v="520.61199999999997"/>
  </r>
  <r>
    <x v="47"/>
    <x v="2"/>
    <x v="0"/>
    <s v="mars2021"/>
    <x v="136"/>
    <n v="200"/>
    <n v="0.2"/>
    <x v="2"/>
    <n v="0.3"/>
    <n v="0.7"/>
    <n v="0.16"/>
    <n v="2.4184224000000003"/>
    <n v="6.7400000000000002E-2"/>
    <n v="2.3771076840000003"/>
    <n v="4.795530084000001"/>
    <n v="115"/>
    <x v="13"/>
    <x v="1"/>
    <n v="251.91900000000001"/>
  </r>
  <r>
    <x v="48"/>
    <x v="3"/>
    <x v="0"/>
    <s v="avril2021"/>
    <x v="137"/>
    <n v="175"/>
    <n v="0.17499999999999999"/>
    <x v="0"/>
    <n v="1"/>
    <n v="0"/>
    <n v="6.7400000000000002E-2"/>
    <n v="0.51829588999999998"/>
    <n v="0"/>
    <n v="0"/>
    <n v="0.51829588999999998"/>
    <n v="80"/>
    <x v="3"/>
    <x v="31"/>
    <n v="43.942"/>
  </r>
  <r>
    <x v="48"/>
    <x v="3"/>
    <x v="0"/>
    <s v="avril2021"/>
    <x v="138"/>
    <n v="300"/>
    <n v="0.3"/>
    <x v="2"/>
    <n v="0.3"/>
    <n v="0.7"/>
    <n v="0.16"/>
    <n v="3.8354832000000001"/>
    <n v="6.7400000000000002E-2"/>
    <n v="3.769960362"/>
    <n v="7.6054435619999996"/>
    <n v="135.77000000000001"/>
    <x v="8"/>
    <x v="1"/>
    <n v="266.35300000000001"/>
  </r>
  <r>
    <x v="48"/>
    <x v="3"/>
    <x v="0"/>
    <s v="avril2021"/>
    <x v="139"/>
    <n v="400"/>
    <n v="0.4"/>
    <x v="1"/>
    <n v="0.3"/>
    <n v="0.7"/>
    <n v="0.16"/>
    <n v="9.9163008000000019"/>
    <n v="6.7400000000000002E-2"/>
    <n v="9.7468973280000011"/>
    <n v="19.663198128000005"/>
    <n v="190"/>
    <x v="0"/>
    <x v="1"/>
    <n v="516.47400000000005"/>
  </r>
  <r>
    <x v="49"/>
    <x v="3"/>
    <x v="0"/>
    <s v="avril2021"/>
    <x v="140"/>
    <n v="400"/>
    <n v="0.4"/>
    <x v="2"/>
    <n v="0.3"/>
    <n v="0.7"/>
    <n v="0.16"/>
    <n v="5.347142400000001"/>
    <n v="6.7400000000000002E-2"/>
    <n v="5.2557953839999998"/>
    <n v="10.602937784000002"/>
    <n v="158"/>
    <x v="11"/>
    <x v="1"/>
    <n v="278.49700000000001"/>
  </r>
  <r>
    <x v="50"/>
    <x v="3"/>
    <x v="0"/>
    <s v="avril2021"/>
    <x v="141"/>
    <n v="200"/>
    <n v="0.2"/>
    <x v="1"/>
    <n v="0.3"/>
    <n v="0.7"/>
    <n v="0.16"/>
    <n v="2.4086208"/>
    <n v="6.7400000000000002E-2"/>
    <n v="2.3674735280000001"/>
    <n v="4.7760943280000001"/>
    <n v="95"/>
    <x v="5"/>
    <x v="0"/>
    <n v="250.898"/>
  </r>
  <r>
    <x v="50"/>
    <x v="3"/>
    <x v="0"/>
    <s v="avril2021"/>
    <x v="142"/>
    <n v="80"/>
    <n v="0.08"/>
    <x v="0"/>
    <n v="1"/>
    <n v="0"/>
    <n v="6.7400000000000002E-2"/>
    <n v="0.24237579200000001"/>
    <n v="0"/>
    <n v="0"/>
    <n v="0.24237579200000001"/>
    <n v="98"/>
    <x v="3"/>
    <x v="15"/>
    <n v="44.951000000000001"/>
  </r>
  <r>
    <x v="50"/>
    <x v="3"/>
    <x v="0"/>
    <s v="avril2021"/>
    <x v="143"/>
    <n v="300"/>
    <n v="0.3"/>
    <x v="2"/>
    <n v="0.3"/>
    <n v="0.7"/>
    <n v="0.16"/>
    <n v="3.8354832000000001"/>
    <n v="6.7400000000000002E-2"/>
    <n v="3.769960362"/>
    <n v="7.6054435619999996"/>
    <n v="135.77000000000001"/>
    <x v="8"/>
    <x v="1"/>
    <n v="266.35300000000001"/>
  </r>
  <r>
    <x v="51"/>
    <x v="3"/>
    <x v="0"/>
    <s v="avril2021"/>
    <x v="144"/>
    <n v="150"/>
    <n v="0.15"/>
    <x v="1"/>
    <n v="0.3"/>
    <n v="0.7"/>
    <n v="0.16"/>
    <n v="1.83006"/>
    <n v="6.7400000000000002E-2"/>
    <n v="1.7987964750000001"/>
    <n v="3.6288564750000001"/>
    <n v="95"/>
    <x v="3"/>
    <x v="25"/>
    <n v="254.17500000000001"/>
  </r>
  <r>
    <x v="52"/>
    <x v="3"/>
    <x v="0"/>
    <s v="avril2021"/>
    <x v="145"/>
    <n v="200"/>
    <n v="0.2"/>
    <x v="2"/>
    <n v="0.3"/>
    <n v="0.7"/>
    <n v="0.16"/>
    <n v="2.6701920000000001"/>
    <n v="6.7400000000000002E-2"/>
    <n v="2.6245762199999998"/>
    <n v="5.2947682199999999"/>
    <n v="90"/>
    <x v="7"/>
    <x v="1"/>
    <n v="278.14499999999998"/>
  </r>
  <r>
    <x v="52"/>
    <x v="3"/>
    <x v="0"/>
    <s v="avril2021"/>
    <x v="146"/>
    <n v="200"/>
    <n v="0.2"/>
    <x v="1"/>
    <n v="0.3"/>
    <n v="0.7"/>
    <n v="0.16"/>
    <n v="4.958150400000001"/>
    <n v="6.7400000000000002E-2"/>
    <n v="4.8734486640000005"/>
    <n v="9.8315990640000024"/>
    <n v="165"/>
    <x v="0"/>
    <x v="1"/>
    <n v="516.47400000000005"/>
  </r>
  <r>
    <x v="52"/>
    <x v="3"/>
    <x v="0"/>
    <s v="avril2021"/>
    <x v="147"/>
    <n v="800"/>
    <n v="0.8"/>
    <x v="2"/>
    <n v="0.3"/>
    <n v="0.7"/>
    <n v="0.16"/>
    <n v="10.227955200000002"/>
    <n v="6.7400000000000002E-2"/>
    <n v="10.053227632"/>
    <n v="20.281182832000002"/>
    <n v="300"/>
    <x v="8"/>
    <x v="1"/>
    <n v="266.35300000000001"/>
  </r>
  <r>
    <x v="53"/>
    <x v="3"/>
    <x v="0"/>
    <s v="avril2021"/>
    <x v="148"/>
    <n v="200"/>
    <n v="0.2"/>
    <x v="2"/>
    <n v="0.3"/>
    <n v="0.7"/>
    <n v="0.16"/>
    <n v="2.6735712000000005"/>
    <n v="6.7400000000000002E-2"/>
    <n v="2.6278976919999999"/>
    <n v="5.3014688920000008"/>
    <n v="131"/>
    <x v="11"/>
    <x v="1"/>
    <n v="278.49700000000001"/>
  </r>
  <r>
    <x v="53"/>
    <x v="3"/>
    <x v="0"/>
    <s v="avril2021"/>
    <x v="149"/>
    <n v="100"/>
    <n v="0.1"/>
    <x v="1"/>
    <n v="0.3"/>
    <n v="0.7"/>
    <n v="0.16"/>
    <n v="2.6330736000000003"/>
    <n v="6.7400000000000002E-2"/>
    <n v="2.5880919260000002"/>
    <n v="5.2211655260000001"/>
    <n v="133"/>
    <x v="3"/>
    <x v="32"/>
    <n v="548.55700000000002"/>
  </r>
  <r>
    <x v="53"/>
    <x v="3"/>
    <x v="0"/>
    <s v="avril2021"/>
    <x v="150"/>
    <n v="60"/>
    <n v="0.06"/>
    <x v="1"/>
    <n v="0.3"/>
    <n v="0.7"/>
    <n v="0.16"/>
    <n v="1.4854982399999999"/>
    <n v="6.7400000000000002E-2"/>
    <n v="1.4601209784"/>
    <n v="2.9456192184000001"/>
    <n v="140"/>
    <x v="3"/>
    <x v="2"/>
    <n v="515.798"/>
  </r>
  <r>
    <x v="53"/>
    <x v="3"/>
    <x v="0"/>
    <s v="avril2021"/>
    <x v="151"/>
    <n v="50"/>
    <n v="0.05"/>
    <x v="0"/>
    <n v="1"/>
    <n v="0"/>
    <n v="6.7400000000000002E-2"/>
    <n v="0.25190413"/>
    <n v="0"/>
    <n v="0"/>
    <n v="0.25190413"/>
    <n v="154"/>
    <x v="3"/>
    <x v="21"/>
    <n v="74.748999999999995"/>
  </r>
  <r>
    <x v="53"/>
    <x v="3"/>
    <x v="0"/>
    <s v="avril2021"/>
    <x v="152"/>
    <n v="200"/>
    <n v="0.2"/>
    <x v="2"/>
    <n v="0.3"/>
    <n v="0.7"/>
    <n v="0.16"/>
    <n v="3.6536256000000003"/>
    <n v="6.7400000000000002E-2"/>
    <n v="3.5912094960000003"/>
    <n v="7.244835096000001"/>
    <n v="200"/>
    <x v="12"/>
    <x v="1"/>
    <n v="380.58600000000001"/>
  </r>
  <r>
    <x v="53"/>
    <x v="3"/>
    <x v="0"/>
    <s v="avril2021"/>
    <x v="153"/>
    <n v="1000"/>
    <n v="1"/>
    <x v="5"/>
    <n v="1"/>
    <n v="0"/>
    <n v="0.16"/>
    <n v="8.7617600000000007"/>
    <n v="0"/>
    <n v="0"/>
    <n v="8.7617600000000007"/>
    <n v="266"/>
    <x v="2"/>
    <x v="1"/>
    <n v="54.761000000000003"/>
  </r>
  <r>
    <x v="54"/>
    <x v="3"/>
    <x v="0"/>
    <s v="avril2021"/>
    <x v="154"/>
    <n v="30"/>
    <n v="0.03"/>
    <x v="1"/>
    <n v="0.3"/>
    <n v="0.7"/>
    <n v="0.16"/>
    <n v="0.38327903999999996"/>
    <n v="6.7400000000000002E-2"/>
    <n v="0.37673135639999999"/>
    <n v="0.76001039640000001"/>
    <n v="95"/>
    <x v="3"/>
    <x v="0"/>
    <n v="266.166"/>
  </r>
  <r>
    <x v="54"/>
    <x v="3"/>
    <x v="0"/>
    <s v="avril2021"/>
    <x v="155"/>
    <n v="30"/>
    <n v="0.03"/>
    <x v="1"/>
    <n v="0.3"/>
    <n v="0.7"/>
    <n v="0.16"/>
    <n v="0.54785519999999988"/>
    <n v="6.7400000000000002E-2"/>
    <n v="0.538496007"/>
    <n v="1.0863512069999999"/>
    <n v="123"/>
    <x v="3"/>
    <x v="20"/>
    <n v="380.45499999999998"/>
  </r>
  <r>
    <x v="54"/>
    <x v="3"/>
    <x v="0"/>
    <s v="avril2021"/>
    <x v="156"/>
    <n v="225"/>
    <n v="0.22500000000000001"/>
    <x v="2"/>
    <n v="0.3"/>
    <n v="0.7"/>
    <n v="0.16"/>
    <n v="8.7968376000000017"/>
    <n v="6.7400000000000002E-2"/>
    <n v="8.6465582909999998"/>
    <n v="17.443395891000002"/>
    <n v="192"/>
    <x v="4"/>
    <x v="0"/>
    <n v="814.52200000000005"/>
  </r>
  <r>
    <x v="54"/>
    <x v="3"/>
    <x v="0"/>
    <s v="avril2021"/>
    <x v="157"/>
    <n v="30"/>
    <n v="0.03"/>
    <x v="2"/>
    <n v="0.3"/>
    <n v="0.7"/>
    <n v="0.16"/>
    <n v="1.20587472"/>
    <n v="6.7400000000000002E-2"/>
    <n v="1.1852743602"/>
    <n v="2.3911490801999999"/>
    <n v="210"/>
    <x v="3"/>
    <x v="5"/>
    <n v="837.41300000000001"/>
  </r>
  <r>
    <x v="55"/>
    <x v="3"/>
    <x v="0"/>
    <s v="avril2021"/>
    <x v="158"/>
    <n v="200"/>
    <n v="0.2"/>
    <x v="1"/>
    <n v="0.3"/>
    <n v="0.7"/>
    <n v="0.16"/>
    <n v="2.4026688000000003"/>
    <n v="6.7400000000000002E-2"/>
    <n v="2.3616232079999997"/>
    <n v="4.764292008"/>
    <n v="125"/>
    <x v="10"/>
    <x v="1"/>
    <n v="250.27799999999999"/>
  </r>
  <r>
    <x v="56"/>
    <x v="3"/>
    <x v="0"/>
    <s v="avril2021"/>
    <x v="159"/>
    <n v="90"/>
    <n v="0.09"/>
    <x v="1"/>
    <n v="0.3"/>
    <n v="0.7"/>
    <n v="0.16"/>
    <n v="1.06184736"/>
    <n v="6.7400000000000002E-2"/>
    <n v="1.0437074675999998"/>
    <n v="2.1055548275999998"/>
    <n v="95"/>
    <x v="3"/>
    <x v="33"/>
    <n v="245.798"/>
  </r>
  <r>
    <x v="56"/>
    <x v="3"/>
    <x v="0"/>
    <s v="avril2021"/>
    <x v="160"/>
    <n v="200"/>
    <n v="0.2"/>
    <x v="1"/>
    <n v="0.3"/>
    <n v="0.7"/>
    <n v="0.16"/>
    <n v="2.5569888000000005"/>
    <n v="6.7400000000000002E-2"/>
    <n v="2.5133069080000001"/>
    <n v="5.0702957080000006"/>
    <n v="125"/>
    <x v="8"/>
    <x v="1"/>
    <n v="266.35300000000001"/>
  </r>
  <r>
    <x v="56"/>
    <x v="3"/>
    <x v="0"/>
    <s v="avril2021"/>
    <x v="161"/>
    <n v="1000"/>
    <n v="1"/>
    <x v="2"/>
    <n v="0.3"/>
    <n v="0.7"/>
    <n v="0.16"/>
    <n v="13.367856000000002"/>
    <n v="6.7400000000000002E-2"/>
    <n v="13.139488460000001"/>
    <n v="26.507344460000002"/>
    <n v="131"/>
    <x v="11"/>
    <x v="1"/>
    <n v="278.49700000000001"/>
  </r>
  <r>
    <x v="56"/>
    <x v="3"/>
    <x v="0"/>
    <s v="avril2021"/>
    <x v="162"/>
    <n v="200"/>
    <n v="0.2"/>
    <x v="2"/>
    <n v="0.3"/>
    <n v="0.7"/>
    <n v="0.16"/>
    <n v="2.4772128000000002"/>
    <n v="6.7400000000000002E-2"/>
    <n v="2.4348937479999999"/>
    <n v="4.9121065480000006"/>
    <n v="131"/>
    <x v="14"/>
    <x v="1"/>
    <n v="258.04300000000001"/>
  </r>
  <r>
    <x v="56"/>
    <x v="3"/>
    <x v="0"/>
    <s v="avril2021"/>
    <x v="163"/>
    <n v="400"/>
    <n v="0.4"/>
    <x v="1"/>
    <n v="0.3"/>
    <n v="0.7"/>
    <n v="0.16"/>
    <n v="9.9163008000000019"/>
    <n v="6.7400000000000002E-2"/>
    <n v="9.7468973280000011"/>
    <n v="19.663198128000005"/>
    <n v="228"/>
    <x v="0"/>
    <x v="1"/>
    <n v="516.47400000000005"/>
  </r>
  <r>
    <x v="57"/>
    <x v="3"/>
    <x v="0"/>
    <s v="avril2021"/>
    <x v="164"/>
    <n v="40"/>
    <n v="0.04"/>
    <x v="1"/>
    <n v="0.3"/>
    <n v="0.7"/>
    <n v="0.16"/>
    <n v="0.47769023999999999"/>
    <n v="6.7400000000000002E-2"/>
    <n v="0.46952969840000003"/>
    <n v="0.94721993839999996"/>
    <n v="92"/>
    <x v="3"/>
    <x v="19"/>
    <n v="248.797"/>
  </r>
  <r>
    <x v="57"/>
    <x v="3"/>
    <x v="0"/>
    <s v="avril2021"/>
    <x v="165"/>
    <n v="200"/>
    <n v="0.2"/>
    <x v="1"/>
    <n v="0.3"/>
    <n v="0.7"/>
    <n v="0.16"/>
    <n v="2.6701920000000001"/>
    <n v="6.7400000000000002E-2"/>
    <n v="2.6245762199999998"/>
    <n v="5.2947682199999999"/>
    <n v="158"/>
    <x v="7"/>
    <x v="1"/>
    <n v="278.14499999999998"/>
  </r>
  <r>
    <x v="58"/>
    <x v="3"/>
    <x v="0"/>
    <s v="avril2021"/>
    <x v="166"/>
    <n v="60"/>
    <n v="0.06"/>
    <x v="1"/>
    <n v="0.3"/>
    <n v="0.7"/>
    <n v="0.16"/>
    <n v="0.76655807999999992"/>
    <n v="6.7400000000000002E-2"/>
    <n v="0.75346271279999999"/>
    <n v="1.5200207928"/>
    <n v="95"/>
    <x v="3"/>
    <x v="0"/>
    <n v="266.166"/>
  </r>
  <r>
    <x v="59"/>
    <x v="3"/>
    <x v="0"/>
    <s v="avril2021"/>
    <x v="167"/>
    <n v="130"/>
    <n v="0.13"/>
    <x v="2"/>
    <n v="0.3"/>
    <n v="0.7"/>
    <n v="0.16"/>
    <n v="1.0486195200000001"/>
    <n v="6.7400000000000002E-2"/>
    <n v="1.0307056031999999"/>
    <n v="2.0793251232000003"/>
    <n v="95"/>
    <x v="3"/>
    <x v="28"/>
    <n v="168.048"/>
  </r>
  <r>
    <x v="59"/>
    <x v="3"/>
    <x v="0"/>
    <s v="avril2021"/>
    <x v="168"/>
    <n v="200"/>
    <n v="0.2"/>
    <x v="2"/>
    <n v="0.3"/>
    <n v="0.7"/>
    <n v="0.16"/>
    <n v="1.6254336000000003"/>
    <n v="6.7400000000000002E-2"/>
    <n v="1.5976657759999999"/>
    <n v="3.2230993760000004"/>
    <n v="119"/>
    <x v="15"/>
    <x v="1"/>
    <n v="169.316"/>
  </r>
  <r>
    <x v="59"/>
    <x v="3"/>
    <x v="0"/>
    <s v="avril2021"/>
    <x v="169"/>
    <n v="500"/>
    <n v="0.5"/>
    <x v="0"/>
    <n v="1"/>
    <n v="0"/>
    <n v="6.7400000000000002E-2"/>
    <n v="0.79774640000000008"/>
    <n v="0"/>
    <n v="0"/>
    <n v="0.79774640000000008"/>
    <n v="123"/>
    <x v="3"/>
    <x v="34"/>
    <n v="23.672000000000001"/>
  </r>
  <r>
    <x v="59"/>
    <x v="3"/>
    <x v="0"/>
    <s v="avril2021"/>
    <x v="170"/>
    <n v="80"/>
    <n v="0.08"/>
    <x v="1"/>
    <n v="0.3"/>
    <n v="0.7"/>
    <n v="0.16"/>
    <n v="1.98066432"/>
    <n v="6.7400000000000002E-2"/>
    <n v="1.9468279712000001"/>
    <n v="3.9274922912000001"/>
    <n v="140"/>
    <x v="3"/>
    <x v="2"/>
    <n v="515.798"/>
  </r>
  <r>
    <x v="59"/>
    <x v="3"/>
    <x v="0"/>
    <s v="avril2021"/>
    <x v="171"/>
    <n v="200"/>
    <n v="0.2"/>
    <x v="2"/>
    <n v="0.3"/>
    <n v="0.7"/>
    <n v="0.16"/>
    <n v="3.6536256000000003"/>
    <n v="6.7400000000000002E-2"/>
    <n v="3.5912094960000003"/>
    <n v="7.244835096000001"/>
    <n v="166"/>
    <x v="12"/>
    <x v="1"/>
    <n v="380.58600000000001"/>
  </r>
  <r>
    <x v="59"/>
    <x v="3"/>
    <x v="0"/>
    <s v="avril2021"/>
    <x v="172"/>
    <n v="90"/>
    <n v="0.09"/>
    <x v="2"/>
    <n v="0.3"/>
    <n v="0.7"/>
    <n v="0.16"/>
    <n v="3.2643388799999999"/>
    <n v="6.7400000000000002E-2"/>
    <n v="3.2085730907999999"/>
    <n v="6.4729119708000002"/>
    <n v="168"/>
    <x v="3"/>
    <x v="35"/>
    <n v="755.63400000000001"/>
  </r>
  <r>
    <x v="60"/>
    <x v="3"/>
    <x v="0"/>
    <s v="avril2021"/>
    <x v="173"/>
    <n v="1000"/>
    <n v="1"/>
    <x v="3"/>
    <n v="1"/>
    <n v="0"/>
    <n v="0.24099999999999999"/>
    <n v="8.2147259999999989"/>
    <n v="0"/>
    <n v="0"/>
    <n v="8.2147259999999989"/>
    <n v="123"/>
    <x v="3"/>
    <x v="27"/>
    <n v="34.085999999999999"/>
  </r>
  <r>
    <x v="60"/>
    <x v="3"/>
    <x v="0"/>
    <s v="avril2021"/>
    <x v="174"/>
    <n v="250"/>
    <n v="0.25"/>
    <x v="1"/>
    <n v="0.3"/>
    <n v="0.7"/>
    <n v="0.16"/>
    <n v="3.1962360000000003"/>
    <n v="6.7400000000000002E-2"/>
    <n v="3.1416336350000003"/>
    <n v="6.3378696350000006"/>
    <n v="125"/>
    <x v="8"/>
    <x v="1"/>
    <n v="266.35300000000001"/>
  </r>
  <r>
    <x v="60"/>
    <x v="3"/>
    <x v="0"/>
    <s v="avril2021"/>
    <x v="175"/>
    <n v="400"/>
    <n v="0.4"/>
    <x v="1"/>
    <n v="0.3"/>
    <n v="0.7"/>
    <n v="0.16"/>
    <n v="4.8053376000000005"/>
    <n v="6.7400000000000002E-2"/>
    <n v="4.7232464159999994"/>
    <n v="9.5285840159999999"/>
    <n v="158"/>
    <x v="10"/>
    <x v="1"/>
    <n v="250.27799999999999"/>
  </r>
  <r>
    <x v="60"/>
    <x v="3"/>
    <x v="0"/>
    <s v="avril2021"/>
    <x v="176"/>
    <n v="250"/>
    <n v="0.25"/>
    <x v="2"/>
    <n v="0.3"/>
    <n v="0.7"/>
    <n v="0.16"/>
    <n v="6.4983119999999994"/>
    <n v="6.7400000000000002E-2"/>
    <n v="6.3872991699999995"/>
    <n v="12.885611169999999"/>
    <n v="196"/>
    <x v="4"/>
    <x v="1"/>
    <n v="541.52599999999995"/>
  </r>
  <r>
    <x v="61"/>
    <x v="3"/>
    <x v="0"/>
    <s v="avril2021"/>
    <x v="177"/>
    <n v="200"/>
    <n v="0.2"/>
    <x v="1"/>
    <n v="0.3"/>
    <n v="0.7"/>
    <n v="0.16"/>
    <n v="4.958150400000001"/>
    <n v="6.7400000000000002E-2"/>
    <n v="4.8734486640000005"/>
    <n v="9.8315990640000024"/>
    <n v="165"/>
    <x v="0"/>
    <x v="1"/>
    <n v="516.47400000000005"/>
  </r>
  <r>
    <x v="61"/>
    <x v="3"/>
    <x v="0"/>
    <s v="avril2021"/>
    <x v="178"/>
    <n v="750"/>
    <n v="0.75"/>
    <x v="2"/>
    <n v="0.3"/>
    <n v="0.7"/>
    <n v="0.16"/>
    <n v="17.918460000000003"/>
    <n v="6.7400000000000002E-2"/>
    <n v="17.612352975"/>
    <n v="35.530812975000003"/>
    <n v="352"/>
    <x v="16"/>
    <x v="10"/>
    <n v="497.73500000000001"/>
  </r>
  <r>
    <x v="62"/>
    <x v="3"/>
    <x v="0"/>
    <s v="avril2021"/>
    <x v="179"/>
    <n v="200"/>
    <n v="0.2"/>
    <x v="2"/>
    <n v="0.3"/>
    <n v="0.7"/>
    <n v="0.16"/>
    <n v="2.4772128000000002"/>
    <n v="6.7400000000000002E-2"/>
    <n v="2.4348937479999999"/>
    <n v="4.9121065480000006"/>
    <n v="131"/>
    <x v="14"/>
    <x v="1"/>
    <n v="258.04300000000001"/>
  </r>
  <r>
    <x v="62"/>
    <x v="3"/>
    <x v="0"/>
    <s v="avril2021"/>
    <x v="180"/>
    <n v="200"/>
    <n v="0.2"/>
    <x v="2"/>
    <n v="0.3"/>
    <n v="0.7"/>
    <n v="0.16"/>
    <n v="2.4184224000000003"/>
    <n v="6.7400000000000002E-2"/>
    <n v="2.3771076840000003"/>
    <n v="4.795530084000001"/>
    <n v="158"/>
    <x v="13"/>
    <x v="1"/>
    <n v="251.91900000000001"/>
  </r>
  <r>
    <x v="63"/>
    <x v="3"/>
    <x v="0"/>
    <s v="avril2021"/>
    <x v="181"/>
    <n v="100"/>
    <n v="0.1"/>
    <x v="2"/>
    <n v="0.3"/>
    <n v="0.7"/>
    <n v="0.16"/>
    <n v="3.5541360000000006"/>
    <n v="6.7400000000000002E-2"/>
    <n v="3.4934195100000003"/>
    <n v="7.0475555100000005"/>
    <n v="150"/>
    <x v="3"/>
    <x v="3"/>
    <n v="740.44500000000005"/>
  </r>
  <r>
    <x v="64"/>
    <x v="3"/>
    <x v="0"/>
    <s v="avril2021"/>
    <x v="182"/>
    <n v="250"/>
    <n v="0.25"/>
    <x v="1"/>
    <n v="0.3"/>
    <n v="0.7"/>
    <n v="0.16"/>
    <n v="3.003336"/>
    <n v="6.7400000000000002E-2"/>
    <n v="2.95202901"/>
    <n v="5.9553650099999995"/>
    <n v="158"/>
    <x v="10"/>
    <x v="1"/>
    <n v="250.27799999999999"/>
  </r>
  <r>
    <x v="64"/>
    <x v="3"/>
    <x v="0"/>
    <s v="avril2021"/>
    <x v="183"/>
    <n v="200"/>
    <n v="0.2"/>
    <x v="1"/>
    <n v="0.3"/>
    <n v="0.7"/>
    <n v="0.16"/>
    <n v="2.6701920000000001"/>
    <n v="6.7400000000000002E-2"/>
    <n v="2.6245762199999998"/>
    <n v="5.2947682199999999"/>
    <n v="158"/>
    <x v="7"/>
    <x v="1"/>
    <n v="278.14499999999998"/>
  </r>
  <r>
    <x v="64"/>
    <x v="3"/>
    <x v="0"/>
    <s v="avril2021"/>
    <x v="184"/>
    <n v="285"/>
    <n v="0.28499999999999998"/>
    <x v="2"/>
    <n v="0.3"/>
    <n v="0.7"/>
    <n v="0.16"/>
    <n v="5.2064164799999997"/>
    <n v="6.7400000000000002E-2"/>
    <n v="5.1174735318"/>
    <n v="10.3238900118"/>
    <n v="166"/>
    <x v="12"/>
    <x v="1"/>
    <n v="380.58600000000001"/>
  </r>
  <r>
    <x v="64"/>
    <x v="3"/>
    <x v="0"/>
    <s v="avril2021"/>
    <x v="185"/>
    <n v="600"/>
    <n v="0.6"/>
    <x v="1"/>
    <n v="0.3"/>
    <n v="0.7"/>
    <n v="0.16"/>
    <n v="14.874451200000001"/>
    <n v="6.7400000000000002E-2"/>
    <n v="14.620345992000001"/>
    <n v="29.494797192"/>
    <n v="228"/>
    <x v="0"/>
    <x v="1"/>
    <n v="516.47400000000005"/>
  </r>
  <r>
    <x v="65"/>
    <x v="3"/>
    <x v="0"/>
    <s v="avril2021"/>
    <x v="186"/>
    <n v="1000"/>
    <n v="1"/>
    <x v="0"/>
    <n v="1"/>
    <n v="0"/>
    <n v="6.7400000000000002E-2"/>
    <n v="17.952192200000002"/>
    <n v="0"/>
    <n v="0"/>
    <n v="17.952192200000002"/>
    <n v="420"/>
    <x v="8"/>
    <x v="1"/>
    <n v="266.35300000000001"/>
  </r>
  <r>
    <x v="66"/>
    <x v="3"/>
    <x v="0"/>
    <s v="avril2021"/>
    <x v="187"/>
    <n v="200"/>
    <n v="0.2"/>
    <x v="1"/>
    <n v="0.3"/>
    <n v="0.7"/>
    <n v="0.16"/>
    <n v="2.8085760000000004"/>
    <n v="6.7400000000000002E-2"/>
    <n v="2.76059616"/>
    <n v="5.5691721600000008"/>
    <n v="158"/>
    <x v="17"/>
    <x v="1"/>
    <n v="292.56"/>
  </r>
  <r>
    <x v="66"/>
    <x v="3"/>
    <x v="0"/>
    <s v="avril2021"/>
    <x v="188"/>
    <n v="250"/>
    <n v="0.25"/>
    <x v="2"/>
    <n v="0.3"/>
    <n v="0.7"/>
    <n v="0.16"/>
    <n v="6.4983119999999994"/>
    <n v="6.7400000000000002E-2"/>
    <n v="6.3872991699999995"/>
    <n v="12.885611169999999"/>
    <n v="196"/>
    <x v="4"/>
    <x v="1"/>
    <n v="541.52599999999995"/>
  </r>
  <r>
    <x v="67"/>
    <x v="4"/>
    <x v="0"/>
    <s v="mai2021"/>
    <x v="189"/>
    <n v="90"/>
    <n v="0.09"/>
    <x v="3"/>
    <n v="1"/>
    <n v="0"/>
    <n v="0.24099999999999999"/>
    <n v="0.78713009999999994"/>
    <n v="0"/>
    <n v="0"/>
    <n v="0.78713009999999994"/>
    <n v="80"/>
    <x v="3"/>
    <x v="36"/>
    <n v="36.29"/>
  </r>
  <r>
    <x v="67"/>
    <x v="4"/>
    <x v="0"/>
    <s v="mai2021"/>
    <x v="190"/>
    <n v="250"/>
    <n v="0.25"/>
    <x v="2"/>
    <n v="0.3"/>
    <n v="0.7"/>
    <n v="0.16"/>
    <n v="3.3419640000000004"/>
    <n v="6.7400000000000002E-2"/>
    <n v="3.2848721150000002"/>
    <n v="6.6268361150000006"/>
    <n v="158"/>
    <x v="11"/>
    <x v="1"/>
    <n v="278.49700000000001"/>
  </r>
  <r>
    <x v="68"/>
    <x v="4"/>
    <x v="0"/>
    <s v="mai2021"/>
    <x v="191"/>
    <n v="120"/>
    <n v="0.12"/>
    <x v="1"/>
    <n v="0.3"/>
    <n v="0.7"/>
    <n v="0.16"/>
    <n v="0.9640512"/>
    <n v="6.7400000000000002E-2"/>
    <n v="0.94758199200000004"/>
    <n v="1.911633192"/>
    <n v="95"/>
    <x v="3"/>
    <x v="37"/>
    <n v="167.37"/>
  </r>
  <r>
    <x v="68"/>
    <x v="4"/>
    <x v="0"/>
    <s v="mai2021"/>
    <x v="192"/>
    <n v="60"/>
    <n v="0.06"/>
    <x v="1"/>
    <n v="0.3"/>
    <n v="0.7"/>
    <n v="0.16"/>
    <n v="0.80841023999999984"/>
    <n v="6.7400000000000002E-2"/>
    <n v="0.7945998984"/>
    <n v="1.6030101383999997"/>
    <n v="100"/>
    <x v="3"/>
    <x v="17"/>
    <n v="280.69799999999998"/>
  </r>
  <r>
    <x v="68"/>
    <x v="4"/>
    <x v="0"/>
    <s v="mai2021"/>
    <x v="193"/>
    <n v="200"/>
    <n v="0.2"/>
    <x v="2"/>
    <n v="0.3"/>
    <n v="0.7"/>
    <n v="0.16"/>
    <n v="2.4772128000000002"/>
    <n v="6.7400000000000002E-2"/>
    <n v="2.4348937479999999"/>
    <n v="4.9121065480000006"/>
    <n v="131"/>
    <x v="14"/>
    <x v="1"/>
    <n v="258.04300000000001"/>
  </r>
  <r>
    <x v="68"/>
    <x v="4"/>
    <x v="0"/>
    <s v="mai2021"/>
    <x v="194"/>
    <n v="400"/>
    <n v="0.4"/>
    <x v="2"/>
    <n v="0.3"/>
    <n v="0.7"/>
    <n v="0.16"/>
    <n v="5.113977600000001"/>
    <n v="6.7400000000000002E-2"/>
    <n v="5.0266138160000002"/>
    <n v="10.140591416000001"/>
    <n v="158"/>
    <x v="8"/>
    <x v="1"/>
    <n v="266.35300000000001"/>
  </r>
  <r>
    <x v="69"/>
    <x v="4"/>
    <x v="0"/>
    <s v="mai2021"/>
    <x v="195"/>
    <n v="200"/>
    <n v="0.2"/>
    <x v="2"/>
    <n v="0.3"/>
    <n v="0.7"/>
    <n v="0.16"/>
    <n v="3.6536256000000003"/>
    <n v="6.7400000000000002E-2"/>
    <n v="3.5912094960000003"/>
    <n v="7.244835096000001"/>
    <n v="166"/>
    <x v="12"/>
    <x v="1"/>
    <n v="380.58600000000001"/>
  </r>
  <r>
    <x v="70"/>
    <x v="4"/>
    <x v="0"/>
    <s v="mai2021"/>
    <x v="196"/>
    <n v="225"/>
    <n v="0.22500000000000001"/>
    <x v="1"/>
    <n v="0.3"/>
    <n v="0.7"/>
    <n v="0.16"/>
    <n v="2.2302756000000001"/>
    <n v="6.7400000000000002E-2"/>
    <n v="2.1921750585000002"/>
    <n v="4.4224506585000007"/>
    <n v="100"/>
    <x v="18"/>
    <x v="0"/>
    <n v="206.50700000000001"/>
  </r>
  <r>
    <x v="70"/>
    <x v="4"/>
    <x v="0"/>
    <s v="mai2021"/>
    <x v="197"/>
    <n v="200"/>
    <n v="0.2"/>
    <x v="2"/>
    <n v="0.3"/>
    <n v="0.7"/>
    <n v="0.16"/>
    <n v="2.4772128000000002"/>
    <n v="6.7400000000000002E-2"/>
    <n v="2.4348937479999999"/>
    <n v="4.9121065480000006"/>
    <n v="131"/>
    <x v="14"/>
    <x v="1"/>
    <n v="258.04300000000001"/>
  </r>
  <r>
    <x v="70"/>
    <x v="4"/>
    <x v="0"/>
    <s v="mai2021"/>
    <x v="198"/>
    <n v="200"/>
    <n v="0.2"/>
    <x v="1"/>
    <n v="0.3"/>
    <n v="0.7"/>
    <n v="0.16"/>
    <n v="2.6701920000000001"/>
    <n v="6.7400000000000002E-2"/>
    <n v="2.6245762199999998"/>
    <n v="5.2947682199999999"/>
    <n v="158"/>
    <x v="7"/>
    <x v="1"/>
    <n v="278.14499999999998"/>
  </r>
  <r>
    <x v="70"/>
    <x v="4"/>
    <x v="0"/>
    <s v="mai2021"/>
    <x v="199"/>
    <n v="250"/>
    <n v="0.25"/>
    <x v="1"/>
    <n v="0.3"/>
    <n v="0.7"/>
    <n v="0.16"/>
    <n v="3.003336"/>
    <n v="6.7400000000000002E-2"/>
    <n v="2.95202901"/>
    <n v="5.9553650099999995"/>
    <n v="158"/>
    <x v="10"/>
    <x v="1"/>
    <n v="250.27799999999999"/>
  </r>
  <r>
    <x v="70"/>
    <x v="4"/>
    <x v="0"/>
    <s v="mai2021"/>
    <x v="200"/>
    <n v="250"/>
    <n v="0.25"/>
    <x v="2"/>
    <n v="0.3"/>
    <n v="0.7"/>
    <n v="0.16"/>
    <n v="6.4983119999999994"/>
    <n v="6.7400000000000002E-2"/>
    <n v="6.3872991699999995"/>
    <n v="12.885611169999999"/>
    <n v="196"/>
    <x v="4"/>
    <x v="1"/>
    <n v="541.52599999999995"/>
  </r>
  <r>
    <x v="70"/>
    <x v="4"/>
    <x v="0"/>
    <s v="mai2021"/>
    <x v="201"/>
    <n v="400"/>
    <n v="0.4"/>
    <x v="1"/>
    <n v="0.3"/>
    <n v="0.7"/>
    <n v="0.16"/>
    <n v="9.9163008000000019"/>
    <n v="6.7400000000000002E-2"/>
    <n v="9.7468973280000011"/>
    <n v="19.663198128000005"/>
    <n v="228"/>
    <x v="0"/>
    <x v="1"/>
    <n v="516.47400000000005"/>
  </r>
  <r>
    <x v="71"/>
    <x v="4"/>
    <x v="0"/>
    <s v="mai2021"/>
    <x v="202"/>
    <n v="200"/>
    <n v="0.2"/>
    <x v="2"/>
    <n v="0.3"/>
    <n v="0.7"/>
    <n v="0.16"/>
    <n v="2.4184224000000003"/>
    <n v="6.7400000000000002E-2"/>
    <n v="2.3771076840000003"/>
    <n v="4.795530084000001"/>
    <n v="125"/>
    <x v="13"/>
    <x v="1"/>
    <n v="251.91900000000001"/>
  </r>
  <r>
    <x v="72"/>
    <x v="4"/>
    <x v="0"/>
    <s v="mai2021"/>
    <x v="203"/>
    <n v="200"/>
    <n v="0.2"/>
    <x v="2"/>
    <n v="0.3"/>
    <n v="0.7"/>
    <n v="0.16"/>
    <n v="2.4772128000000002"/>
    <n v="6.7400000000000002E-2"/>
    <n v="2.4348937479999999"/>
    <n v="4.9121065480000006"/>
    <n v="131"/>
    <x v="14"/>
    <x v="1"/>
    <n v="258.04300000000001"/>
  </r>
  <r>
    <x v="73"/>
    <x v="4"/>
    <x v="0"/>
    <s v="mai2021"/>
    <x v="204"/>
    <n v="160"/>
    <n v="0.16"/>
    <x v="1"/>
    <n v="0.3"/>
    <n v="0.7"/>
    <n v="0.16"/>
    <n v="2.0270515200000001"/>
    <n v="6.7400000000000002E-2"/>
    <n v="1.9924227232000002"/>
    <n v="4.0194742432000004"/>
    <n v="139"/>
    <x v="3"/>
    <x v="30"/>
    <n v="263.93900000000002"/>
  </r>
  <r>
    <x v="73"/>
    <x v="4"/>
    <x v="0"/>
    <s v="mai2021"/>
    <x v="205"/>
    <n v="1250"/>
    <n v="1.25"/>
    <x v="3"/>
    <n v="1"/>
    <n v="0"/>
    <n v="0.24099999999999999"/>
    <n v="16.496751250000003"/>
    <n v="0"/>
    <n v="0"/>
    <n v="16.496751250000003"/>
    <n v="144"/>
    <x v="2"/>
    <x v="1"/>
    <n v="54.761000000000003"/>
  </r>
  <r>
    <x v="73"/>
    <x v="4"/>
    <x v="0"/>
    <s v="mai2021"/>
    <x v="206"/>
    <n v="400"/>
    <n v="0.4"/>
    <x v="1"/>
    <n v="0.3"/>
    <n v="0.7"/>
    <n v="0.16"/>
    <n v="5.113977600000001"/>
    <n v="6.7400000000000002E-2"/>
    <n v="5.0266138160000002"/>
    <n v="10.140591416000001"/>
    <n v="158"/>
    <x v="8"/>
    <x v="1"/>
    <n v="266.35300000000001"/>
  </r>
  <r>
    <x v="73"/>
    <x v="4"/>
    <x v="0"/>
    <s v="mai2021"/>
    <x v="207"/>
    <n v="200"/>
    <n v="0.2"/>
    <x v="2"/>
    <n v="0.3"/>
    <n v="0.7"/>
    <n v="0.16"/>
    <n v="3.6536256000000003"/>
    <n v="6.7400000000000002E-2"/>
    <n v="3.5912094960000003"/>
    <n v="7.244835096000001"/>
    <n v="166"/>
    <x v="12"/>
    <x v="1"/>
    <n v="380.58600000000001"/>
  </r>
  <r>
    <x v="73"/>
    <x v="4"/>
    <x v="0"/>
    <s v="mai2021"/>
    <x v="208"/>
    <n v="1000"/>
    <n v="1"/>
    <x v="2"/>
    <n v="0.3"/>
    <n v="0.7"/>
    <n v="0.16"/>
    <n v="4.2270719999999997"/>
    <n v="6.7400000000000002E-2"/>
    <n v="4.1548595199999996"/>
    <n v="8.3819315199999984"/>
    <n v="300"/>
    <x v="3"/>
    <x v="23"/>
    <n v="88.063999999999993"/>
  </r>
  <r>
    <x v="73"/>
    <x v="4"/>
    <x v="0"/>
    <s v="mai2021"/>
    <x v="205"/>
    <n v="1250"/>
    <n v="1.25"/>
    <x v="3"/>
    <n v="1"/>
    <n v="0"/>
    <n v="0.24099999999999999"/>
    <n v="16.496751250000003"/>
    <n v="0"/>
    <n v="0"/>
    <n v="16.496751250000003"/>
    <n v="544"/>
    <x v="2"/>
    <x v="1"/>
    <n v="54.761000000000003"/>
  </r>
  <r>
    <x v="74"/>
    <x v="4"/>
    <x v="0"/>
    <s v="mai2021"/>
    <x v="209"/>
    <n v="120"/>
    <n v="0.12"/>
    <x v="2"/>
    <n v="0.3"/>
    <n v="0.7"/>
    <n v="0.16"/>
    <n v="0.9679564799999999"/>
    <n v="6.7400000000000002E-2"/>
    <n v="0.95142055680000004"/>
    <n v="1.9193770367999998"/>
    <n v="95"/>
    <x v="3"/>
    <x v="28"/>
    <n v="168.048"/>
  </r>
  <r>
    <x v="74"/>
    <x v="4"/>
    <x v="0"/>
    <s v="mai2021"/>
    <x v="210"/>
    <n v="100"/>
    <n v="0.1"/>
    <x v="1"/>
    <n v="0.3"/>
    <n v="0.7"/>
    <n v="0.16"/>
    <n v="0.91255680000000017"/>
    <n v="6.7400000000000002E-2"/>
    <n v="0.89696728800000003"/>
    <n v="1.8095240880000003"/>
    <n v="100"/>
    <x v="3"/>
    <x v="38"/>
    <n v="190.11600000000001"/>
  </r>
  <r>
    <x v="74"/>
    <x v="4"/>
    <x v="0"/>
    <s v="mai2021"/>
    <x v="211"/>
    <n v="250"/>
    <n v="0.25"/>
    <x v="2"/>
    <n v="0.3"/>
    <n v="0.7"/>
    <n v="0.16"/>
    <n v="3.3419640000000004"/>
    <n v="6.7400000000000002E-2"/>
    <n v="3.2848721150000002"/>
    <n v="6.6268361150000006"/>
    <n v="158"/>
    <x v="11"/>
    <x v="1"/>
    <n v="278.49700000000001"/>
  </r>
  <r>
    <x v="74"/>
    <x v="4"/>
    <x v="0"/>
    <s v="mai2021"/>
    <x v="212"/>
    <n v="250"/>
    <n v="0.25"/>
    <x v="2"/>
    <n v="0.3"/>
    <n v="0.7"/>
    <n v="0.16"/>
    <n v="3.3419640000000004"/>
    <n v="6.7400000000000002E-2"/>
    <n v="3.2848721150000002"/>
    <n v="6.6268361150000006"/>
    <n v="158"/>
    <x v="11"/>
    <x v="1"/>
    <n v="278.49700000000001"/>
  </r>
  <r>
    <x v="74"/>
    <x v="4"/>
    <x v="0"/>
    <s v="mai2021"/>
    <x v="213"/>
    <n v="400"/>
    <n v="0.4"/>
    <x v="1"/>
    <n v="0.3"/>
    <n v="0.7"/>
    <n v="0.16"/>
    <n v="9.9163008000000019"/>
    <n v="6.7400000000000002E-2"/>
    <n v="9.7468973280000011"/>
    <n v="19.663198128000005"/>
    <n v="228"/>
    <x v="0"/>
    <x v="1"/>
    <n v="516.47400000000005"/>
  </r>
  <r>
    <x v="75"/>
    <x v="4"/>
    <x v="0"/>
    <s v="mai2021"/>
    <x v="214"/>
    <n v="70"/>
    <n v="7.0000000000000007E-2"/>
    <x v="1"/>
    <n v="0.3"/>
    <n v="0.7"/>
    <n v="0.16"/>
    <n v="0.84194544000000016"/>
    <n v="6.7400000000000002E-2"/>
    <n v="0.82756220540000003"/>
    <n v="1.6695076454000002"/>
    <n v="92"/>
    <x v="3"/>
    <x v="16"/>
    <n v="250.57900000000001"/>
  </r>
  <r>
    <x v="75"/>
    <x v="4"/>
    <x v="0"/>
    <s v="mai2021"/>
    <x v="215"/>
    <n v="120"/>
    <n v="0.12"/>
    <x v="1"/>
    <n v="0.3"/>
    <n v="0.7"/>
    <n v="0.16"/>
    <n v="1.4330707199999999"/>
    <n v="6.7400000000000002E-2"/>
    <n v="1.4085890952"/>
    <n v="2.8416598151999999"/>
    <n v="92"/>
    <x v="3"/>
    <x v="19"/>
    <n v="248.797"/>
  </r>
  <r>
    <x v="75"/>
    <x v="4"/>
    <x v="0"/>
    <s v="mai2021"/>
    <x v="216"/>
    <n v="110"/>
    <n v="0.11"/>
    <x v="1"/>
    <n v="0.3"/>
    <n v="0.7"/>
    <n v="0.16"/>
    <n v="1.40535648"/>
    <n v="6.7400000000000002E-2"/>
    <n v="1.3813483067999999"/>
    <n v="2.7867047867999997"/>
    <n v="95"/>
    <x v="3"/>
    <x v="0"/>
    <n v="266.166"/>
  </r>
  <r>
    <x v="75"/>
    <x v="4"/>
    <x v="0"/>
    <s v="mai2021"/>
    <x v="217"/>
    <n v="120"/>
    <n v="0.12"/>
    <x v="1"/>
    <n v="0.3"/>
    <n v="0.7"/>
    <n v="0.16"/>
    <n v="1.6168204799999997"/>
    <n v="6.7400000000000002E-2"/>
    <n v="1.5891997968"/>
    <n v="3.2060202767999995"/>
    <n v="100"/>
    <x v="3"/>
    <x v="17"/>
    <n v="280.69799999999998"/>
  </r>
  <r>
    <x v="75"/>
    <x v="4"/>
    <x v="0"/>
    <s v="mai2021"/>
    <x v="218"/>
    <n v="70"/>
    <n v="7.0000000000000007E-2"/>
    <x v="2"/>
    <n v="0.3"/>
    <n v="0.7"/>
    <n v="0.16"/>
    <n v="1.8183648000000001"/>
    <n v="6.7400000000000002E-2"/>
    <n v="1.7873010679999999"/>
    <n v="3.605665868"/>
    <n v="123"/>
    <x v="3"/>
    <x v="8"/>
    <n v="541.17999999999995"/>
  </r>
  <r>
    <x v="75"/>
    <x v="4"/>
    <x v="0"/>
    <s v="mai2021"/>
    <x v="219"/>
    <n v="200"/>
    <n v="0.2"/>
    <x v="2"/>
    <n v="0.3"/>
    <n v="0.7"/>
    <n v="0.16"/>
    <n v="2.4772128000000002"/>
    <n v="6.7400000000000002E-2"/>
    <n v="2.4348937479999999"/>
    <n v="4.9121065480000006"/>
    <n v="131"/>
    <x v="14"/>
    <x v="1"/>
    <n v="258.04300000000001"/>
  </r>
  <r>
    <x v="75"/>
    <x v="4"/>
    <x v="0"/>
    <s v="mai2021"/>
    <x v="220"/>
    <n v="70"/>
    <n v="7.0000000000000007E-2"/>
    <x v="1"/>
    <n v="0.3"/>
    <n v="0.7"/>
    <n v="0.16"/>
    <n v="1.2783288000000002"/>
    <n v="6.7400000000000002E-2"/>
    <n v="1.256490683"/>
    <n v="2.5348194830000002"/>
    <n v="131"/>
    <x v="3"/>
    <x v="20"/>
    <n v="380.45499999999998"/>
  </r>
  <r>
    <x v="75"/>
    <x v="4"/>
    <x v="0"/>
    <s v="mai2021"/>
    <x v="221"/>
    <n v="90"/>
    <n v="0.09"/>
    <x v="1"/>
    <n v="0.3"/>
    <n v="0.7"/>
    <n v="0.16"/>
    <n v="2.2282473600000001"/>
    <n v="6.7400000000000002E-2"/>
    <n v="2.1901814675999995"/>
    <n v="4.4184288275999997"/>
    <n v="140"/>
    <x v="3"/>
    <x v="2"/>
    <n v="515.798"/>
  </r>
  <r>
    <x v="75"/>
    <x v="4"/>
    <x v="0"/>
    <s v="mai2021"/>
    <x v="222"/>
    <n v="250"/>
    <n v="0.25"/>
    <x v="2"/>
    <n v="0.3"/>
    <n v="0.7"/>
    <n v="0.16"/>
    <n v="6.4983119999999994"/>
    <n v="6.7400000000000002E-2"/>
    <n v="6.3872991699999995"/>
    <n v="12.885611169999999"/>
    <n v="196"/>
    <x v="4"/>
    <x v="1"/>
    <n v="541.52599999999995"/>
  </r>
  <r>
    <x v="76"/>
    <x v="4"/>
    <x v="0"/>
    <s v="mai2021"/>
    <x v="223"/>
    <n v="200"/>
    <n v="0.2"/>
    <x v="1"/>
    <n v="0.3"/>
    <n v="0.7"/>
    <n v="0.16"/>
    <n v="2.6701920000000001"/>
    <n v="6.7400000000000002E-2"/>
    <n v="2.6245762199999998"/>
    <n v="5.2947682199999999"/>
    <n v="158"/>
    <x v="7"/>
    <x v="1"/>
    <n v="278.14499999999998"/>
  </r>
  <r>
    <x v="77"/>
    <x v="4"/>
    <x v="0"/>
    <s v="mai2021"/>
    <x v="224"/>
    <n v="200"/>
    <n v="0.2"/>
    <x v="2"/>
    <n v="0.3"/>
    <n v="0.7"/>
    <n v="0.16"/>
    <n v="2.4184224000000003"/>
    <n v="6.7400000000000002E-2"/>
    <n v="2.3771076840000003"/>
    <n v="4.795530084000001"/>
    <n v="125"/>
    <x v="13"/>
    <x v="1"/>
    <n v="251.91900000000001"/>
  </r>
  <r>
    <x v="77"/>
    <x v="4"/>
    <x v="0"/>
    <s v="mai2021"/>
    <x v="225"/>
    <n v="600"/>
    <n v="0.6"/>
    <x v="1"/>
    <n v="0.3"/>
    <n v="0.7"/>
    <n v="0.16"/>
    <n v="14.426784"/>
    <n v="6.7400000000000002E-2"/>
    <n v="14.18032644"/>
    <n v="28.60711044"/>
    <n v="309.37"/>
    <x v="7"/>
    <x v="39"/>
    <n v="500.93"/>
  </r>
  <r>
    <x v="78"/>
    <x v="4"/>
    <x v="0"/>
    <s v="mai2021"/>
    <x v="226"/>
    <n v="400"/>
    <n v="0.4"/>
    <x v="1"/>
    <n v="0.3"/>
    <n v="0.7"/>
    <n v="0.16"/>
    <n v="5.113977600000001"/>
    <n v="6.7400000000000002E-2"/>
    <n v="5.0266138160000002"/>
    <n v="10.140591416000001"/>
    <n v="158"/>
    <x v="8"/>
    <x v="1"/>
    <n v="266.35300000000001"/>
  </r>
  <r>
    <x v="78"/>
    <x v="4"/>
    <x v="0"/>
    <s v="mai2021"/>
    <x v="227"/>
    <n v="750"/>
    <n v="0.75"/>
    <x v="1"/>
    <n v="0.3"/>
    <n v="0.7"/>
    <n v="0.16"/>
    <n v="9.0100080000000009"/>
    <n v="6.7400000000000002E-2"/>
    <n v="8.8560870299999994"/>
    <n v="17.86609503"/>
    <n v="206"/>
    <x v="10"/>
    <x v="1"/>
    <n v="250.27799999999999"/>
  </r>
  <r>
    <x v="79"/>
    <x v="4"/>
    <x v="0"/>
    <s v="mai2021"/>
    <x v="228"/>
    <n v="250"/>
    <n v="0.25"/>
    <x v="2"/>
    <n v="0.3"/>
    <n v="0.7"/>
    <n v="0.16"/>
    <n v="3.3419640000000004"/>
    <n v="6.7400000000000002E-2"/>
    <n v="3.2848721150000002"/>
    <n v="6.6268361150000006"/>
    <n v="158"/>
    <x v="11"/>
    <x v="1"/>
    <n v="278.49700000000001"/>
  </r>
  <r>
    <x v="79"/>
    <x v="4"/>
    <x v="0"/>
    <s v="mai2021"/>
    <x v="229"/>
    <n v="250"/>
    <n v="0.25"/>
    <x v="2"/>
    <n v="0.3"/>
    <n v="0.7"/>
    <n v="0.16"/>
    <n v="6.4983119999999994"/>
    <n v="6.7400000000000002E-2"/>
    <n v="6.3872991699999995"/>
    <n v="12.885611169999999"/>
    <n v="196"/>
    <x v="4"/>
    <x v="1"/>
    <n v="541.52599999999995"/>
  </r>
  <r>
    <x v="79"/>
    <x v="4"/>
    <x v="0"/>
    <s v="mai2021"/>
    <x v="230"/>
    <n v="400"/>
    <n v="0.4"/>
    <x v="1"/>
    <n v="0.3"/>
    <n v="0.7"/>
    <n v="0.16"/>
    <n v="9.9163008000000019"/>
    <n v="6.7400000000000002E-2"/>
    <n v="9.7468973280000011"/>
    <n v="19.663198128000005"/>
    <n v="228"/>
    <x v="0"/>
    <x v="1"/>
    <n v="516.47400000000005"/>
  </r>
  <r>
    <x v="80"/>
    <x v="4"/>
    <x v="0"/>
    <s v="mai2021"/>
    <x v="231"/>
    <n v="200"/>
    <n v="0.2"/>
    <x v="1"/>
    <n v="0.3"/>
    <n v="0.7"/>
    <n v="0.16"/>
    <n v="2.4086208"/>
    <n v="6.7400000000000002E-2"/>
    <n v="2.3674735280000001"/>
    <n v="4.7760943280000001"/>
    <n v="132"/>
    <x v="5"/>
    <x v="0"/>
    <n v="250.898"/>
  </r>
  <r>
    <x v="80"/>
    <x v="4"/>
    <x v="0"/>
    <s v="mai2021"/>
    <x v="232"/>
    <n v="80"/>
    <n v="0.08"/>
    <x v="0"/>
    <n v="1"/>
    <n v="0"/>
    <n v="6.7400000000000002E-2"/>
    <n v="0.83552814399999997"/>
    <n v="0"/>
    <n v="0"/>
    <n v="0.83552814399999997"/>
    <n v="250"/>
    <x v="19"/>
    <x v="5"/>
    <n v="154.95699999999999"/>
  </r>
  <r>
    <x v="81"/>
    <x v="4"/>
    <x v="0"/>
    <s v="mai2021"/>
    <x v="233"/>
    <n v="200"/>
    <n v="0.2"/>
    <x v="1"/>
    <n v="0.3"/>
    <n v="0.7"/>
    <n v="0.16"/>
    <n v="2.4772128000000002"/>
    <n v="6.7400000000000002E-2"/>
    <n v="2.4348937479999999"/>
    <n v="4.9121065480000006"/>
    <n v="131"/>
    <x v="14"/>
    <x v="1"/>
    <n v="258.04300000000001"/>
  </r>
  <r>
    <x v="81"/>
    <x v="4"/>
    <x v="0"/>
    <s v="mai2021"/>
    <x v="234"/>
    <n v="200"/>
    <n v="0.2"/>
    <x v="1"/>
    <n v="0.3"/>
    <n v="0.7"/>
    <n v="0.16"/>
    <n v="2.6701920000000001"/>
    <n v="6.7400000000000002E-2"/>
    <n v="2.6245762199999998"/>
    <n v="5.2947682199999999"/>
    <n v="158"/>
    <x v="7"/>
    <x v="1"/>
    <n v="278.14499999999998"/>
  </r>
  <r>
    <x v="81"/>
    <x v="4"/>
    <x v="0"/>
    <s v="mai2021"/>
    <x v="235"/>
    <n v="400"/>
    <n v="0.4"/>
    <x v="2"/>
    <n v="0.3"/>
    <n v="0.7"/>
    <n v="0.16"/>
    <n v="7.3072512000000005"/>
    <n v="6.7400000000000002E-2"/>
    <n v="7.1824189920000006"/>
    <n v="14.489670192000002"/>
    <n v="200"/>
    <x v="12"/>
    <x v="1"/>
    <n v="380.58600000000001"/>
  </r>
  <r>
    <x v="82"/>
    <x v="4"/>
    <x v="0"/>
    <s v="mai2021"/>
    <x v="236"/>
    <n v="200"/>
    <n v="0.2"/>
    <x v="2"/>
    <n v="0.3"/>
    <n v="0.7"/>
    <n v="0.16"/>
    <n v="2.4184224000000003"/>
    <n v="6.7400000000000002E-2"/>
    <n v="2.3771076840000003"/>
    <n v="4.795530084000001"/>
    <n v="125"/>
    <x v="13"/>
    <x v="1"/>
    <n v="251.91900000000001"/>
  </r>
  <r>
    <x v="82"/>
    <x v="4"/>
    <x v="0"/>
    <s v="mai2021"/>
    <x v="237"/>
    <n v="200"/>
    <n v="0.2"/>
    <x v="1"/>
    <n v="0.3"/>
    <n v="0.7"/>
    <n v="0.16"/>
    <n v="2.5569888000000005"/>
    <n v="6.7400000000000002E-2"/>
    <n v="2.5133069080000001"/>
    <n v="5.0702957080000006"/>
    <n v="158"/>
    <x v="8"/>
    <x v="1"/>
    <n v="266.35300000000001"/>
  </r>
  <r>
    <x v="82"/>
    <x v="4"/>
    <x v="0"/>
    <s v="mai2021"/>
    <x v="238"/>
    <n v="200"/>
    <n v="0.2"/>
    <x v="2"/>
    <n v="0.3"/>
    <n v="0.7"/>
    <n v="0.16"/>
    <n v="2.6735712000000005"/>
    <n v="6.7400000000000002E-2"/>
    <n v="2.6278976919999999"/>
    <n v="5.3014688920000008"/>
    <n v="158"/>
    <x v="11"/>
    <x v="1"/>
    <n v="278.49700000000001"/>
  </r>
  <r>
    <x v="82"/>
    <x v="4"/>
    <x v="0"/>
    <s v="mai2021"/>
    <x v="239"/>
    <n v="200"/>
    <n v="0.2"/>
    <x v="1"/>
    <n v="0.3"/>
    <n v="0.7"/>
    <n v="0.16"/>
    <n v="4.958150400000001"/>
    <n v="6.7400000000000002E-2"/>
    <n v="4.8734486640000005"/>
    <n v="9.8315990640000024"/>
    <n v="165"/>
    <x v="0"/>
    <x v="1"/>
    <n v="516.47400000000005"/>
  </r>
  <r>
    <x v="82"/>
    <x v="4"/>
    <x v="0"/>
    <s v="mai2021"/>
    <x v="240"/>
    <n v="200"/>
    <n v="0.2"/>
    <x v="2"/>
    <n v="0.3"/>
    <n v="0.7"/>
    <n v="0.16"/>
    <n v="5.1986496000000004"/>
    <n v="6.7400000000000002E-2"/>
    <n v="5.1098393359999994"/>
    <n v="10.308488936"/>
    <n v="196"/>
    <x v="4"/>
    <x v="1"/>
    <n v="541.52599999999995"/>
  </r>
  <r>
    <x v="83"/>
    <x v="4"/>
    <x v="0"/>
    <s v="mai2021"/>
    <x v="241"/>
    <n v="200"/>
    <n v="0.2"/>
    <x v="1"/>
    <n v="0.3"/>
    <n v="0.7"/>
    <n v="0.16"/>
    <n v="2.4184224000000003"/>
    <n v="6.7400000000000002E-2"/>
    <n v="2.3771076840000003"/>
    <n v="4.795530084000001"/>
    <n v="125"/>
    <x v="13"/>
    <x v="1"/>
    <n v="251.91900000000001"/>
  </r>
  <r>
    <x v="84"/>
    <x v="5"/>
    <x v="0"/>
    <s v="juin2021"/>
    <x v="242"/>
    <n v="200"/>
    <n v="0.2"/>
    <x v="3"/>
    <n v="1"/>
    <n v="0"/>
    <n v="0.24099999999999999"/>
    <n v="2.4624416"/>
    <n v="0"/>
    <n v="0"/>
    <n v="2.4624416"/>
    <n v="80"/>
    <x v="3"/>
    <x v="40"/>
    <n v="51.088000000000001"/>
  </r>
  <r>
    <x v="84"/>
    <x v="5"/>
    <x v="0"/>
    <s v="juin2021"/>
    <x v="243"/>
    <n v="200"/>
    <n v="0.2"/>
    <x v="1"/>
    <n v="0.3"/>
    <n v="0.7"/>
    <n v="0.16"/>
    <n v="2.4772128000000002"/>
    <n v="6.7400000000000002E-2"/>
    <n v="2.4348937479999999"/>
    <n v="4.9121065480000006"/>
    <n v="131"/>
    <x v="14"/>
    <x v="1"/>
    <n v="258.04300000000001"/>
  </r>
  <r>
    <x v="84"/>
    <x v="5"/>
    <x v="0"/>
    <s v="juin2021"/>
    <x v="244"/>
    <n v="300"/>
    <n v="0.3"/>
    <x v="1"/>
    <n v="0.3"/>
    <n v="0.7"/>
    <n v="0.16"/>
    <n v="3.6040031999999997"/>
    <n v="6.7400000000000002E-2"/>
    <n v="3.5424348119999998"/>
    <n v="7.1464380119999991"/>
    <n v="158"/>
    <x v="10"/>
    <x v="1"/>
    <n v="250.27799999999999"/>
  </r>
  <r>
    <x v="84"/>
    <x v="5"/>
    <x v="0"/>
    <s v="juin2021"/>
    <x v="245"/>
    <n v="200"/>
    <n v="0.2"/>
    <x v="1"/>
    <n v="0.3"/>
    <n v="0.7"/>
    <n v="0.16"/>
    <n v="2.6701920000000001"/>
    <n v="6.7400000000000002E-2"/>
    <n v="2.6245762199999998"/>
    <n v="5.2947682199999999"/>
    <n v="158"/>
    <x v="7"/>
    <x v="1"/>
    <n v="278.14499999999998"/>
  </r>
  <r>
    <x v="84"/>
    <x v="5"/>
    <x v="0"/>
    <s v="juin2021"/>
    <x v="246"/>
    <n v="300"/>
    <n v="0.3"/>
    <x v="2"/>
    <n v="0.3"/>
    <n v="0.7"/>
    <n v="0.16"/>
    <n v="5.4804383999999997"/>
    <n v="6.7400000000000002E-2"/>
    <n v="5.386814244"/>
    <n v="10.867252644000001"/>
    <n v="166"/>
    <x v="12"/>
    <x v="1"/>
    <n v="380.58600000000001"/>
  </r>
  <r>
    <x v="84"/>
    <x v="5"/>
    <x v="0"/>
    <s v="juin2021"/>
    <x v="247"/>
    <n v="60"/>
    <n v="0.06"/>
    <x v="2"/>
    <n v="0.3"/>
    <n v="0.7"/>
    <n v="0.16"/>
    <n v="2.23001856"/>
    <n v="6.7400000000000002E-2"/>
    <n v="2.1919224096000001"/>
    <n v="4.4219409695999996"/>
    <n v="200"/>
    <x v="2"/>
    <x v="22"/>
    <n v="774.31200000000001"/>
  </r>
  <r>
    <x v="85"/>
    <x v="5"/>
    <x v="0"/>
    <s v="juin2021"/>
    <x v="248"/>
    <n v="300"/>
    <n v="0.3"/>
    <x v="3"/>
    <n v="1"/>
    <n v="0"/>
    <n v="0.24099999999999999"/>
    <n v="3.7776026999999996"/>
    <n v="0"/>
    <n v="0"/>
    <n v="3.7776026999999996"/>
    <n v="80"/>
    <x v="20"/>
    <x v="1"/>
    <n v="52.249000000000002"/>
  </r>
  <r>
    <x v="85"/>
    <x v="5"/>
    <x v="0"/>
    <s v="juin2021"/>
    <x v="249"/>
    <n v="300"/>
    <n v="0.3"/>
    <x v="3"/>
    <n v="1"/>
    <n v="0"/>
    <n v="0.24099999999999999"/>
    <n v="3.6936623999999996"/>
    <n v="0"/>
    <n v="0"/>
    <n v="3.6936623999999996"/>
    <n v="80"/>
    <x v="3"/>
    <x v="40"/>
    <n v="51.088000000000001"/>
  </r>
  <r>
    <x v="85"/>
    <x v="5"/>
    <x v="0"/>
    <s v="juin2021"/>
    <x v="250"/>
    <n v="300"/>
    <n v="0.3"/>
    <x v="3"/>
    <n v="1"/>
    <n v="0"/>
    <n v="0.24099999999999999"/>
    <n v="5.1770414999999996"/>
    <n v="0"/>
    <n v="0"/>
    <n v="5.1770414999999996"/>
    <n v="80"/>
    <x v="3"/>
    <x v="41"/>
    <n v="71.605000000000004"/>
  </r>
  <r>
    <x v="85"/>
    <x v="5"/>
    <x v="0"/>
    <s v="juin2021"/>
    <x v="251"/>
    <n v="300"/>
    <n v="0.3"/>
    <x v="3"/>
    <n v="1"/>
    <n v="0"/>
    <n v="0.24099999999999999"/>
    <n v="5.6857442999999996"/>
    <n v="0"/>
    <n v="0"/>
    <n v="5.6857442999999996"/>
    <n v="80"/>
    <x v="3"/>
    <x v="42"/>
    <n v="78.641000000000005"/>
  </r>
  <r>
    <x v="86"/>
    <x v="5"/>
    <x v="0"/>
    <s v="juin2021"/>
    <x v="252"/>
    <n v="100"/>
    <n v="0.1"/>
    <x v="3"/>
    <n v="1"/>
    <n v="0"/>
    <n v="0.24099999999999999"/>
    <n v="0.8695039"/>
    <n v="0"/>
    <n v="0"/>
    <n v="0.8695039"/>
    <n v="80"/>
    <x v="3"/>
    <x v="43"/>
    <n v="36.079000000000001"/>
  </r>
  <r>
    <x v="86"/>
    <x v="5"/>
    <x v="0"/>
    <s v="juin2021"/>
    <x v="253"/>
    <n v="200"/>
    <n v="0.2"/>
    <x v="2"/>
    <n v="0.3"/>
    <n v="0.7"/>
    <n v="0.16"/>
    <n v="2.5569888000000005"/>
    <n v="6.7400000000000002E-2"/>
    <n v="2.5133069080000001"/>
    <n v="5.0702957080000006"/>
    <n v="158"/>
    <x v="8"/>
    <x v="1"/>
    <n v="266.35300000000001"/>
  </r>
  <r>
    <x v="86"/>
    <x v="5"/>
    <x v="0"/>
    <s v="juin2021"/>
    <x v="254"/>
    <n v="150"/>
    <n v="0.15"/>
    <x v="1"/>
    <n v="0.3"/>
    <n v="0.7"/>
    <n v="0.16"/>
    <n v="1.8020015999999999"/>
    <n v="6.7400000000000002E-2"/>
    <n v="1.7712174059999999"/>
    <n v="3.5732190059999995"/>
    <n v="158"/>
    <x v="10"/>
    <x v="1"/>
    <n v="250.27799999999999"/>
  </r>
  <r>
    <x v="86"/>
    <x v="5"/>
    <x v="0"/>
    <s v="juin2021"/>
    <x v="255"/>
    <n v="200"/>
    <n v="0.2"/>
    <x v="2"/>
    <n v="0.3"/>
    <n v="0.7"/>
    <n v="0.16"/>
    <n v="5.1986496000000004"/>
    <n v="6.7400000000000002E-2"/>
    <n v="5.1098393359999994"/>
    <n v="10.308488936"/>
    <n v="196"/>
    <x v="4"/>
    <x v="1"/>
    <n v="541.52599999999995"/>
  </r>
  <r>
    <x v="86"/>
    <x v="5"/>
    <x v="0"/>
    <s v="juin2021"/>
    <x v="256"/>
    <n v="300"/>
    <n v="0.3"/>
    <x v="1"/>
    <n v="0.3"/>
    <n v="0.7"/>
    <n v="0.16"/>
    <n v="3.6276336000000002"/>
    <n v="6.7400000000000002E-2"/>
    <n v="3.565661526"/>
    <n v="7.1932951260000006"/>
    <n v="206"/>
    <x v="13"/>
    <x v="1"/>
    <n v="251.91900000000001"/>
  </r>
  <r>
    <x v="86"/>
    <x v="5"/>
    <x v="0"/>
    <s v="juin2021"/>
    <x v="257"/>
    <n v="400"/>
    <n v="0.4"/>
    <x v="1"/>
    <n v="0.3"/>
    <n v="0.7"/>
    <n v="0.16"/>
    <n v="9.9163008000000019"/>
    <n v="6.7400000000000002E-2"/>
    <n v="9.7468973280000011"/>
    <n v="19.663198128000005"/>
    <n v="228"/>
    <x v="0"/>
    <x v="1"/>
    <n v="516.47400000000005"/>
  </r>
  <r>
    <x v="87"/>
    <x v="5"/>
    <x v="0"/>
    <s v="juin2021"/>
    <x v="258"/>
    <n v="150"/>
    <n v="0.15"/>
    <x v="1"/>
    <n v="0.3"/>
    <n v="0.7"/>
    <n v="0.16"/>
    <n v="1.3719311999999999"/>
    <n v="6.7400000000000002E-2"/>
    <n v="1.348494042"/>
    <n v="2.7204252420000001"/>
    <n v="114.22"/>
    <x v="21"/>
    <x v="1"/>
    <n v="190.54599999999999"/>
  </r>
  <r>
    <x v="88"/>
    <x v="5"/>
    <x v="0"/>
    <s v="juin2021"/>
    <x v="259"/>
    <n v="200"/>
    <n v="0.2"/>
    <x v="2"/>
    <n v="0.3"/>
    <n v="0.7"/>
    <n v="0.16"/>
    <n v="3.6536256000000003"/>
    <n v="6.7400000000000002E-2"/>
    <n v="3.5912094960000003"/>
    <n v="7.244835096000001"/>
    <n v="200"/>
    <x v="12"/>
    <x v="1"/>
    <n v="380.58600000000001"/>
  </r>
  <r>
    <x v="89"/>
    <x v="5"/>
    <x v="0"/>
    <s v="juin2021"/>
    <x v="260"/>
    <n v="300"/>
    <n v="0.3"/>
    <x v="2"/>
    <n v="0.3"/>
    <n v="0.7"/>
    <n v="0.16"/>
    <n v="3.6276336000000002"/>
    <n v="6.7400000000000002E-2"/>
    <n v="3.565661526"/>
    <n v="7.1932951260000006"/>
    <n v="125"/>
    <x v="13"/>
    <x v="1"/>
    <n v="251.91900000000001"/>
  </r>
  <r>
    <x v="89"/>
    <x v="5"/>
    <x v="0"/>
    <s v="juin2021"/>
    <x v="261"/>
    <n v="200"/>
    <n v="0.2"/>
    <x v="1"/>
    <n v="0.3"/>
    <n v="0.7"/>
    <n v="0.16"/>
    <n v="2.6701920000000001"/>
    <n v="6.7400000000000002E-2"/>
    <n v="2.6245762199999998"/>
    <n v="5.2947682199999999"/>
    <n v="158"/>
    <x v="7"/>
    <x v="1"/>
    <n v="278.14499999999998"/>
  </r>
  <r>
    <x v="89"/>
    <x v="5"/>
    <x v="0"/>
    <s v="juin2021"/>
    <x v="262"/>
    <n v="800"/>
    <n v="0.8"/>
    <x v="1"/>
    <n v="0.3"/>
    <n v="0.7"/>
    <n v="0.16"/>
    <n v="9.6106752000000011"/>
    <n v="6.7400000000000002E-2"/>
    <n v="9.4464928319999988"/>
    <n v="19.057168032"/>
    <n v="206"/>
    <x v="10"/>
    <x v="1"/>
    <n v="250.27799999999999"/>
  </r>
  <r>
    <x v="90"/>
    <x v="5"/>
    <x v="0"/>
    <s v="juin2021"/>
    <x v="263"/>
    <n v="200"/>
    <n v="0.2"/>
    <x v="2"/>
    <n v="0.3"/>
    <n v="0.7"/>
    <n v="0.16"/>
    <n v="2.4772128000000002"/>
    <n v="6.7400000000000002E-2"/>
    <n v="2.4348937479999999"/>
    <n v="4.9121065480000006"/>
    <n v="131"/>
    <x v="14"/>
    <x v="1"/>
    <n v="258.04300000000001"/>
  </r>
  <r>
    <x v="90"/>
    <x v="5"/>
    <x v="0"/>
    <s v="juin2021"/>
    <x v="264"/>
    <n v="300"/>
    <n v="0.3"/>
    <x v="2"/>
    <n v="0.3"/>
    <n v="0.7"/>
    <n v="0.16"/>
    <n v="11.7691488"/>
    <n v="6.7400000000000002E-2"/>
    <n v="11.568092507999999"/>
    <n v="23.337241307999999"/>
    <n v="340"/>
    <x v="8"/>
    <x v="44"/>
    <n v="817.30200000000002"/>
  </r>
  <r>
    <x v="90"/>
    <x v="5"/>
    <x v="0"/>
    <s v="juin2021"/>
    <x v="265"/>
    <n v="400"/>
    <n v="0.4"/>
    <x v="2"/>
    <n v="0.3"/>
    <n v="0.7"/>
    <n v="0.16"/>
    <n v="5.113977600000001"/>
    <n v="6.7400000000000002E-2"/>
    <n v="5.0266138160000002"/>
    <n v="10.140591416000001"/>
    <n v="498.4"/>
    <x v="8"/>
    <x v="1"/>
    <n v="266.35300000000001"/>
  </r>
  <r>
    <x v="91"/>
    <x v="5"/>
    <x v="0"/>
    <s v="juin2021"/>
    <x v="266"/>
    <n v="200"/>
    <n v="0.2"/>
    <x v="2"/>
    <n v="0.3"/>
    <n v="0.7"/>
    <n v="0.16"/>
    <n v="2.6735712000000005"/>
    <n v="6.7400000000000002E-2"/>
    <n v="2.6278976919999999"/>
    <n v="5.3014688920000008"/>
    <n v="158"/>
    <x v="11"/>
    <x v="1"/>
    <n v="278.49700000000001"/>
  </r>
  <r>
    <x v="91"/>
    <x v="5"/>
    <x v="0"/>
    <s v="juin2021"/>
    <x v="267"/>
    <n v="400"/>
    <n v="0.4"/>
    <x v="2"/>
    <n v="0.3"/>
    <n v="0.7"/>
    <n v="0.16"/>
    <n v="5.113977600000001"/>
    <n v="6.7400000000000002E-2"/>
    <n v="5.0266138160000002"/>
    <n v="10.140591416000001"/>
    <n v="158"/>
    <x v="8"/>
    <x v="1"/>
    <n v="266.35300000000001"/>
  </r>
  <r>
    <x v="91"/>
    <x v="5"/>
    <x v="0"/>
    <s v="juin2021"/>
    <x v="268"/>
    <n v="200"/>
    <n v="0.2"/>
    <x v="2"/>
    <n v="0.3"/>
    <n v="0.7"/>
    <n v="0.16"/>
    <n v="5.1986496000000004"/>
    <n v="6.7400000000000002E-2"/>
    <n v="5.1098393359999994"/>
    <n v="10.308488936"/>
    <n v="196"/>
    <x v="4"/>
    <x v="1"/>
    <n v="541.52599999999995"/>
  </r>
  <r>
    <x v="91"/>
    <x v="5"/>
    <x v="0"/>
    <s v="juin2021"/>
    <x v="269"/>
    <n v="200"/>
    <n v="0.2"/>
    <x v="1"/>
    <n v="0.3"/>
    <n v="0.7"/>
    <n v="0.16"/>
    <n v="4.958150400000001"/>
    <n v="6.7400000000000002E-2"/>
    <n v="4.8734486640000005"/>
    <n v="9.8315990640000024"/>
    <n v="228"/>
    <x v="0"/>
    <x v="1"/>
    <n v="516.47400000000005"/>
  </r>
  <r>
    <x v="92"/>
    <x v="5"/>
    <x v="0"/>
    <s v="juin2021"/>
    <x v="270"/>
    <n v="150"/>
    <n v="0.15"/>
    <x v="1"/>
    <n v="0.3"/>
    <n v="0.7"/>
    <n v="0.16"/>
    <n v="1.8020015999999999"/>
    <n v="6.7400000000000002E-2"/>
    <n v="1.7712174059999999"/>
    <n v="3.5732190059999995"/>
    <n v="158"/>
    <x v="10"/>
    <x v="1"/>
    <n v="250.27799999999999"/>
  </r>
  <r>
    <x v="93"/>
    <x v="5"/>
    <x v="0"/>
    <s v="juin2021"/>
    <x v="271"/>
    <n v="300"/>
    <n v="0.3"/>
    <x v="1"/>
    <n v="0.3"/>
    <n v="0.7"/>
    <n v="0.16"/>
    <n v="3.6276336000000002"/>
    <n v="6.7400000000000002E-2"/>
    <n v="3.565661526"/>
    <n v="7.1932951260000006"/>
    <n v="125"/>
    <x v="13"/>
    <x v="1"/>
    <n v="251.91900000000001"/>
  </r>
  <r>
    <x v="93"/>
    <x v="5"/>
    <x v="0"/>
    <s v="juin2021"/>
    <x v="272"/>
    <n v="200"/>
    <n v="0.2"/>
    <x v="2"/>
    <n v="0.3"/>
    <n v="0.7"/>
    <n v="0.16"/>
    <n v="3.6536256000000003"/>
    <n v="6.7400000000000002E-2"/>
    <n v="3.5912094960000003"/>
    <n v="7.244835096000001"/>
    <n v="200"/>
    <x v="12"/>
    <x v="1"/>
    <n v="380.58600000000001"/>
  </r>
  <r>
    <x v="94"/>
    <x v="5"/>
    <x v="0"/>
    <s v="juin2021"/>
    <x v="273"/>
    <n v="300"/>
    <n v="0.3"/>
    <x v="1"/>
    <n v="0.3"/>
    <n v="0.7"/>
    <n v="0.16"/>
    <n v="3.6040031999999997"/>
    <n v="6.7400000000000002E-2"/>
    <n v="3.5424348119999998"/>
    <n v="7.1464380119999991"/>
    <n v="158"/>
    <x v="10"/>
    <x v="1"/>
    <n v="250.27799999999999"/>
  </r>
  <r>
    <x v="94"/>
    <x v="5"/>
    <x v="0"/>
    <s v="juin2021"/>
    <x v="274"/>
    <n v="300"/>
    <n v="0.3"/>
    <x v="1"/>
    <n v="0.3"/>
    <n v="0.7"/>
    <n v="0.16"/>
    <n v="4.0052879999999993"/>
    <n v="6.7400000000000002E-2"/>
    <n v="3.9368643299999997"/>
    <n v="7.942152329999999"/>
    <n v="158"/>
    <x v="7"/>
    <x v="1"/>
    <n v="278.14499999999998"/>
  </r>
  <r>
    <x v="95"/>
    <x v="5"/>
    <x v="0"/>
    <s v="juin2021"/>
    <x v="275"/>
    <n v="70"/>
    <n v="7.0000000000000007E-2"/>
    <x v="3"/>
    <n v="1"/>
    <n v="0"/>
    <n v="0.24099999999999999"/>
    <n v="0.48211085999999997"/>
    <n v="0"/>
    <n v="0"/>
    <n v="0.48211085999999997"/>
    <n v="80"/>
    <x v="3"/>
    <x v="45"/>
    <n v="28.577999999999999"/>
  </r>
  <r>
    <x v="95"/>
    <x v="5"/>
    <x v="0"/>
    <s v="juin2021"/>
    <x v="276"/>
    <n v="300"/>
    <n v="0.3"/>
    <x v="2"/>
    <n v="0.3"/>
    <n v="0.7"/>
    <n v="0.16"/>
    <n v="3.7158191999999999"/>
    <n v="6.7400000000000002E-2"/>
    <n v="3.6523406220000001"/>
    <n v="7.368159822"/>
    <n v="131"/>
    <x v="14"/>
    <x v="1"/>
    <n v="258.04300000000001"/>
  </r>
  <r>
    <x v="95"/>
    <x v="5"/>
    <x v="0"/>
    <s v="juin2021"/>
    <x v="277"/>
    <n v="300"/>
    <n v="0.3"/>
    <x v="1"/>
    <n v="0.3"/>
    <n v="0.7"/>
    <n v="0.16"/>
    <n v="3.8354832000000001"/>
    <n v="6.7400000000000002E-2"/>
    <n v="3.769960362"/>
    <n v="7.6054435619999996"/>
    <n v="158"/>
    <x v="8"/>
    <x v="1"/>
    <n v="266.35300000000001"/>
  </r>
  <r>
    <x v="96"/>
    <x v="5"/>
    <x v="0"/>
    <s v="juin2021"/>
    <x v="278"/>
    <n v="300"/>
    <n v="0.3"/>
    <x v="1"/>
    <n v="0.3"/>
    <n v="0.7"/>
    <n v="0.16"/>
    <n v="7.4372256000000005"/>
    <n v="6.7400000000000002E-2"/>
    <n v="7.3101729960000004"/>
    <n v="14.747398596"/>
    <n v="165"/>
    <x v="0"/>
    <x v="1"/>
    <n v="516.47400000000005"/>
  </r>
  <r>
    <x v="96"/>
    <x v="5"/>
    <x v="0"/>
    <s v="juin2021"/>
    <x v="279"/>
    <n v="300"/>
    <n v="0.3"/>
    <x v="2"/>
    <n v="0.3"/>
    <n v="0.7"/>
    <n v="0.16"/>
    <n v="7.7979743999999993"/>
    <n v="6.7400000000000002E-2"/>
    <n v="7.6647590039999995"/>
    <n v="15.462733403999998"/>
    <n v="196"/>
    <x v="4"/>
    <x v="1"/>
    <n v="541.52599999999995"/>
  </r>
  <r>
    <x v="97"/>
    <x v="5"/>
    <x v="0"/>
    <s v="juin2021"/>
    <x v="280"/>
    <n v="400"/>
    <n v="0.4"/>
    <x v="2"/>
    <n v="0.3"/>
    <n v="0.7"/>
    <n v="0.16"/>
    <n v="5.347142400000001"/>
    <n v="6.7400000000000002E-2"/>
    <n v="5.2557953839999998"/>
    <n v="10.602937784000002"/>
    <n v="158"/>
    <x v="11"/>
    <x v="1"/>
    <n v="278.49700000000001"/>
  </r>
  <r>
    <x v="98"/>
    <x v="5"/>
    <x v="0"/>
    <s v="juin2021"/>
    <x v="281"/>
    <n v="70"/>
    <n v="7.0000000000000007E-2"/>
    <x v="3"/>
    <n v="1"/>
    <n v="0"/>
    <n v="0.24099999999999999"/>
    <n v="0.83919814999999998"/>
    <n v="0"/>
    <n v="0"/>
    <n v="0.83919814999999998"/>
    <n v="80"/>
    <x v="3"/>
    <x v="46"/>
    <n v="49.744999999999997"/>
  </r>
  <r>
    <x v="98"/>
    <x v="5"/>
    <x v="0"/>
    <s v="juin2021"/>
    <x v="282"/>
    <n v="90"/>
    <n v="0.09"/>
    <x v="3"/>
    <n v="1"/>
    <n v="0"/>
    <n v="0.24099999999999999"/>
    <n v="1.1876142599999999"/>
    <n v="0"/>
    <n v="0"/>
    <n v="1.1876142599999999"/>
    <n v="80"/>
    <x v="3"/>
    <x v="47"/>
    <n v="54.753999999999998"/>
  </r>
  <r>
    <x v="98"/>
    <x v="5"/>
    <x v="0"/>
    <s v="juin2021"/>
    <x v="283"/>
    <n v="120"/>
    <n v="0.12"/>
    <x v="3"/>
    <n v="1"/>
    <n v="0"/>
    <n v="0.24099999999999999"/>
    <n v="0.95713631999999982"/>
    <n v="0"/>
    <n v="0"/>
    <n v="0.95713631999999982"/>
    <n v="80"/>
    <x v="3"/>
    <x v="48"/>
    <n v="33.095999999999997"/>
  </r>
  <r>
    <x v="98"/>
    <x v="5"/>
    <x v="0"/>
    <s v="juin2021"/>
    <x v="284"/>
    <n v="300"/>
    <n v="0.3"/>
    <x v="2"/>
    <n v="0.3"/>
    <n v="0.7"/>
    <n v="0.16"/>
    <n v="5.4804383999999997"/>
    <n v="6.7400000000000002E-2"/>
    <n v="5.386814244"/>
    <n v="10.867252644000001"/>
    <n v="166"/>
    <x v="12"/>
    <x v="1"/>
    <n v="380.58600000000001"/>
  </r>
  <r>
    <x v="98"/>
    <x v="5"/>
    <x v="0"/>
    <s v="juin2021"/>
    <x v="285"/>
    <n v="2800"/>
    <n v="2.8"/>
    <x v="0"/>
    <n v="1"/>
    <n v="0"/>
    <n v="6.7400000000000002E-2"/>
    <n v="50.266138160000004"/>
    <n v="0"/>
    <n v="0"/>
    <n v="50.266138160000004"/>
    <n v="800"/>
    <x v="8"/>
    <x v="1"/>
    <n v="266.35300000000001"/>
  </r>
  <r>
    <x v="99"/>
    <x v="5"/>
    <x v="0"/>
    <s v="juin2021"/>
    <x v="286"/>
    <n v="300"/>
    <n v="0.3"/>
    <x v="2"/>
    <n v="0.3"/>
    <n v="0.7"/>
    <n v="0.16"/>
    <n v="3.6276336000000002"/>
    <n v="6.7400000000000002E-2"/>
    <n v="3.565661526"/>
    <n v="7.1932951260000006"/>
    <n v="125"/>
    <x v="13"/>
    <x v="1"/>
    <n v="251.91900000000001"/>
  </r>
  <r>
    <x v="99"/>
    <x v="5"/>
    <x v="0"/>
    <s v="juin2021"/>
    <x v="287"/>
    <n v="300"/>
    <n v="0.3"/>
    <x v="1"/>
    <n v="0.3"/>
    <n v="0.7"/>
    <n v="0.16"/>
    <n v="3.6040031999999997"/>
    <n v="6.7400000000000002E-2"/>
    <n v="3.5424348119999998"/>
    <n v="7.1464380119999991"/>
    <n v="158"/>
    <x v="10"/>
    <x v="1"/>
    <n v="250.27799999999999"/>
  </r>
  <r>
    <x v="99"/>
    <x v="5"/>
    <x v="0"/>
    <s v="juin2021"/>
    <x v="288"/>
    <n v="300"/>
    <n v="0.3"/>
    <x v="1"/>
    <n v="0.3"/>
    <n v="0.7"/>
    <n v="0.16"/>
    <n v="4.0052879999999993"/>
    <n v="6.7400000000000002E-2"/>
    <n v="3.9368643299999997"/>
    <n v="7.942152329999999"/>
    <n v="158"/>
    <x v="7"/>
    <x v="1"/>
    <n v="278.14499999999998"/>
  </r>
  <r>
    <x v="100"/>
    <x v="5"/>
    <x v="0"/>
    <s v="juin2021"/>
    <x v="289"/>
    <n v="300"/>
    <n v="0.3"/>
    <x v="2"/>
    <n v="0.3"/>
    <n v="0.7"/>
    <n v="0.16"/>
    <n v="3.7158191999999999"/>
    <n v="6.7400000000000002E-2"/>
    <n v="3.6523406220000001"/>
    <n v="7.368159822"/>
    <n v="131"/>
    <x v="14"/>
    <x v="1"/>
    <n v="258.04300000000001"/>
  </r>
  <r>
    <x v="100"/>
    <x v="5"/>
    <x v="0"/>
    <s v="juin2021"/>
    <x v="290"/>
    <n v="300"/>
    <n v="0.3"/>
    <x v="1"/>
    <n v="0.3"/>
    <n v="0.7"/>
    <n v="0.16"/>
    <n v="3.8354832000000001"/>
    <n v="6.7400000000000002E-2"/>
    <n v="3.769960362"/>
    <n v="7.6054435619999996"/>
    <n v="158"/>
    <x v="8"/>
    <x v="1"/>
    <n v="266.35300000000001"/>
  </r>
  <r>
    <x v="100"/>
    <x v="5"/>
    <x v="0"/>
    <s v="juin2021"/>
    <x v="291"/>
    <n v="300"/>
    <n v="0.3"/>
    <x v="2"/>
    <n v="0.3"/>
    <n v="0.7"/>
    <n v="0.16"/>
    <n v="4.0103568000000003"/>
    <n v="6.7400000000000002E-2"/>
    <n v="3.9418465380000001"/>
    <n v="7.9522033380000003"/>
    <n v="158"/>
    <x v="11"/>
    <x v="1"/>
    <n v="278.49700000000001"/>
  </r>
  <r>
    <x v="101"/>
    <x v="5"/>
    <x v="0"/>
    <s v="juin2021"/>
    <x v="292"/>
    <n v="300"/>
    <n v="0.3"/>
    <x v="2"/>
    <n v="0.3"/>
    <n v="0.7"/>
    <n v="0.16"/>
    <n v="4.0103568000000003"/>
    <n v="6.7400000000000002E-2"/>
    <n v="3.9418465380000001"/>
    <n v="7.9522033380000003"/>
    <n v="158"/>
    <x v="11"/>
    <x v="1"/>
    <n v="278.49700000000001"/>
  </r>
  <r>
    <x v="101"/>
    <x v="5"/>
    <x v="0"/>
    <s v="juin2021"/>
    <x v="293"/>
    <n v="1200"/>
    <n v="1.2"/>
    <x v="1"/>
    <n v="0.3"/>
    <n v="0.7"/>
    <n v="0.16"/>
    <n v="15.3419328"/>
    <n v="6.7400000000000002E-2"/>
    <n v="15.079841448"/>
    <n v="30.421774247999998"/>
    <n v="218"/>
    <x v="8"/>
    <x v="1"/>
    <n v="266.35300000000001"/>
  </r>
  <r>
    <x v="101"/>
    <x v="5"/>
    <x v="0"/>
    <s v="juin2021"/>
    <x v="294"/>
    <n v="600"/>
    <n v="0.6"/>
    <x v="1"/>
    <n v="0.3"/>
    <n v="0.7"/>
    <n v="0.16"/>
    <n v="14.874451200000001"/>
    <n v="6.7400000000000002E-2"/>
    <n v="14.620345992000001"/>
    <n v="29.494797192"/>
    <n v="228"/>
    <x v="0"/>
    <x v="1"/>
    <n v="516.47400000000005"/>
  </r>
  <r>
    <x v="102"/>
    <x v="5"/>
    <x v="0"/>
    <s v="juin2021"/>
    <x v="295"/>
    <n v="120"/>
    <n v="0.12"/>
    <x v="2"/>
    <n v="0.3"/>
    <n v="0.7"/>
    <n v="0.16"/>
    <n v="5.1231110399999995"/>
    <n v="6.7400000000000002E-2"/>
    <n v="5.0355912264000002"/>
    <n v="10.158702266399999"/>
    <n v="171"/>
    <x v="3"/>
    <x v="7"/>
    <n v="889.42899999999997"/>
  </r>
  <r>
    <x v="103"/>
    <x v="5"/>
    <x v="0"/>
    <s v="juin2021"/>
    <x v="296"/>
    <n v="300"/>
    <n v="0.3"/>
    <x v="2"/>
    <n v="0.3"/>
    <n v="0.7"/>
    <n v="0.16"/>
    <n v="5.4804383999999997"/>
    <n v="6.7400000000000002E-2"/>
    <n v="5.386814244"/>
    <n v="10.867252644000001"/>
    <n v="166"/>
    <x v="12"/>
    <x v="1"/>
    <n v="380.58600000000001"/>
  </r>
  <r>
    <x v="104"/>
    <x v="5"/>
    <x v="0"/>
    <s v="juin2021"/>
    <x v="297"/>
    <n v="300"/>
    <n v="0.3"/>
    <x v="2"/>
    <n v="0.3"/>
    <n v="0.7"/>
    <n v="0.16"/>
    <n v="3.6276336000000002"/>
    <n v="6.7400000000000002E-2"/>
    <n v="3.565661526"/>
    <n v="7.1932951260000006"/>
    <n v="125"/>
    <x v="13"/>
    <x v="1"/>
    <n v="251.91900000000001"/>
  </r>
  <r>
    <x v="104"/>
    <x v="5"/>
    <x v="0"/>
    <s v="juin2021"/>
    <x v="298"/>
    <n v="300"/>
    <n v="0.3"/>
    <x v="1"/>
    <n v="0.3"/>
    <n v="0.7"/>
    <n v="0.16"/>
    <n v="3.6040031999999997"/>
    <n v="6.7400000000000002E-2"/>
    <n v="3.5424348119999998"/>
    <n v="7.1464380119999991"/>
    <n v="125"/>
    <x v="10"/>
    <x v="1"/>
    <n v="250.27799999999999"/>
  </r>
  <r>
    <x v="104"/>
    <x v="5"/>
    <x v="0"/>
    <s v="juin2021"/>
    <x v="299"/>
    <n v="300"/>
    <n v="0.3"/>
    <x v="1"/>
    <n v="0.3"/>
    <n v="0.7"/>
    <n v="0.16"/>
    <n v="4.0052879999999993"/>
    <n v="6.7400000000000002E-2"/>
    <n v="3.9368643299999997"/>
    <n v="7.942152329999999"/>
    <n v="158"/>
    <x v="7"/>
    <x v="1"/>
    <n v="278.14499999999998"/>
  </r>
  <r>
    <x v="105"/>
    <x v="5"/>
    <x v="0"/>
    <s v="juin2021"/>
    <x v="300"/>
    <n v="300"/>
    <n v="0.3"/>
    <x v="1"/>
    <n v="0.3"/>
    <n v="0.7"/>
    <n v="0.16"/>
    <n v="3.8354832000000001"/>
    <n v="6.7400000000000002E-2"/>
    <n v="3.769960362"/>
    <n v="7.6054435619999996"/>
    <n v="158"/>
    <x v="8"/>
    <x v="1"/>
    <n v="266.35300000000001"/>
  </r>
  <r>
    <x v="106"/>
    <x v="6"/>
    <x v="0"/>
    <s v="juillet2021"/>
    <x v="301"/>
    <n v="300"/>
    <n v="0.3"/>
    <x v="1"/>
    <n v="0.3"/>
    <n v="0.7"/>
    <n v="0.16"/>
    <n v="7.4372256000000005"/>
    <n v="6.7400000000000002E-2"/>
    <n v="7.3101729960000004"/>
    <n v="14.747398596"/>
    <n v="165"/>
    <x v="0"/>
    <x v="1"/>
    <n v="516.47400000000005"/>
  </r>
  <r>
    <x v="106"/>
    <x v="6"/>
    <x v="0"/>
    <s v="juillet2021"/>
    <x v="302"/>
    <n v="400"/>
    <n v="0.4"/>
    <x v="2"/>
    <n v="0.3"/>
    <n v="0.7"/>
    <n v="0.16"/>
    <n v="10.397299200000001"/>
    <n v="6.7400000000000002E-2"/>
    <n v="10.219678671999999"/>
    <n v="20.616977872"/>
    <n v="239"/>
    <x v="4"/>
    <x v="1"/>
    <n v="541.52599999999995"/>
  </r>
  <r>
    <x v="107"/>
    <x v="6"/>
    <x v="0"/>
    <s v="juillet2021"/>
    <x v="303"/>
    <n v="100"/>
    <n v="0.1"/>
    <x v="3"/>
    <n v="1"/>
    <n v="0"/>
    <n v="0.24099999999999999"/>
    <n v="2.0884578"/>
    <n v="0"/>
    <n v="0"/>
    <n v="2.0884578"/>
    <n v="130"/>
    <x v="3"/>
    <x v="49"/>
    <n v="86.658000000000001"/>
  </r>
  <r>
    <x v="107"/>
    <x v="6"/>
    <x v="0"/>
    <s v="juillet2021"/>
    <x v="304"/>
    <n v="200"/>
    <n v="0.2"/>
    <x v="2"/>
    <n v="0.3"/>
    <n v="0.7"/>
    <n v="0.16"/>
    <n v="7.1082720000000013"/>
    <n v="6.7400000000000002E-2"/>
    <n v="6.9868390200000006"/>
    <n v="14.095111020000001"/>
    <n v="159"/>
    <x v="3"/>
    <x v="3"/>
    <n v="740.44500000000005"/>
  </r>
  <r>
    <x v="108"/>
    <x v="6"/>
    <x v="0"/>
    <s v="juillet2021"/>
    <x v="305"/>
    <n v="300"/>
    <n v="0.3"/>
    <x v="2"/>
    <n v="0.3"/>
    <n v="0.7"/>
    <n v="0.16"/>
    <n v="3.6276336000000002"/>
    <n v="6.7400000000000002E-2"/>
    <n v="3.565661526"/>
    <n v="7.1932951260000006"/>
    <n v="125"/>
    <x v="13"/>
    <x v="1"/>
    <n v="251.91900000000001"/>
  </r>
  <r>
    <x v="108"/>
    <x v="6"/>
    <x v="0"/>
    <s v="juillet2021"/>
    <x v="306"/>
    <n v="300"/>
    <n v="0.3"/>
    <x v="2"/>
    <n v="0.3"/>
    <n v="0.7"/>
    <n v="0.16"/>
    <n v="5.4804383999999997"/>
    <n v="6.7400000000000002E-2"/>
    <n v="5.386814244"/>
    <n v="10.867252644000001"/>
    <n v="166"/>
    <x v="12"/>
    <x v="1"/>
    <n v="380.58600000000001"/>
  </r>
  <r>
    <x v="109"/>
    <x v="6"/>
    <x v="0"/>
    <s v="juillet2021"/>
    <x v="307"/>
    <n v="300"/>
    <n v="0.3"/>
    <x v="1"/>
    <n v="0.3"/>
    <n v="0.7"/>
    <n v="0.16"/>
    <n v="3.6040031999999997"/>
    <n v="6.7400000000000002E-2"/>
    <n v="3.5424348119999998"/>
    <n v="7.1464380119999991"/>
    <n v="158"/>
    <x v="10"/>
    <x v="1"/>
    <n v="250.27799999999999"/>
  </r>
  <r>
    <x v="109"/>
    <x v="6"/>
    <x v="0"/>
    <s v="juillet2021"/>
    <x v="308"/>
    <n v="300"/>
    <n v="0.3"/>
    <x v="1"/>
    <n v="0.3"/>
    <n v="0.7"/>
    <n v="0.16"/>
    <n v="4.0052879999999993"/>
    <n v="6.7400000000000002E-2"/>
    <n v="3.9368643299999997"/>
    <n v="7.942152329999999"/>
    <n v="158"/>
    <x v="7"/>
    <x v="1"/>
    <n v="278.14499999999998"/>
  </r>
  <r>
    <x v="110"/>
    <x v="6"/>
    <x v="0"/>
    <s v="juillet2021"/>
    <x v="309"/>
    <n v="300"/>
    <n v="0.3"/>
    <x v="2"/>
    <n v="0.3"/>
    <n v="0.7"/>
    <n v="0.16"/>
    <n v="3.7158191999999999"/>
    <n v="6.7400000000000002E-2"/>
    <n v="3.6523406220000001"/>
    <n v="7.368159822"/>
    <n v="158"/>
    <x v="14"/>
    <x v="1"/>
    <n v="258.04300000000001"/>
  </r>
  <r>
    <x v="110"/>
    <x v="6"/>
    <x v="0"/>
    <s v="juillet2021"/>
    <x v="310"/>
    <n v="300"/>
    <n v="0.3"/>
    <x v="1"/>
    <n v="0.3"/>
    <n v="0.7"/>
    <n v="0.16"/>
    <n v="3.8354832000000001"/>
    <n v="6.7400000000000002E-2"/>
    <n v="3.769960362"/>
    <n v="7.6054435619999996"/>
    <n v="158"/>
    <x v="8"/>
    <x v="1"/>
    <n v="266.35300000000001"/>
  </r>
  <r>
    <x v="111"/>
    <x v="6"/>
    <x v="0"/>
    <s v="juillet2021"/>
    <x v="311"/>
    <n v="300"/>
    <n v="0.3"/>
    <x v="2"/>
    <n v="0.3"/>
    <n v="0.7"/>
    <n v="0.16"/>
    <n v="4.0103568000000003"/>
    <n v="6.7400000000000002E-2"/>
    <n v="3.9418465380000001"/>
    <n v="7.9522033380000003"/>
    <n v="158"/>
    <x v="11"/>
    <x v="1"/>
    <n v="278.49700000000001"/>
  </r>
  <r>
    <x v="111"/>
    <x v="6"/>
    <x v="0"/>
    <s v="juillet2021"/>
    <x v="312"/>
    <n v="300"/>
    <n v="0.3"/>
    <x v="2"/>
    <n v="0.3"/>
    <n v="0.7"/>
    <n v="0.16"/>
    <n v="7.7979743999999993"/>
    <n v="6.7400000000000002E-2"/>
    <n v="7.6647590039999995"/>
    <n v="15.462733403999998"/>
    <n v="196"/>
    <x v="4"/>
    <x v="1"/>
    <n v="541.52599999999995"/>
  </r>
  <r>
    <x v="111"/>
    <x v="6"/>
    <x v="0"/>
    <s v="juillet2021"/>
    <x v="313"/>
    <n v="600"/>
    <n v="0.6"/>
    <x v="1"/>
    <n v="0.3"/>
    <n v="0.7"/>
    <n v="0.16"/>
    <n v="14.874451200000001"/>
    <n v="6.7400000000000002E-2"/>
    <n v="14.620345992000001"/>
    <n v="29.494797192"/>
    <n v="228"/>
    <x v="0"/>
    <x v="1"/>
    <n v="516.47400000000005"/>
  </r>
  <r>
    <x v="112"/>
    <x v="6"/>
    <x v="0"/>
    <s v="juillet2021"/>
    <x v="314"/>
    <n v="80"/>
    <n v="0.08"/>
    <x v="3"/>
    <n v="1"/>
    <n v="0"/>
    <n v="0.24099999999999999"/>
    <n v="1.1896723999999999"/>
    <n v="0"/>
    <n v="0"/>
    <n v="1.1896723999999999"/>
    <n v="80"/>
    <x v="3"/>
    <x v="50"/>
    <n v="61.704999999999998"/>
  </r>
  <r>
    <x v="112"/>
    <x v="6"/>
    <x v="0"/>
    <s v="juillet2021"/>
    <x v="315"/>
    <n v="200"/>
    <n v="0.2"/>
    <x v="2"/>
    <n v="0.3"/>
    <n v="0.7"/>
    <n v="0.16"/>
    <n v="7.1082720000000013"/>
    <n v="6.7400000000000002E-2"/>
    <n v="6.9868390200000006"/>
    <n v="14.095111020000001"/>
    <n v="159"/>
    <x v="3"/>
    <x v="3"/>
    <n v="740.44500000000005"/>
  </r>
  <r>
    <x v="112"/>
    <x v="6"/>
    <x v="0"/>
    <s v="juillet2021"/>
    <x v="316"/>
    <n v="300"/>
    <n v="0.3"/>
    <x v="2"/>
    <n v="0.3"/>
    <n v="0.7"/>
    <n v="0.16"/>
    <n v="5.4804383999999997"/>
    <n v="6.7400000000000002E-2"/>
    <n v="5.386814244"/>
    <n v="10.867252644000001"/>
    <n v="166"/>
    <x v="12"/>
    <x v="1"/>
    <n v="380.58600000000001"/>
  </r>
  <r>
    <x v="113"/>
    <x v="6"/>
    <x v="0"/>
    <s v="juillet2021"/>
    <x v="317"/>
    <n v="200"/>
    <n v="0.2"/>
    <x v="2"/>
    <n v="0.3"/>
    <n v="0.7"/>
    <n v="0.16"/>
    <n v="2.4184224000000003"/>
    <n v="6.7400000000000002E-2"/>
    <n v="2.3771076840000003"/>
    <n v="4.795530084000001"/>
    <n v="125"/>
    <x v="13"/>
    <x v="1"/>
    <n v="251.91900000000001"/>
  </r>
  <r>
    <x v="113"/>
    <x v="6"/>
    <x v="0"/>
    <s v="juillet2021"/>
    <x v="318"/>
    <n v="300"/>
    <n v="0.3"/>
    <x v="1"/>
    <n v="0.3"/>
    <n v="0.7"/>
    <n v="0.16"/>
    <n v="3.6040031999999997"/>
    <n v="6.7400000000000002E-2"/>
    <n v="3.5424348119999998"/>
    <n v="7.1464380119999991"/>
    <n v="125"/>
    <x v="10"/>
    <x v="1"/>
    <n v="250.27799999999999"/>
  </r>
  <r>
    <x v="113"/>
    <x v="6"/>
    <x v="0"/>
    <s v="juillet2021"/>
    <x v="319"/>
    <n v="300"/>
    <n v="0.3"/>
    <x v="1"/>
    <n v="0.3"/>
    <n v="0.7"/>
    <n v="0.16"/>
    <n v="3.8354832000000001"/>
    <n v="6.7400000000000002E-2"/>
    <n v="3.769960362"/>
    <n v="7.6054435619999996"/>
    <n v="125"/>
    <x v="8"/>
    <x v="1"/>
    <n v="266.35300000000001"/>
  </r>
  <r>
    <x v="113"/>
    <x v="6"/>
    <x v="0"/>
    <s v="juillet2021"/>
    <x v="320"/>
    <n v="300"/>
    <n v="0.3"/>
    <x v="1"/>
    <n v="0.3"/>
    <n v="0.7"/>
    <n v="0.16"/>
    <n v="4.0052879999999993"/>
    <n v="6.7400000000000002E-2"/>
    <n v="3.9368643299999997"/>
    <n v="7.942152329999999"/>
    <n v="158"/>
    <x v="7"/>
    <x v="1"/>
    <n v="278.14499999999998"/>
  </r>
  <r>
    <x v="114"/>
    <x v="6"/>
    <x v="0"/>
    <s v="juillet2021"/>
    <x v="321"/>
    <n v="300"/>
    <n v="0.3"/>
    <x v="1"/>
    <n v="0.3"/>
    <n v="0.7"/>
    <n v="0.16"/>
    <n v="2.7376704000000003"/>
    <n v="6.7400000000000002E-2"/>
    <n v="2.6909018640000002"/>
    <n v="5.4285722640000005"/>
    <n v="100"/>
    <x v="3"/>
    <x v="38"/>
    <n v="190.11600000000001"/>
  </r>
  <r>
    <x v="114"/>
    <x v="6"/>
    <x v="0"/>
    <s v="juillet2021"/>
    <x v="322"/>
    <n v="300"/>
    <n v="0.3"/>
    <x v="2"/>
    <n v="0.3"/>
    <n v="0.7"/>
    <n v="0.16"/>
    <n v="3.7158191999999999"/>
    <n v="6.7400000000000002E-2"/>
    <n v="3.6523406220000001"/>
    <n v="7.368159822"/>
    <n v="131"/>
    <x v="14"/>
    <x v="1"/>
    <n v="258.04300000000001"/>
  </r>
  <r>
    <x v="114"/>
    <x v="6"/>
    <x v="0"/>
    <s v="juillet2021"/>
    <x v="323"/>
    <n v="500"/>
    <n v="0.5"/>
    <x v="2"/>
    <n v="0.3"/>
    <n v="0.7"/>
    <n v="0.16"/>
    <n v="6.6839280000000008"/>
    <n v="6.7400000000000002E-2"/>
    <n v="6.5697442300000004"/>
    <n v="13.253672230000001"/>
    <n v="158"/>
    <x v="11"/>
    <x v="1"/>
    <n v="278.49700000000001"/>
  </r>
  <r>
    <x v="114"/>
    <x v="6"/>
    <x v="0"/>
    <s v="juillet2021"/>
    <x v="324"/>
    <n v="300"/>
    <n v="0.3"/>
    <x v="1"/>
    <n v="0.3"/>
    <n v="0.7"/>
    <n v="0.16"/>
    <n v="7.4372256000000005"/>
    <n v="6.7400000000000002E-2"/>
    <n v="7.3101729960000004"/>
    <n v="14.747398596"/>
    <n v="165"/>
    <x v="0"/>
    <x v="1"/>
    <n v="516.47400000000005"/>
  </r>
  <r>
    <x v="114"/>
    <x v="6"/>
    <x v="0"/>
    <s v="juillet2021"/>
    <x v="325"/>
    <n v="300"/>
    <n v="0.3"/>
    <x v="2"/>
    <n v="0.3"/>
    <n v="0.7"/>
    <n v="0.16"/>
    <n v="7.7979743999999993"/>
    <n v="6.7400000000000002E-2"/>
    <n v="7.6647590039999995"/>
    <n v="15.462733403999998"/>
    <n v="196"/>
    <x v="4"/>
    <x v="1"/>
    <n v="541.52599999999995"/>
  </r>
  <r>
    <x v="115"/>
    <x v="6"/>
    <x v="0"/>
    <s v="juillet2021"/>
    <x v="326"/>
    <n v="300"/>
    <n v="0.3"/>
    <x v="2"/>
    <n v="0.3"/>
    <n v="0.7"/>
    <n v="0.16"/>
    <n v="3.6276336000000002"/>
    <n v="6.7400000000000002E-2"/>
    <n v="3.565661526"/>
    <n v="7.1932951260000006"/>
    <n v="158"/>
    <x v="13"/>
    <x v="1"/>
    <n v="251.91900000000001"/>
  </r>
  <r>
    <x v="115"/>
    <x v="6"/>
    <x v="0"/>
    <s v="juillet2021"/>
    <x v="327"/>
    <n v="300"/>
    <n v="0.3"/>
    <x v="2"/>
    <n v="0.3"/>
    <n v="0.7"/>
    <n v="0.16"/>
    <n v="5.4804383999999997"/>
    <n v="6.7400000000000002E-2"/>
    <n v="5.386814244"/>
    <n v="10.867252644000001"/>
    <n v="166"/>
    <x v="12"/>
    <x v="1"/>
    <n v="380.58600000000001"/>
  </r>
  <r>
    <x v="116"/>
    <x v="6"/>
    <x v="0"/>
    <s v="juillet2021"/>
    <x v="328"/>
    <n v="300"/>
    <n v="0.3"/>
    <x v="2"/>
    <n v="0.3"/>
    <n v="0.7"/>
    <n v="0.16"/>
    <n v="3.7158191999999999"/>
    <n v="6.7400000000000002E-2"/>
    <n v="3.6523406220000001"/>
    <n v="7.368159822"/>
    <n v="131"/>
    <x v="14"/>
    <x v="1"/>
    <n v="258.04300000000001"/>
  </r>
  <r>
    <x v="116"/>
    <x v="6"/>
    <x v="0"/>
    <s v="juillet2021"/>
    <x v="329"/>
    <n v="210"/>
    <n v="0.21"/>
    <x v="1"/>
    <n v="0.3"/>
    <n v="0.7"/>
    <n v="0.16"/>
    <n v="3.8349864"/>
    <n v="6.7400000000000002E-2"/>
    <n v="3.7694720489999995"/>
    <n v="7.6044584489999991"/>
    <n v="131"/>
    <x v="3"/>
    <x v="20"/>
    <n v="380.45499999999998"/>
  </r>
  <r>
    <x v="116"/>
    <x v="6"/>
    <x v="0"/>
    <s v="juillet2021"/>
    <x v="330"/>
    <n v="600"/>
    <n v="0.6"/>
    <x v="1"/>
    <n v="0.3"/>
    <n v="0.7"/>
    <n v="0.16"/>
    <n v="8.0207136000000006"/>
    <n v="6.7400000000000002E-2"/>
    <n v="7.8836930760000001"/>
    <n v="15.904406676000001"/>
    <n v="158"/>
    <x v="11"/>
    <x v="1"/>
    <n v="278.49700000000001"/>
  </r>
  <r>
    <x v="116"/>
    <x v="6"/>
    <x v="0"/>
    <s v="juillet2021"/>
    <x v="331"/>
    <n v="300"/>
    <n v="0.3"/>
    <x v="1"/>
    <n v="0.3"/>
    <n v="0.7"/>
    <n v="0.16"/>
    <n v="3.6040031999999997"/>
    <n v="6.7400000000000002E-2"/>
    <n v="3.5424348119999998"/>
    <n v="7.1464380119999991"/>
    <n v="158"/>
    <x v="10"/>
    <x v="1"/>
    <n v="250.27799999999999"/>
  </r>
  <r>
    <x v="116"/>
    <x v="6"/>
    <x v="0"/>
    <s v="juillet2021"/>
    <x v="332"/>
    <n v="300"/>
    <n v="0.3"/>
    <x v="1"/>
    <n v="0.3"/>
    <n v="0.7"/>
    <n v="0.16"/>
    <n v="4.0052879999999993"/>
    <n v="6.7400000000000002E-2"/>
    <n v="3.9368643299999997"/>
    <n v="7.942152329999999"/>
    <n v="158"/>
    <x v="7"/>
    <x v="1"/>
    <n v="278.14499999999998"/>
  </r>
  <r>
    <x v="117"/>
    <x v="6"/>
    <x v="0"/>
    <s v="juillet2021"/>
    <x v="333"/>
    <n v="300"/>
    <n v="0.3"/>
    <x v="1"/>
    <n v="0.3"/>
    <n v="0.7"/>
    <n v="0.16"/>
    <n v="3.8354832000000001"/>
    <n v="6.7400000000000002E-2"/>
    <n v="3.769960362"/>
    <n v="7.6054435619999996"/>
    <n v="158"/>
    <x v="8"/>
    <x v="1"/>
    <n v="266.35300000000001"/>
  </r>
  <r>
    <x v="117"/>
    <x v="6"/>
    <x v="0"/>
    <s v="juillet2021"/>
    <x v="334"/>
    <n v="300"/>
    <n v="0.3"/>
    <x v="2"/>
    <n v="0.3"/>
    <n v="0.7"/>
    <n v="0.16"/>
    <n v="7.7979743999999993"/>
    <n v="6.7400000000000002E-2"/>
    <n v="7.6647590039999995"/>
    <n v="15.462733403999998"/>
    <n v="196"/>
    <x v="4"/>
    <x v="1"/>
    <n v="541.52599999999995"/>
  </r>
  <r>
    <x v="118"/>
    <x v="6"/>
    <x v="0"/>
    <s v="juillet2021"/>
    <x v="335"/>
    <n v="300"/>
    <n v="0.3"/>
    <x v="1"/>
    <n v="0.3"/>
    <n v="0.7"/>
    <n v="0.16"/>
    <n v="7.4372256000000005"/>
    <n v="6.7400000000000002E-2"/>
    <n v="7.3101729960000004"/>
    <n v="14.747398596"/>
    <n v="228"/>
    <x v="0"/>
    <x v="1"/>
    <n v="516.47400000000005"/>
  </r>
  <r>
    <x v="119"/>
    <x v="6"/>
    <x v="0"/>
    <s v="juillet2021"/>
    <x v="336"/>
    <n v="300"/>
    <n v="0.3"/>
    <x v="2"/>
    <n v="0.3"/>
    <n v="0.7"/>
    <n v="0.16"/>
    <n v="5.4804383999999997"/>
    <n v="6.7400000000000002E-2"/>
    <n v="5.386814244"/>
    <n v="10.867252644000001"/>
    <n v="200"/>
    <x v="12"/>
    <x v="1"/>
    <n v="380.58600000000001"/>
  </r>
  <r>
    <x v="120"/>
    <x v="6"/>
    <x v="0"/>
    <s v="juillet2021"/>
    <x v="337"/>
    <n v="300"/>
    <n v="0.3"/>
    <x v="2"/>
    <n v="0.3"/>
    <n v="0.7"/>
    <n v="0.16"/>
    <n v="3.6276336000000002"/>
    <n v="6.7400000000000002E-2"/>
    <n v="3.565661526"/>
    <n v="7.1932951260000006"/>
    <n v="125"/>
    <x v="13"/>
    <x v="1"/>
    <n v="251.91900000000001"/>
  </r>
  <r>
    <x v="120"/>
    <x v="6"/>
    <x v="0"/>
    <s v="juillet2021"/>
    <x v="338"/>
    <n v="300"/>
    <n v="0.3"/>
    <x v="1"/>
    <n v="0.3"/>
    <n v="0.7"/>
    <n v="0.16"/>
    <n v="3.6083376"/>
    <n v="6.7400000000000002E-2"/>
    <n v="3.5466951660000001"/>
    <n v="7.1550327659999997"/>
    <n v="140"/>
    <x v="3"/>
    <x v="16"/>
    <n v="250.57900000000001"/>
  </r>
  <r>
    <x v="120"/>
    <x v="6"/>
    <x v="0"/>
    <s v="juillet2021"/>
    <x v="339"/>
    <n v="400"/>
    <n v="0.4"/>
    <x v="1"/>
    <n v="0.3"/>
    <n v="0.7"/>
    <n v="0.16"/>
    <n v="5.1103872000000008"/>
    <n v="6.7400000000000002E-2"/>
    <n v="5.0230847519999999"/>
    <n v="10.133471952000001"/>
    <n v="140"/>
    <x v="3"/>
    <x v="0"/>
    <n v="266.166"/>
  </r>
  <r>
    <x v="121"/>
    <x v="6"/>
    <x v="0"/>
    <s v="juillet2021"/>
    <x v="340"/>
    <n v="300"/>
    <n v="0.3"/>
    <x v="2"/>
    <n v="0.3"/>
    <n v="0.7"/>
    <n v="0.16"/>
    <n v="3.7158191999999999"/>
    <n v="6.7400000000000002E-2"/>
    <n v="3.6523406220000001"/>
    <n v="7.368159822"/>
    <n v="131"/>
    <x v="14"/>
    <x v="1"/>
    <n v="258.04300000000001"/>
  </r>
  <r>
    <x v="121"/>
    <x v="6"/>
    <x v="0"/>
    <s v="juillet2021"/>
    <x v="341"/>
    <n v="300"/>
    <n v="0.3"/>
    <x v="1"/>
    <n v="0.3"/>
    <n v="0.7"/>
    <n v="0.16"/>
    <n v="3.6040031999999997"/>
    <n v="6.7400000000000002E-2"/>
    <n v="3.5424348119999998"/>
    <n v="7.1464380119999991"/>
    <n v="158"/>
    <x v="10"/>
    <x v="1"/>
    <n v="250.27799999999999"/>
  </r>
  <r>
    <x v="121"/>
    <x v="6"/>
    <x v="0"/>
    <s v="juillet2021"/>
    <x v="342"/>
    <n v="300"/>
    <n v="0.3"/>
    <x v="1"/>
    <n v="0.3"/>
    <n v="0.7"/>
    <n v="0.16"/>
    <n v="4.0052879999999993"/>
    <n v="6.7400000000000002E-2"/>
    <n v="3.9368643299999997"/>
    <n v="7.942152329999999"/>
    <n v="158"/>
    <x v="7"/>
    <x v="1"/>
    <n v="278.14499999999998"/>
  </r>
  <r>
    <x v="121"/>
    <x v="6"/>
    <x v="0"/>
    <s v="juillet2021"/>
    <x v="343"/>
    <n v="300"/>
    <n v="0.3"/>
    <x v="1"/>
    <n v="0.3"/>
    <n v="0.7"/>
    <n v="0.16"/>
    <n v="4.0103568000000003"/>
    <n v="6.7400000000000002E-2"/>
    <n v="3.9418465380000001"/>
    <n v="7.9522033380000003"/>
    <n v="158"/>
    <x v="11"/>
    <x v="1"/>
    <n v="278.49700000000001"/>
  </r>
  <r>
    <x v="122"/>
    <x v="6"/>
    <x v="0"/>
    <s v="juillet2021"/>
    <x v="344"/>
    <n v="250"/>
    <n v="0.25"/>
    <x v="3"/>
    <n v="1"/>
    <n v="0"/>
    <n v="0.24099999999999999"/>
    <n v="2.0536814999999997"/>
    <n v="0"/>
    <n v="0"/>
    <n v="2.0536814999999997"/>
    <n v="80"/>
    <x v="3"/>
    <x v="27"/>
    <n v="34.085999999999999"/>
  </r>
  <r>
    <x v="122"/>
    <x v="6"/>
    <x v="0"/>
    <s v="juillet2021"/>
    <x v="345"/>
    <n v="300"/>
    <n v="0.3"/>
    <x v="1"/>
    <n v="0.3"/>
    <n v="0.7"/>
    <n v="0.16"/>
    <n v="3.8354832000000001"/>
    <n v="6.7400000000000002E-2"/>
    <n v="3.769960362"/>
    <n v="7.6054435619999996"/>
    <n v="158"/>
    <x v="8"/>
    <x v="1"/>
    <n v="266.35300000000001"/>
  </r>
  <r>
    <x v="122"/>
    <x v="6"/>
    <x v="0"/>
    <s v="juillet2021"/>
    <x v="346"/>
    <n v="300"/>
    <n v="0.3"/>
    <x v="2"/>
    <n v="0.3"/>
    <n v="0.7"/>
    <n v="0.16"/>
    <n v="7.7979743999999993"/>
    <n v="6.7400000000000002E-2"/>
    <n v="7.6647590039999995"/>
    <n v="15.462733403999998"/>
    <n v="239"/>
    <x v="4"/>
    <x v="1"/>
    <n v="541.52599999999995"/>
  </r>
  <r>
    <x v="123"/>
    <x v="6"/>
    <x v="0"/>
    <s v="juillet2021"/>
    <x v="347"/>
    <n v="210"/>
    <n v="0.21"/>
    <x v="2"/>
    <n v="0.3"/>
    <n v="0.7"/>
    <n v="0.16"/>
    <n v="3.8349864"/>
    <n v="6.7400000000000002E-2"/>
    <n v="3.7694720489999995"/>
    <n v="7.6044584489999991"/>
    <n v="131"/>
    <x v="3"/>
    <x v="20"/>
    <n v="380.45499999999998"/>
  </r>
  <r>
    <x v="123"/>
    <x v="6"/>
    <x v="0"/>
    <s v="juillet2021"/>
    <x v="348"/>
    <n v="90"/>
    <n v="0.09"/>
    <x v="1"/>
    <n v="0.3"/>
    <n v="0.7"/>
    <n v="0.16"/>
    <n v="1.6386235199999999"/>
    <n v="6.7400000000000002E-2"/>
    <n v="1.6106303681999996"/>
    <n v="3.2492538881999993"/>
    <n v="160"/>
    <x v="3"/>
    <x v="51"/>
    <n v="379.31099999999998"/>
  </r>
  <r>
    <x v="123"/>
    <x v="6"/>
    <x v="0"/>
    <s v="juillet2021"/>
    <x v="349"/>
    <n v="300"/>
    <n v="0.3"/>
    <x v="1"/>
    <n v="0.3"/>
    <n v="0.7"/>
    <n v="0.16"/>
    <n v="7.4372256000000005"/>
    <n v="6.7400000000000002E-2"/>
    <n v="7.3101729960000004"/>
    <n v="14.747398596"/>
    <n v="228"/>
    <x v="0"/>
    <x v="1"/>
    <n v="516.47400000000005"/>
  </r>
  <r>
    <x v="124"/>
    <x v="6"/>
    <x v="0"/>
    <s v="juillet2021"/>
    <x v="350"/>
    <n v="300"/>
    <n v="0.3"/>
    <x v="2"/>
    <n v="0.3"/>
    <n v="0.7"/>
    <n v="0.16"/>
    <n v="5.4804383999999997"/>
    <n v="6.7400000000000002E-2"/>
    <n v="5.386814244"/>
    <n v="10.867252644000001"/>
    <n v="166"/>
    <x v="12"/>
    <x v="1"/>
    <n v="380.58600000000001"/>
  </r>
  <r>
    <x v="125"/>
    <x v="7"/>
    <x v="0"/>
    <s v="août2021"/>
    <x v="351"/>
    <n v="300"/>
    <n v="0.3"/>
    <x v="2"/>
    <n v="0.3"/>
    <n v="0.7"/>
    <n v="0.16"/>
    <n v="3.6276336000000002"/>
    <n v="6.7400000000000002E-2"/>
    <n v="3.565661526"/>
    <n v="7.1932951260000006"/>
    <n v="125"/>
    <x v="13"/>
    <x v="1"/>
    <n v="251.91900000000001"/>
  </r>
  <r>
    <x v="125"/>
    <x v="7"/>
    <x v="0"/>
    <s v="août2021"/>
    <x v="352"/>
    <n v="300"/>
    <n v="0.3"/>
    <x v="1"/>
    <n v="0.3"/>
    <n v="0.7"/>
    <n v="0.16"/>
    <n v="3.6040031999999997"/>
    <n v="6.7400000000000002E-2"/>
    <n v="3.5424348119999998"/>
    <n v="7.1464380119999991"/>
    <n v="125"/>
    <x v="10"/>
    <x v="1"/>
    <n v="250.27799999999999"/>
  </r>
  <r>
    <x v="126"/>
    <x v="7"/>
    <x v="0"/>
    <s v="août2021"/>
    <x v="353"/>
    <n v="300"/>
    <n v="0.3"/>
    <x v="1"/>
    <n v="0.3"/>
    <n v="0.7"/>
    <n v="0.16"/>
    <n v="3.8354832000000001"/>
    <n v="6.7400000000000002E-2"/>
    <n v="3.769960362"/>
    <n v="7.6054435619999996"/>
    <n v="125"/>
    <x v="8"/>
    <x v="1"/>
    <n v="266.35300000000001"/>
  </r>
  <r>
    <x v="126"/>
    <x v="7"/>
    <x v="0"/>
    <s v="août2021"/>
    <x v="354"/>
    <n v="150"/>
    <n v="0.15"/>
    <x v="1"/>
    <n v="0.3"/>
    <n v="0.7"/>
    <n v="0.16"/>
    <n v="1.6271928"/>
    <n v="6.7400000000000002E-2"/>
    <n v="1.599394923"/>
    <n v="3.2265877229999997"/>
    <n v="125"/>
    <x v="8"/>
    <x v="52"/>
    <n v="225.999"/>
  </r>
  <r>
    <x v="126"/>
    <x v="7"/>
    <x v="0"/>
    <s v="août2021"/>
    <x v="355"/>
    <n v="300"/>
    <n v="0.3"/>
    <x v="2"/>
    <n v="0.3"/>
    <n v="0.7"/>
    <n v="0.16"/>
    <n v="3.7158191999999999"/>
    <n v="6.7400000000000002E-2"/>
    <n v="3.6523406220000001"/>
    <n v="7.368159822"/>
    <n v="131"/>
    <x v="14"/>
    <x v="1"/>
    <n v="258.04300000000001"/>
  </r>
  <r>
    <x v="126"/>
    <x v="7"/>
    <x v="0"/>
    <s v="août2021"/>
    <x v="356"/>
    <n v="300"/>
    <n v="0.3"/>
    <x v="1"/>
    <n v="0.3"/>
    <n v="0.7"/>
    <n v="0.16"/>
    <n v="4.0420511999999995"/>
    <n v="6.7400000000000002E-2"/>
    <n v="3.9729994919999996"/>
    <n v="8.0150506919999991"/>
    <n v="180"/>
    <x v="3"/>
    <x v="17"/>
    <n v="280.69799999999998"/>
  </r>
  <r>
    <x v="127"/>
    <x v="7"/>
    <x v="0"/>
    <s v="août2021"/>
    <x v="357"/>
    <n v="300"/>
    <n v="0.3"/>
    <x v="2"/>
    <n v="0.3"/>
    <n v="0.7"/>
    <n v="0.16"/>
    <n v="7.7979743999999993"/>
    <n v="6.7400000000000002E-2"/>
    <n v="7.6647590039999995"/>
    <n v="15.462733403999998"/>
    <n v="196"/>
    <x v="4"/>
    <x v="1"/>
    <n v="541.52599999999995"/>
  </r>
  <r>
    <x v="127"/>
    <x v="7"/>
    <x v="0"/>
    <s v="août2021"/>
    <x v="358"/>
    <n v="700"/>
    <n v="0.7"/>
    <x v="1"/>
    <n v="0.3"/>
    <n v="0.7"/>
    <n v="0.16"/>
    <n v="17.3535264"/>
    <n v="6.7400000000000002E-2"/>
    <n v="17.057070324000001"/>
    <n v="34.410596724000001"/>
    <n v="228"/>
    <x v="0"/>
    <x v="1"/>
    <n v="516.47400000000005"/>
  </r>
  <r>
    <x v="128"/>
    <x v="7"/>
    <x v="0"/>
    <s v="août2021"/>
    <x v="359"/>
    <n v="20"/>
    <n v="0.02"/>
    <x v="1"/>
    <n v="0.3"/>
    <n v="0.7"/>
    <n v="0.16"/>
    <n v="0.25551936000000003"/>
    <n v="6.7400000000000002E-2"/>
    <n v="0.2511542376"/>
    <n v="0.50667359760000008"/>
    <n v="95"/>
    <x v="3"/>
    <x v="0"/>
    <n v="266.166"/>
  </r>
  <r>
    <x v="128"/>
    <x v="7"/>
    <x v="0"/>
    <s v="août2021"/>
    <x v="360"/>
    <n v="380"/>
    <n v="0.38"/>
    <x v="1"/>
    <n v="0.3"/>
    <n v="0.7"/>
    <n v="0.16"/>
    <n v="4.8548678399999998"/>
    <n v="6.7400000000000002E-2"/>
    <n v="4.7719305144000002"/>
    <n v="9.6267983544"/>
    <n v="95"/>
    <x v="3"/>
    <x v="0"/>
    <n v="266.166"/>
  </r>
  <r>
    <x v="129"/>
    <x v="7"/>
    <x v="0"/>
    <s v="août2021"/>
    <x v="361"/>
    <n v="300"/>
    <n v="0.3"/>
    <x v="2"/>
    <n v="0.3"/>
    <n v="0.7"/>
    <n v="0.16"/>
    <n v="5.4804383999999997"/>
    <n v="6.7400000000000002E-2"/>
    <n v="5.386814244"/>
    <n v="10.867252644000001"/>
    <n v="166"/>
    <x v="12"/>
    <x v="1"/>
    <n v="380.58600000000001"/>
  </r>
  <r>
    <x v="130"/>
    <x v="7"/>
    <x v="0"/>
    <s v="août2021"/>
    <x v="362"/>
    <n v="300"/>
    <n v="0.3"/>
    <x v="2"/>
    <n v="0.3"/>
    <n v="0.7"/>
    <n v="0.16"/>
    <n v="3.6276336000000002"/>
    <n v="6.7400000000000002E-2"/>
    <n v="3.565661526"/>
    <n v="7.1932951260000006"/>
    <n v="158"/>
    <x v="13"/>
    <x v="1"/>
    <n v="251.91900000000001"/>
  </r>
  <r>
    <x v="130"/>
    <x v="7"/>
    <x v="0"/>
    <s v="août2021"/>
    <x v="363"/>
    <n v="1200"/>
    <n v="1.2"/>
    <x v="1"/>
    <n v="0.3"/>
    <n v="0.7"/>
    <n v="0.16"/>
    <n v="16.041427200000001"/>
    <n v="6.7400000000000002E-2"/>
    <n v="15.767386152"/>
    <n v="31.808813352000001"/>
    <n v="218"/>
    <x v="11"/>
    <x v="1"/>
    <n v="278.49700000000001"/>
  </r>
  <r>
    <x v="131"/>
    <x v="7"/>
    <x v="0"/>
    <s v="août2021"/>
    <x v="364"/>
    <n v="300"/>
    <n v="0.3"/>
    <x v="1"/>
    <n v="0.3"/>
    <n v="0.7"/>
    <n v="0.16"/>
    <n v="3.8354832000000001"/>
    <n v="6.7400000000000002E-2"/>
    <n v="3.769960362"/>
    <n v="7.6054435619999996"/>
    <n v="157"/>
    <x v="8"/>
    <x v="1"/>
    <n v="266.35300000000001"/>
  </r>
  <r>
    <x v="131"/>
    <x v="7"/>
    <x v="0"/>
    <s v="août2021"/>
    <x v="365"/>
    <n v="810"/>
    <n v="0.81"/>
    <x v="1"/>
    <n v="0.3"/>
    <n v="0.7"/>
    <n v="0.16"/>
    <n v="10.34853408"/>
    <n v="6.7400000000000002E-2"/>
    <n v="10.171746622800001"/>
    <n v="20.520280702800001"/>
    <n v="165"/>
    <x v="3"/>
    <x v="0"/>
    <n v="266.166"/>
  </r>
  <r>
    <x v="131"/>
    <x v="7"/>
    <x v="0"/>
    <s v="août2021"/>
    <x v="366"/>
    <n v="200"/>
    <n v="0.2"/>
    <x v="1"/>
    <n v="0.3"/>
    <n v="0.7"/>
    <n v="0.16"/>
    <n v="3.6523680000000001"/>
    <n v="6.7400000000000002E-2"/>
    <n v="3.58997338"/>
    <n v="7.2423413800000001"/>
    <n v="170"/>
    <x v="3"/>
    <x v="20"/>
    <n v="380.45499999999998"/>
  </r>
  <r>
    <x v="131"/>
    <x v="7"/>
    <x v="0"/>
    <s v="août2021"/>
    <x v="367"/>
    <n v="200"/>
    <n v="0.2"/>
    <x v="1"/>
    <n v="0.3"/>
    <n v="0.7"/>
    <n v="0.16"/>
    <n v="4.9516608000000009"/>
    <n v="6.7400000000000002E-2"/>
    <n v="4.8670699280000003"/>
    <n v="9.818730728000002"/>
    <n v="182"/>
    <x v="3"/>
    <x v="2"/>
    <n v="515.798"/>
  </r>
  <r>
    <x v="132"/>
    <x v="7"/>
    <x v="0"/>
    <s v="août2021"/>
    <x v="368"/>
    <n v="150"/>
    <n v="0.15"/>
    <x v="3"/>
    <n v="1"/>
    <n v="0"/>
    <n v="0.24099999999999999"/>
    <n v="1.2322088999999998"/>
    <n v="0"/>
    <n v="0"/>
    <n v="1.2322088999999998"/>
    <n v="80"/>
    <x v="3"/>
    <x v="27"/>
    <n v="34.085999999999999"/>
  </r>
  <r>
    <x v="132"/>
    <x v="7"/>
    <x v="0"/>
    <s v="août2021"/>
    <x v="369"/>
    <n v="290"/>
    <n v="0.28999999999999998"/>
    <x v="1"/>
    <n v="0.3"/>
    <n v="0.7"/>
    <n v="0.16"/>
    <n v="3.4880596800000001"/>
    <n v="6.7400000000000002E-2"/>
    <n v="3.4284719937999997"/>
    <n v="6.9165316737999998"/>
    <n v="92"/>
    <x v="3"/>
    <x v="16"/>
    <n v="250.57900000000001"/>
  </r>
  <r>
    <x v="132"/>
    <x v="7"/>
    <x v="0"/>
    <s v="août2021"/>
    <x v="370"/>
    <n v="300"/>
    <n v="0.3"/>
    <x v="1"/>
    <n v="0.3"/>
    <n v="0.7"/>
    <n v="0.16"/>
    <n v="3.5826767999999998"/>
    <n v="6.7400000000000002E-2"/>
    <n v="3.5214727379999999"/>
    <n v="7.1041495379999997"/>
    <n v="132"/>
    <x v="3"/>
    <x v="19"/>
    <n v="248.797"/>
  </r>
  <r>
    <x v="133"/>
    <x v="7"/>
    <x v="0"/>
    <s v="août2021"/>
    <x v="371"/>
    <n v="800"/>
    <n v="0.8"/>
    <x v="1"/>
    <n v="0.3"/>
    <n v="0.7"/>
    <n v="0.16"/>
    <n v="19.832601600000004"/>
    <n v="6.7400000000000002E-2"/>
    <n v="19.493794656000002"/>
    <n v="39.32639625600001"/>
    <n v="253"/>
    <x v="0"/>
    <x v="1"/>
    <n v="516.47400000000005"/>
  </r>
  <r>
    <x v="134"/>
    <x v="7"/>
    <x v="0"/>
    <s v="août2021"/>
    <x v="372"/>
    <n v="300"/>
    <n v="0.3"/>
    <x v="2"/>
    <n v="0.3"/>
    <n v="0.7"/>
    <n v="0.16"/>
    <n v="5.4804383999999997"/>
    <n v="6.7400000000000002E-2"/>
    <n v="5.386814244"/>
    <n v="10.867252644000001"/>
    <n v="166"/>
    <x v="12"/>
    <x v="1"/>
    <n v="380.58600000000001"/>
  </r>
  <r>
    <x v="135"/>
    <x v="7"/>
    <x v="0"/>
    <s v="août2021"/>
    <x v="373"/>
    <n v="135"/>
    <n v="0.13500000000000001"/>
    <x v="1"/>
    <n v="0.3"/>
    <n v="0.7"/>
    <n v="0.16"/>
    <n v="1.7247556800000001"/>
    <n v="6.7400000000000002E-2"/>
    <n v="1.6952911038"/>
    <n v="3.4200467838000002"/>
    <n v="95"/>
    <x v="3"/>
    <x v="0"/>
    <n v="266.166"/>
  </r>
  <r>
    <x v="135"/>
    <x v="7"/>
    <x v="0"/>
    <s v="août2021"/>
    <x v="374"/>
    <n v="175"/>
    <n v="0.17499999999999999"/>
    <x v="1"/>
    <n v="0.3"/>
    <n v="0.7"/>
    <n v="0.16"/>
    <n v="2.3503115999999995"/>
    <n v="6.7400000000000002E-2"/>
    <n v="2.3101604434999996"/>
    <n v="4.6604720434999987"/>
    <n v="105"/>
    <x v="3"/>
    <x v="10"/>
    <n v="279.79899999999998"/>
  </r>
  <r>
    <x v="135"/>
    <x v="7"/>
    <x v="0"/>
    <s v="août2021"/>
    <x v="375"/>
    <n v="300"/>
    <n v="0.3"/>
    <x v="2"/>
    <n v="0.3"/>
    <n v="0.7"/>
    <n v="0.16"/>
    <n v="3.6276336000000002"/>
    <n v="6.7400000000000002E-2"/>
    <n v="3.565661526"/>
    <n v="7.1932951260000006"/>
    <n v="125"/>
    <x v="13"/>
    <x v="1"/>
    <n v="251.91900000000001"/>
  </r>
  <r>
    <x v="135"/>
    <x v="7"/>
    <x v="0"/>
    <s v="août2021"/>
    <x v="376"/>
    <n v="300"/>
    <n v="0.3"/>
    <x v="1"/>
    <n v="0.3"/>
    <n v="0.7"/>
    <n v="0.16"/>
    <n v="4.0103568000000003"/>
    <n v="6.7400000000000002E-2"/>
    <n v="3.9418465380000001"/>
    <n v="7.9522033380000003"/>
    <n v="131"/>
    <x v="11"/>
    <x v="1"/>
    <n v="278.49700000000001"/>
  </r>
  <r>
    <x v="136"/>
    <x v="7"/>
    <x v="0"/>
    <s v="août2021"/>
    <x v="377"/>
    <n v="150"/>
    <n v="0.15"/>
    <x v="2"/>
    <n v="0.3"/>
    <n v="0.7"/>
    <n v="0.16"/>
    <n v="1.7822519999999999"/>
    <n v="6.7400000000000002E-2"/>
    <n v="1.751805195"/>
    <n v="3.5340571949999999"/>
    <n v="60"/>
    <x v="22"/>
    <x v="1"/>
    <n v="247.535"/>
  </r>
  <r>
    <x v="136"/>
    <x v="7"/>
    <x v="0"/>
    <s v="août2021"/>
    <x v="378"/>
    <n v="300"/>
    <n v="0.3"/>
    <x v="1"/>
    <n v="0.3"/>
    <n v="0.7"/>
    <n v="0.16"/>
    <n v="3.8354832000000001"/>
    <n v="6.7400000000000002E-2"/>
    <n v="3.769960362"/>
    <n v="7.6054435619999996"/>
    <n v="125"/>
    <x v="8"/>
    <x v="1"/>
    <n v="266.35300000000001"/>
  </r>
  <r>
    <x v="136"/>
    <x v="7"/>
    <x v="0"/>
    <s v="août2021"/>
    <x v="379"/>
    <n v="300"/>
    <n v="0.3"/>
    <x v="1"/>
    <n v="0.3"/>
    <n v="0.7"/>
    <n v="0.16"/>
    <n v="4.0052879999999993"/>
    <n v="6.7400000000000002E-2"/>
    <n v="3.9368643299999997"/>
    <n v="7.942152329999999"/>
    <n v="158"/>
    <x v="7"/>
    <x v="1"/>
    <n v="278.14499999999998"/>
  </r>
  <r>
    <x v="136"/>
    <x v="7"/>
    <x v="0"/>
    <s v="août2021"/>
    <x v="380"/>
    <n v="150"/>
    <n v="0.15"/>
    <x v="1"/>
    <n v="0.3"/>
    <n v="0.7"/>
    <n v="0.16"/>
    <n v="7.1046431999999999"/>
    <n v="6.7400000000000002E-2"/>
    <n v="6.9832722120000001"/>
    <n v="14.087915412000001"/>
    <n v="175"/>
    <x v="6"/>
    <x v="0"/>
    <n v="986.75599999999997"/>
  </r>
  <r>
    <x v="137"/>
    <x v="7"/>
    <x v="0"/>
    <s v="août2021"/>
    <x v="381"/>
    <n v="255"/>
    <n v="0.255"/>
    <x v="2"/>
    <n v="0.3"/>
    <n v="0.7"/>
    <n v="0.16"/>
    <n v="10.249935120000002"/>
    <n v="6.7400000000000002E-2"/>
    <n v="10.0748320617"/>
    <n v="20.324767181700004"/>
    <n v="147"/>
    <x v="3"/>
    <x v="5"/>
    <n v="837.41300000000001"/>
  </r>
  <r>
    <x v="137"/>
    <x v="7"/>
    <x v="0"/>
    <s v="août2021"/>
    <x v="382"/>
    <n v="300"/>
    <n v="0.3"/>
    <x v="1"/>
    <n v="0.3"/>
    <n v="0.7"/>
    <n v="0.16"/>
    <n v="7.4372256000000005"/>
    <n v="6.7400000000000002E-2"/>
    <n v="7.3101729960000004"/>
    <n v="14.747398596"/>
    <n v="228"/>
    <x v="0"/>
    <x v="1"/>
    <n v="516.47400000000005"/>
  </r>
  <r>
    <x v="138"/>
    <x v="7"/>
    <x v="0"/>
    <s v="août2021"/>
    <x v="383"/>
    <n v="1170"/>
    <n v="1.17"/>
    <x v="1"/>
    <n v="0.3"/>
    <n v="0.7"/>
    <n v="0.16"/>
    <n v="28.967215679999999"/>
    <n v="6.7400000000000002E-2"/>
    <n v="28.472359078799997"/>
    <n v="57.439574758799992"/>
    <n v="287"/>
    <x v="3"/>
    <x v="2"/>
    <n v="515.798"/>
  </r>
  <r>
    <x v="139"/>
    <x v="7"/>
    <x v="0"/>
    <s v="août2021"/>
    <x v="384"/>
    <n v="275"/>
    <n v="0.27500000000000002"/>
    <x v="1"/>
    <n v="0.3"/>
    <n v="0.7"/>
    <n v="0.16"/>
    <n v="3.6933468"/>
    <n v="6.7400000000000002E-2"/>
    <n v="3.6302521255000002"/>
    <n v="7.3235989255000007"/>
    <n v="105"/>
    <x v="3"/>
    <x v="10"/>
    <n v="279.79899999999998"/>
  </r>
  <r>
    <x v="139"/>
    <x v="7"/>
    <x v="0"/>
    <s v="août2021"/>
    <x v="385"/>
    <n v="150"/>
    <n v="0.15"/>
    <x v="1"/>
    <n v="0.3"/>
    <n v="0.7"/>
    <n v="0.16"/>
    <n v="1.3719311999999999"/>
    <n v="6.7400000000000002E-2"/>
    <n v="1.348494042"/>
    <n v="2.7204252420000001"/>
    <n v="114.22"/>
    <x v="21"/>
    <x v="1"/>
    <n v="190.54599999999999"/>
  </r>
  <r>
    <x v="139"/>
    <x v="7"/>
    <x v="0"/>
    <s v="août2021"/>
    <x v="386"/>
    <n v="860"/>
    <n v="0.86"/>
    <x v="1"/>
    <n v="0.3"/>
    <n v="0.7"/>
    <n v="0.16"/>
    <n v="11.587213439999998"/>
    <n v="6.7400000000000002E-2"/>
    <n v="11.3892652104"/>
    <n v="22.976478650399997"/>
    <n v="145"/>
    <x v="3"/>
    <x v="17"/>
    <n v="280.69799999999998"/>
  </r>
  <r>
    <x v="139"/>
    <x v="7"/>
    <x v="0"/>
    <s v="août2021"/>
    <x v="387"/>
    <n v="780"/>
    <n v="0.78"/>
    <x v="1"/>
    <n v="0.3"/>
    <n v="0.7"/>
    <n v="0.16"/>
    <n v="9.9652550400000006"/>
    <n v="6.7400000000000002E-2"/>
    <n v="9.7950152664000001"/>
    <n v="19.760270306400002"/>
    <n v="165"/>
    <x v="3"/>
    <x v="0"/>
    <n v="266.166"/>
  </r>
  <r>
    <x v="139"/>
    <x v="7"/>
    <x v="0"/>
    <s v="août2021"/>
    <x v="388"/>
    <n v="300"/>
    <n v="0.3"/>
    <x v="2"/>
    <n v="0.3"/>
    <n v="0.7"/>
    <n v="0.16"/>
    <n v="5.4804383999999997"/>
    <n v="6.7400000000000002E-2"/>
    <n v="5.386814244"/>
    <n v="10.867252644000001"/>
    <n v="166"/>
    <x v="12"/>
    <x v="1"/>
    <n v="380.58600000000001"/>
  </r>
  <r>
    <x v="139"/>
    <x v="7"/>
    <x v="0"/>
    <s v="août2021"/>
    <x v="389"/>
    <n v="600"/>
    <n v="0.6"/>
    <x v="1"/>
    <n v="0.3"/>
    <n v="0.7"/>
    <n v="0.16"/>
    <n v="14.993625599999998"/>
    <n v="6.7400000000000002E-2"/>
    <n v="14.737484495999999"/>
    <n v="29.731110095999995"/>
    <n v="182"/>
    <x v="7"/>
    <x v="0"/>
    <n v="520.61199999999997"/>
  </r>
  <r>
    <x v="140"/>
    <x v="7"/>
    <x v="0"/>
    <s v="août2021"/>
    <x v="390"/>
    <n v="300"/>
    <n v="0.3"/>
    <x v="2"/>
    <n v="0.3"/>
    <n v="0.7"/>
    <n v="0.16"/>
    <n v="3.6276336000000002"/>
    <n v="6.7400000000000002E-2"/>
    <n v="3.565661526"/>
    <n v="7.1932951260000006"/>
    <n v="125"/>
    <x v="13"/>
    <x v="1"/>
    <n v="251.91900000000001"/>
  </r>
  <r>
    <x v="140"/>
    <x v="7"/>
    <x v="0"/>
    <s v="août2021"/>
    <x v="391"/>
    <n v="270"/>
    <n v="0.27"/>
    <x v="1"/>
    <n v="0.3"/>
    <n v="0.7"/>
    <n v="0.16"/>
    <n v="4.9306967999999998"/>
    <n v="6.7400000000000002E-2"/>
    <n v="4.846464063"/>
    <n v="9.7771608629999989"/>
    <n v="131"/>
    <x v="3"/>
    <x v="20"/>
    <n v="380.45499999999998"/>
  </r>
  <r>
    <x v="140"/>
    <x v="7"/>
    <x v="0"/>
    <s v="août2021"/>
    <x v="392"/>
    <n v="300"/>
    <n v="0.3"/>
    <x v="1"/>
    <n v="0.3"/>
    <n v="0.7"/>
    <n v="0.16"/>
    <n v="4.0103568000000003"/>
    <n v="6.7400000000000002E-2"/>
    <n v="3.9418465380000001"/>
    <n v="7.9522033380000003"/>
    <n v="158"/>
    <x v="11"/>
    <x v="1"/>
    <n v="278.49700000000001"/>
  </r>
  <r>
    <x v="140"/>
    <x v="7"/>
    <x v="0"/>
    <s v="août2021"/>
    <x v="393"/>
    <n v="300"/>
    <n v="0.3"/>
    <x v="1"/>
    <n v="0.3"/>
    <n v="0.7"/>
    <n v="0.16"/>
    <n v="4.0052879999999993"/>
    <n v="6.7400000000000002E-2"/>
    <n v="3.9368643299999997"/>
    <n v="7.942152329999999"/>
    <n v="158"/>
    <x v="7"/>
    <x v="1"/>
    <n v="278.14499999999998"/>
  </r>
  <r>
    <x v="140"/>
    <x v="7"/>
    <x v="0"/>
    <s v="août2021"/>
    <x v="394"/>
    <n v="300"/>
    <n v="0.3"/>
    <x v="1"/>
    <n v="0.3"/>
    <n v="0.7"/>
    <n v="0.16"/>
    <n v="3.6040031999999997"/>
    <n v="6.7400000000000002E-2"/>
    <n v="3.5424348119999998"/>
    <n v="7.1464380119999991"/>
    <n v="158"/>
    <x v="10"/>
    <x v="1"/>
    <n v="250.27799999999999"/>
  </r>
  <r>
    <x v="141"/>
    <x v="7"/>
    <x v="0"/>
    <s v="août2021"/>
    <x v="395"/>
    <n v="300"/>
    <n v="0.3"/>
    <x v="1"/>
    <n v="0.3"/>
    <n v="0.7"/>
    <n v="0.16"/>
    <n v="3.8354832000000001"/>
    <n v="6.7400000000000002E-2"/>
    <n v="3.769960362"/>
    <n v="7.6054435619999996"/>
    <n v="125"/>
    <x v="8"/>
    <x v="1"/>
    <n v="266.35300000000001"/>
  </r>
  <r>
    <x v="142"/>
    <x v="7"/>
    <x v="0"/>
    <s v="août2021"/>
    <x v="396"/>
    <n v="300"/>
    <n v="0.3"/>
    <x v="2"/>
    <n v="0.3"/>
    <n v="0.7"/>
    <n v="0.16"/>
    <n v="3.7158191999999999"/>
    <n v="6.7400000000000002E-2"/>
    <n v="3.6523406220000001"/>
    <n v="7.368159822"/>
    <n v="131"/>
    <x v="14"/>
    <x v="1"/>
    <n v="258.04300000000001"/>
  </r>
  <r>
    <x v="142"/>
    <x v="7"/>
    <x v="0"/>
    <s v="août2021"/>
    <x v="397"/>
    <n v="500"/>
    <n v="0.5"/>
    <x v="2"/>
    <n v="0.3"/>
    <n v="0.7"/>
    <n v="0.16"/>
    <n v="12.996623999999999"/>
    <n v="6.7400000000000002E-2"/>
    <n v="12.774598339999999"/>
    <n v="25.771222339999998"/>
    <n v="196"/>
    <x v="4"/>
    <x v="1"/>
    <n v="541.52599999999995"/>
  </r>
  <r>
    <x v="142"/>
    <x v="7"/>
    <x v="0"/>
    <s v="août2021"/>
    <x v="398"/>
    <n v="300"/>
    <n v="0.3"/>
    <x v="1"/>
    <n v="0.3"/>
    <n v="0.7"/>
    <n v="0.16"/>
    <n v="7.4372256000000005"/>
    <n v="6.7400000000000002E-2"/>
    <n v="7.3101729960000004"/>
    <n v="14.747398596"/>
    <n v="228"/>
    <x v="0"/>
    <x v="1"/>
    <n v="516.47400000000005"/>
  </r>
  <r>
    <x v="143"/>
    <x v="7"/>
    <x v="0"/>
    <s v="août2021"/>
    <x v="399"/>
    <n v="305"/>
    <n v="0.30499999999999999"/>
    <x v="1"/>
    <n v="0.3"/>
    <n v="0.7"/>
    <n v="0.16"/>
    <n v="3.6684765600000002"/>
    <n v="6.7400000000000002E-2"/>
    <n v="3.6058067520999999"/>
    <n v="7.2742833120999997"/>
    <n v="92"/>
    <x v="3"/>
    <x v="16"/>
    <n v="250.57900000000001"/>
  </r>
  <r>
    <x v="143"/>
    <x v="7"/>
    <x v="0"/>
    <s v="août2021"/>
    <x v="400"/>
    <n v="150"/>
    <n v="0.15"/>
    <x v="1"/>
    <n v="0.3"/>
    <n v="0.7"/>
    <n v="0.16"/>
    <n v="1.3688352000000001"/>
    <n v="6.7400000000000002E-2"/>
    <n v="1.3454509320000001"/>
    <n v="2.7142861320000002"/>
    <n v="100"/>
    <x v="3"/>
    <x v="38"/>
    <n v="190.11600000000001"/>
  </r>
  <r>
    <x v="143"/>
    <x v="7"/>
    <x v="0"/>
    <s v="août2021"/>
    <x v="401"/>
    <n v="305"/>
    <n v="0.30499999999999999"/>
    <x v="1"/>
    <n v="0.3"/>
    <n v="0.7"/>
    <n v="0.16"/>
    <n v="5.5698612000000001"/>
    <n v="6.7400000000000002E-2"/>
    <n v="5.4747094044999995"/>
    <n v="11.044570604499999"/>
    <n v="131"/>
    <x v="3"/>
    <x v="20"/>
    <n v="380.45499999999998"/>
  </r>
  <r>
    <x v="143"/>
    <x v="7"/>
    <x v="0"/>
    <s v="août2021"/>
    <x v="402"/>
    <n v="300"/>
    <n v="0.3"/>
    <x v="2"/>
    <n v="0.3"/>
    <n v="0.7"/>
    <n v="0.16"/>
    <n v="5.4804383999999997"/>
    <n v="6.7400000000000002E-2"/>
    <n v="5.386814244"/>
    <n v="10.867252644000001"/>
    <n v="166"/>
    <x v="12"/>
    <x v="1"/>
    <n v="380.58600000000001"/>
  </r>
  <r>
    <x v="143"/>
    <x v="7"/>
    <x v="0"/>
    <s v="août2021"/>
    <x v="403"/>
    <n v="1000"/>
    <n v="1"/>
    <x v="0"/>
    <n v="1"/>
    <n v="0"/>
    <n v="6.7400000000000002E-2"/>
    <n v="2.3459243999999999"/>
    <n v="0"/>
    <n v="0"/>
    <n v="2.3459243999999999"/>
    <n v="435.5"/>
    <x v="16"/>
    <x v="19"/>
    <n v="34.805999999999997"/>
  </r>
  <r>
    <x v="144"/>
    <x v="7"/>
    <x v="0"/>
    <s v="août2021"/>
    <x v="404"/>
    <n v="300"/>
    <n v="0.3"/>
    <x v="2"/>
    <n v="0.3"/>
    <n v="0.7"/>
    <n v="0.16"/>
    <n v="3.6276336000000002"/>
    <n v="6.7400000000000002E-2"/>
    <n v="3.565661526"/>
    <n v="7.1932951260000006"/>
    <n v="125"/>
    <x v="13"/>
    <x v="1"/>
    <n v="251.91900000000001"/>
  </r>
  <r>
    <x v="144"/>
    <x v="7"/>
    <x v="0"/>
    <s v="août2021"/>
    <x v="405"/>
    <n v="300"/>
    <n v="0.3"/>
    <x v="1"/>
    <n v="0.3"/>
    <n v="0.7"/>
    <n v="0.16"/>
    <n v="4.0103568000000003"/>
    <n v="6.7400000000000002E-2"/>
    <n v="3.9418465380000001"/>
    <n v="7.9522033380000003"/>
    <n v="158"/>
    <x v="11"/>
    <x v="1"/>
    <n v="278.49700000000001"/>
  </r>
  <r>
    <x v="145"/>
    <x v="8"/>
    <x v="0"/>
    <s v="septembre2021"/>
    <x v="406"/>
    <n v="300"/>
    <n v="0.3"/>
    <x v="2"/>
    <n v="0.3"/>
    <n v="0.7"/>
    <n v="0.16"/>
    <n v="3.7158191999999999"/>
    <n v="6.7400000000000002E-2"/>
    <n v="3.6523406220000001"/>
    <n v="7.368159822"/>
    <n v="131"/>
    <x v="14"/>
    <x v="1"/>
    <n v="258.04300000000001"/>
  </r>
  <r>
    <x v="145"/>
    <x v="8"/>
    <x v="0"/>
    <s v="septembre2021"/>
    <x v="407"/>
    <n v="300"/>
    <n v="0.3"/>
    <x v="1"/>
    <n v="0.3"/>
    <n v="0.7"/>
    <n v="0.16"/>
    <n v="3.6040031999999997"/>
    <n v="6.7400000000000002E-2"/>
    <n v="3.5424348119999998"/>
    <n v="7.1464380119999991"/>
    <n v="158"/>
    <x v="10"/>
    <x v="1"/>
    <n v="250.27799999999999"/>
  </r>
  <r>
    <x v="145"/>
    <x v="8"/>
    <x v="0"/>
    <s v="septembre2021"/>
    <x v="408"/>
    <n v="300"/>
    <n v="0.3"/>
    <x v="1"/>
    <n v="0.3"/>
    <n v="0.7"/>
    <n v="0.16"/>
    <n v="4.0052879999999993"/>
    <n v="6.7400000000000002E-2"/>
    <n v="3.9368643299999997"/>
    <n v="7.942152329999999"/>
    <n v="158"/>
    <x v="7"/>
    <x v="1"/>
    <n v="278.14499999999998"/>
  </r>
  <r>
    <x v="145"/>
    <x v="8"/>
    <x v="0"/>
    <s v="septembre2021"/>
    <x v="409"/>
    <n v="300"/>
    <n v="0.3"/>
    <x v="1"/>
    <n v="0.3"/>
    <n v="0.7"/>
    <n v="0.16"/>
    <n v="3.8354832000000001"/>
    <n v="6.7400000000000002E-2"/>
    <n v="3.769960362"/>
    <n v="7.6054435619999996"/>
    <n v="158"/>
    <x v="8"/>
    <x v="1"/>
    <n v="266.35300000000001"/>
  </r>
  <r>
    <x v="145"/>
    <x v="8"/>
    <x v="0"/>
    <s v="septembre2021"/>
    <x v="410"/>
    <n v="500"/>
    <n v="0.5"/>
    <x v="2"/>
    <n v="0.3"/>
    <n v="0.7"/>
    <n v="0.16"/>
    <n v="11.945640000000001"/>
    <n v="6.7400000000000002E-2"/>
    <n v="11.74156865"/>
    <n v="23.687208650000002"/>
    <n v="280"/>
    <x v="16"/>
    <x v="10"/>
    <n v="497.73500000000001"/>
  </r>
  <r>
    <x v="146"/>
    <x v="8"/>
    <x v="0"/>
    <s v="septembre2021"/>
    <x v="411"/>
    <n v="300"/>
    <n v="0.3"/>
    <x v="2"/>
    <n v="0.3"/>
    <n v="0.7"/>
    <n v="0.16"/>
    <n v="7.7979743999999993"/>
    <n v="6.7400000000000002E-2"/>
    <n v="7.6647590039999995"/>
    <n v="15.462733403999998"/>
    <n v="196"/>
    <x v="4"/>
    <x v="1"/>
    <n v="541.52599999999995"/>
  </r>
  <r>
    <x v="146"/>
    <x v="8"/>
    <x v="0"/>
    <s v="septembre2021"/>
    <x v="412"/>
    <n v="300"/>
    <n v="0.3"/>
    <x v="1"/>
    <n v="0.3"/>
    <n v="0.7"/>
    <n v="0.16"/>
    <n v="7.4372256000000005"/>
    <n v="6.7400000000000002E-2"/>
    <n v="7.3101729960000004"/>
    <n v="14.747398596"/>
    <n v="228"/>
    <x v="0"/>
    <x v="1"/>
    <n v="516.47400000000005"/>
  </r>
  <r>
    <x v="147"/>
    <x v="8"/>
    <x v="0"/>
    <s v="septembre2021"/>
    <x v="413"/>
    <n v="200"/>
    <n v="0.2"/>
    <x v="3"/>
    <n v="1"/>
    <n v="0"/>
    <n v="0.24099999999999999"/>
    <n v="2.5184017999999999"/>
    <n v="0"/>
    <n v="0"/>
    <n v="2.5184017999999999"/>
    <n v="110"/>
    <x v="20"/>
    <x v="1"/>
    <n v="52.249000000000002"/>
  </r>
  <r>
    <x v="148"/>
    <x v="8"/>
    <x v="0"/>
    <s v="septembre2021"/>
    <x v="414"/>
    <n v="150"/>
    <n v="0.15"/>
    <x v="1"/>
    <n v="0.3"/>
    <n v="0.7"/>
    <n v="0.16"/>
    <n v="2.0145527999999997"/>
    <n v="6.7400000000000002E-2"/>
    <n v="1.9801375229999998"/>
    <n v="3.9946903229999995"/>
    <n v="105"/>
    <x v="3"/>
    <x v="10"/>
    <n v="279.79899999999998"/>
  </r>
  <r>
    <x v="148"/>
    <x v="8"/>
    <x v="0"/>
    <s v="septembre2021"/>
    <x v="415"/>
    <n v="220"/>
    <n v="0.22"/>
    <x v="1"/>
    <n v="0.3"/>
    <n v="0.7"/>
    <n v="0.16"/>
    <n v="1.1545247999999999"/>
    <n v="6.7400000000000002E-2"/>
    <n v="1.1348016679999999"/>
    <n v="2.2893264679999996"/>
    <n v="120"/>
    <x v="16"/>
    <x v="17"/>
    <n v="109.33"/>
  </r>
  <r>
    <x v="149"/>
    <x v="8"/>
    <x v="0"/>
    <s v="septembre2021"/>
    <x v="416"/>
    <n v="300"/>
    <n v="0.3"/>
    <x v="2"/>
    <n v="0.3"/>
    <n v="0.7"/>
    <n v="0.16"/>
    <n v="3.6276336000000002"/>
    <n v="6.7400000000000002E-2"/>
    <n v="3.565661526"/>
    <n v="7.1932951260000006"/>
    <n v="125"/>
    <x v="13"/>
    <x v="1"/>
    <n v="251.91900000000001"/>
  </r>
  <r>
    <x v="149"/>
    <x v="8"/>
    <x v="0"/>
    <s v="septembre2021"/>
    <x v="417"/>
    <n v="300"/>
    <n v="0.3"/>
    <x v="1"/>
    <n v="0.3"/>
    <n v="0.7"/>
    <n v="0.16"/>
    <n v="4.0052879999999993"/>
    <n v="6.7400000000000002E-2"/>
    <n v="3.9368643299999997"/>
    <n v="7.942152329999999"/>
    <n v="158"/>
    <x v="7"/>
    <x v="1"/>
    <n v="278.14499999999998"/>
  </r>
  <r>
    <x v="149"/>
    <x v="8"/>
    <x v="0"/>
    <s v="septembre2021"/>
    <x v="418"/>
    <n v="300"/>
    <n v="0.3"/>
    <x v="2"/>
    <n v="0.3"/>
    <n v="0.7"/>
    <n v="0.16"/>
    <n v="5.4804383999999997"/>
    <n v="6.7400000000000002E-2"/>
    <n v="5.386814244"/>
    <n v="10.867252644000001"/>
    <n v="166"/>
    <x v="12"/>
    <x v="1"/>
    <n v="380.58600000000001"/>
  </r>
  <r>
    <x v="150"/>
    <x v="8"/>
    <x v="0"/>
    <s v="septembre2021"/>
    <x v="419"/>
    <n v="300"/>
    <n v="0.3"/>
    <x v="1"/>
    <n v="0.3"/>
    <n v="0.7"/>
    <n v="0.16"/>
    <n v="3.8354832000000001"/>
    <n v="6.7400000000000002E-2"/>
    <n v="3.769960362"/>
    <n v="7.6054435619999996"/>
    <n v="125"/>
    <x v="8"/>
    <x v="1"/>
    <n v="266.35300000000001"/>
  </r>
  <r>
    <x v="150"/>
    <x v="8"/>
    <x v="0"/>
    <s v="septembre2021"/>
    <x v="420"/>
    <n v="300"/>
    <n v="0.3"/>
    <x v="2"/>
    <n v="0.3"/>
    <n v="0.7"/>
    <n v="0.16"/>
    <n v="3.7158191999999999"/>
    <n v="6.7400000000000002E-2"/>
    <n v="3.6523406220000001"/>
    <n v="7.368159822"/>
    <n v="131"/>
    <x v="14"/>
    <x v="1"/>
    <n v="258.04300000000001"/>
  </r>
  <r>
    <x v="150"/>
    <x v="8"/>
    <x v="0"/>
    <s v="septembre2021"/>
    <x v="421"/>
    <n v="250"/>
    <n v="0.25"/>
    <x v="2"/>
    <n v="0.3"/>
    <n v="0.7"/>
    <n v="0.16"/>
    <n v="6.5999400000000001"/>
    <n v="6.7400000000000002E-2"/>
    <n v="6.4871910250000004"/>
    <n v="13.087131025000001"/>
    <n v="155"/>
    <x v="16"/>
    <x v="2"/>
    <n v="549.995"/>
  </r>
  <r>
    <x v="150"/>
    <x v="8"/>
    <x v="0"/>
    <s v="septembre2021"/>
    <x v="422"/>
    <n v="300"/>
    <n v="0.3"/>
    <x v="2"/>
    <n v="0.3"/>
    <n v="0.7"/>
    <n v="0.16"/>
    <n v="3.6040031999999997"/>
    <n v="6.7400000000000002E-2"/>
    <n v="3.5424348119999998"/>
    <n v="7.1464380119999991"/>
    <n v="158"/>
    <x v="10"/>
    <x v="1"/>
    <n v="250.27799999999999"/>
  </r>
  <r>
    <x v="151"/>
    <x v="8"/>
    <x v="0"/>
    <s v="septembre2021"/>
    <x v="423"/>
    <n v="180"/>
    <n v="0.18"/>
    <x v="1"/>
    <n v="0.3"/>
    <n v="0.7"/>
    <n v="0.16"/>
    <n v="1.76168736"/>
    <n v="6.7400000000000002E-2"/>
    <n v="1.7315918675999997"/>
    <n v="3.4932792275999995"/>
    <n v="111"/>
    <x v="3"/>
    <x v="53"/>
    <n v="203.899"/>
  </r>
  <r>
    <x v="151"/>
    <x v="8"/>
    <x v="0"/>
    <s v="septembre2021"/>
    <x v="424"/>
    <n v="300"/>
    <n v="0.3"/>
    <x v="1"/>
    <n v="0.3"/>
    <n v="0.7"/>
    <n v="0.16"/>
    <n v="7.4372256000000005"/>
    <n v="6.7400000000000002E-2"/>
    <n v="7.3101729960000004"/>
    <n v="14.747398596"/>
    <n v="228"/>
    <x v="0"/>
    <x v="1"/>
    <n v="516.47400000000005"/>
  </r>
  <r>
    <x v="152"/>
    <x v="8"/>
    <x v="0"/>
    <s v="septembre2021"/>
    <x v="425"/>
    <n v="185"/>
    <n v="0.185"/>
    <x v="2"/>
    <n v="0.3"/>
    <n v="0.7"/>
    <n v="0.16"/>
    <n v="2.4716236800000004"/>
    <n v="6.7400000000000002E-2"/>
    <n v="2.4294001087999999"/>
    <n v="4.9010237887999999"/>
    <n v="105"/>
    <x v="3"/>
    <x v="54"/>
    <n v="278.33600000000001"/>
  </r>
  <r>
    <x v="152"/>
    <x v="8"/>
    <x v="0"/>
    <s v="septembre2021"/>
    <x v="426"/>
    <n v="440"/>
    <n v="0.44"/>
    <x v="1"/>
    <n v="0.3"/>
    <n v="0.7"/>
    <n v="0.16"/>
    <n v="5.9283417599999995"/>
    <n v="6.7400000000000002E-2"/>
    <n v="5.8270659215999991"/>
    <n v="11.755407681599998"/>
    <n v="132"/>
    <x v="3"/>
    <x v="17"/>
    <n v="280.69799999999998"/>
  </r>
  <r>
    <x v="153"/>
    <x v="8"/>
    <x v="0"/>
    <s v="septembre2021"/>
    <x v="427"/>
    <n v="300"/>
    <n v="0.3"/>
    <x v="2"/>
    <n v="0.3"/>
    <n v="0.7"/>
    <n v="0.16"/>
    <n v="3.6276336000000002"/>
    <n v="6.7400000000000002E-2"/>
    <n v="3.565661526"/>
    <n v="7.1932951260000006"/>
    <n v="125"/>
    <x v="13"/>
    <x v="1"/>
    <n v="251.91900000000001"/>
  </r>
  <r>
    <x v="153"/>
    <x v="8"/>
    <x v="0"/>
    <s v="septembre2021"/>
    <x v="428"/>
    <n v="300"/>
    <n v="0.3"/>
    <x v="1"/>
    <n v="0.3"/>
    <n v="0.7"/>
    <n v="0.16"/>
    <n v="4.0052879999999993"/>
    <n v="6.7400000000000002E-2"/>
    <n v="3.9368643299999997"/>
    <n v="7.942152329999999"/>
    <n v="158"/>
    <x v="7"/>
    <x v="1"/>
    <n v="278.14499999999998"/>
  </r>
  <r>
    <x v="154"/>
    <x v="8"/>
    <x v="0"/>
    <s v="septembre2021"/>
    <x v="429"/>
    <n v="300"/>
    <n v="0.3"/>
    <x v="1"/>
    <n v="0.3"/>
    <n v="0.7"/>
    <n v="0.16"/>
    <n v="3.8354832000000001"/>
    <n v="6.7400000000000002E-2"/>
    <n v="3.769960362"/>
    <n v="7.6054435619999996"/>
    <n v="125"/>
    <x v="8"/>
    <x v="1"/>
    <n v="266.35300000000001"/>
  </r>
  <r>
    <x v="154"/>
    <x v="8"/>
    <x v="0"/>
    <s v="septembre2021"/>
    <x v="430"/>
    <n v="300"/>
    <n v="0.3"/>
    <x v="2"/>
    <n v="0.3"/>
    <n v="0.7"/>
    <n v="0.16"/>
    <n v="3.7158191999999999"/>
    <n v="6.7400000000000002E-2"/>
    <n v="3.6523406220000001"/>
    <n v="7.368159822"/>
    <n v="131"/>
    <x v="14"/>
    <x v="1"/>
    <n v="258.04300000000001"/>
  </r>
  <r>
    <x v="154"/>
    <x v="8"/>
    <x v="0"/>
    <s v="septembre2021"/>
    <x v="431"/>
    <n v="300"/>
    <n v="0.3"/>
    <x v="2"/>
    <n v="0.3"/>
    <n v="0.7"/>
    <n v="0.16"/>
    <n v="3.6040031999999997"/>
    <n v="6.7400000000000002E-2"/>
    <n v="3.5424348119999998"/>
    <n v="7.1464380119999991"/>
    <n v="158"/>
    <x v="10"/>
    <x v="1"/>
    <n v="250.27799999999999"/>
  </r>
  <r>
    <x v="155"/>
    <x v="8"/>
    <x v="0"/>
    <s v="septembre2021"/>
    <x v="432"/>
    <n v="300"/>
    <n v="0.3"/>
    <x v="1"/>
    <n v="0.3"/>
    <n v="0.7"/>
    <n v="0.16"/>
    <n v="4.0103568000000003"/>
    <n v="6.7400000000000002E-2"/>
    <n v="3.9418465380000001"/>
    <n v="7.9522033380000003"/>
    <n v="206"/>
    <x v="11"/>
    <x v="1"/>
    <n v="278.49700000000001"/>
  </r>
  <r>
    <x v="155"/>
    <x v="8"/>
    <x v="0"/>
    <s v="septembre2021"/>
    <x v="433"/>
    <n v="300"/>
    <n v="0.3"/>
    <x v="2"/>
    <n v="0.3"/>
    <n v="0.7"/>
    <n v="0.16"/>
    <n v="7.7979743999999993"/>
    <n v="6.7400000000000002E-2"/>
    <n v="7.6647590039999995"/>
    <n v="15.462733403999998"/>
    <n v="239"/>
    <x v="4"/>
    <x v="1"/>
    <n v="541.52599999999995"/>
  </r>
  <r>
    <x v="155"/>
    <x v="8"/>
    <x v="0"/>
    <s v="septembre2021"/>
    <x v="434"/>
    <n v="600"/>
    <n v="0.6"/>
    <x v="1"/>
    <n v="0.3"/>
    <n v="0.7"/>
    <n v="0.16"/>
    <n v="14.874451200000001"/>
    <n v="6.7400000000000002E-2"/>
    <n v="14.620345992000001"/>
    <n v="29.494797192"/>
    <n v="253"/>
    <x v="0"/>
    <x v="1"/>
    <n v="516.47400000000005"/>
  </r>
  <r>
    <x v="156"/>
    <x v="8"/>
    <x v="0"/>
    <s v="septembre2021"/>
    <x v="435"/>
    <n v="800"/>
    <n v="0.8"/>
    <x v="1"/>
    <n v="0.3"/>
    <n v="0.7"/>
    <n v="0.16"/>
    <n v="10.220774400000002"/>
    <n v="6.7400000000000002E-2"/>
    <n v="10.046169504"/>
    <n v="20.266943904000001"/>
    <n v="132"/>
    <x v="3"/>
    <x v="0"/>
    <n v="266.166"/>
  </r>
  <r>
    <x v="156"/>
    <x v="8"/>
    <x v="0"/>
    <s v="septembre2021"/>
    <x v="436"/>
    <n v="600"/>
    <n v="0.6"/>
    <x v="2"/>
    <n v="0.3"/>
    <n v="0.7"/>
    <n v="0.16"/>
    <n v="10.960876799999999"/>
    <n v="6.7400000000000002E-2"/>
    <n v="10.773628488"/>
    <n v="21.734505288000001"/>
    <n v="200"/>
    <x v="12"/>
    <x v="1"/>
    <n v="380.58600000000001"/>
  </r>
  <r>
    <x v="157"/>
    <x v="8"/>
    <x v="0"/>
    <s v="septembre2021"/>
    <x v="437"/>
    <n v="300"/>
    <n v="0.3"/>
    <x v="2"/>
    <n v="0.3"/>
    <n v="0.7"/>
    <n v="0.16"/>
    <n v="3.7158191999999999"/>
    <n v="6.7400000000000002E-2"/>
    <n v="3.6523406220000001"/>
    <n v="7.368159822"/>
    <n v="131"/>
    <x v="14"/>
    <x v="1"/>
    <n v="258.04300000000001"/>
  </r>
  <r>
    <x v="157"/>
    <x v="8"/>
    <x v="0"/>
    <s v="septembre2021"/>
    <x v="438"/>
    <n v="300"/>
    <n v="0.3"/>
    <x v="1"/>
    <n v="0.3"/>
    <n v="0.7"/>
    <n v="0.16"/>
    <n v="4.0052879999999993"/>
    <n v="6.7400000000000002E-2"/>
    <n v="3.9368643299999997"/>
    <n v="7.942152329999999"/>
    <n v="158"/>
    <x v="7"/>
    <x v="1"/>
    <n v="278.14499999999998"/>
  </r>
  <r>
    <x v="157"/>
    <x v="8"/>
    <x v="0"/>
    <s v="septembre2021"/>
    <x v="439"/>
    <n v="300"/>
    <n v="0.3"/>
    <x v="1"/>
    <n v="0.3"/>
    <n v="0.7"/>
    <n v="0.16"/>
    <n v="3.6040031999999997"/>
    <n v="6.7400000000000002E-2"/>
    <n v="3.5424348119999998"/>
    <n v="7.1464380119999991"/>
    <n v="158"/>
    <x v="10"/>
    <x v="1"/>
    <n v="250.27799999999999"/>
  </r>
  <r>
    <x v="157"/>
    <x v="8"/>
    <x v="0"/>
    <s v="septembre2021"/>
    <x v="440"/>
    <n v="150"/>
    <n v="0.15"/>
    <x v="1"/>
    <n v="0.3"/>
    <n v="0.7"/>
    <n v="0.16"/>
    <n v="5.4150624000000001"/>
    <n v="6.7400000000000002E-2"/>
    <n v="5.3225550840000002"/>
    <n v="10.737617484000001"/>
    <n v="175"/>
    <x v="6"/>
    <x v="1"/>
    <n v="752.09199999999998"/>
  </r>
  <r>
    <x v="158"/>
    <x v="8"/>
    <x v="0"/>
    <s v="septembre2021"/>
    <x v="441"/>
    <n v="150"/>
    <n v="0.15"/>
    <x v="3"/>
    <n v="1"/>
    <n v="0"/>
    <n v="0.24099999999999999"/>
    <n v="0.67459514999999992"/>
    <n v="0"/>
    <n v="0"/>
    <n v="0.67459514999999992"/>
    <n v="60"/>
    <x v="3"/>
    <x v="55"/>
    <n v="18.661000000000001"/>
  </r>
  <r>
    <x v="158"/>
    <x v="8"/>
    <x v="0"/>
    <s v="septembre2021"/>
    <x v="442"/>
    <n v="3200"/>
    <n v="3.2"/>
    <x v="0"/>
    <n v="1"/>
    <n v="0"/>
    <n v="6.7400000000000002E-2"/>
    <n v="57.447015040000004"/>
    <n v="0"/>
    <n v="0"/>
    <n v="57.447015040000004"/>
    <n v="410"/>
    <x v="8"/>
    <x v="1"/>
    <n v="266.35300000000001"/>
  </r>
  <r>
    <x v="159"/>
    <x v="8"/>
    <x v="0"/>
    <s v="septembre2021"/>
    <x v="443"/>
    <n v="200"/>
    <n v="0.2"/>
    <x v="1"/>
    <n v="0.3"/>
    <n v="0.7"/>
    <n v="0.16"/>
    <n v="2.5569888000000005"/>
    <n v="6.7400000000000002E-2"/>
    <n v="2.5133069080000001"/>
    <n v="5.0702957080000006"/>
    <n v="125"/>
    <x v="8"/>
    <x v="1"/>
    <n v="266.35300000000001"/>
  </r>
  <r>
    <x v="159"/>
    <x v="8"/>
    <x v="0"/>
    <s v="septembre2021"/>
    <x v="444"/>
    <n v="300"/>
    <n v="0.3"/>
    <x v="1"/>
    <n v="0.3"/>
    <n v="0.7"/>
    <n v="0.16"/>
    <n v="7.4372256000000005"/>
    <n v="6.7400000000000002E-2"/>
    <n v="7.3101729960000004"/>
    <n v="14.747398596"/>
    <n v="165"/>
    <x v="0"/>
    <x v="1"/>
    <n v="516.47400000000005"/>
  </r>
  <r>
    <x v="160"/>
    <x v="8"/>
    <x v="0"/>
    <s v="septembre2021"/>
    <x v="445"/>
    <n v="200"/>
    <n v="0.2"/>
    <x v="3"/>
    <n v="1"/>
    <n v="0"/>
    <n v="0.24099999999999999"/>
    <n v="2.1666382"/>
    <n v="0"/>
    <n v="0"/>
    <n v="2.1666382"/>
    <n v="80"/>
    <x v="3"/>
    <x v="15"/>
    <n v="44.951000000000001"/>
  </r>
  <r>
    <x v="160"/>
    <x v="8"/>
    <x v="0"/>
    <s v="septembre2021"/>
    <x v="446"/>
    <n v="200"/>
    <n v="0.2"/>
    <x v="1"/>
    <n v="0.3"/>
    <n v="0.7"/>
    <n v="0.16"/>
    <n v="2.2507392000000004"/>
    <n v="6.7400000000000002E-2"/>
    <n v="2.2122890719999999"/>
    <n v="4.4630282720000007"/>
    <n v="125"/>
    <x v="3"/>
    <x v="56"/>
    <n v="234.452"/>
  </r>
  <r>
    <x v="160"/>
    <x v="8"/>
    <x v="0"/>
    <s v="septembre2021"/>
    <x v="447"/>
    <n v="200"/>
    <n v="0.2"/>
    <x v="1"/>
    <n v="0.3"/>
    <n v="0.7"/>
    <n v="0.16"/>
    <n v="5.5854912000000008"/>
    <n v="6.7400000000000002E-2"/>
    <n v="5.4900723920000001"/>
    <n v="11.075563592000002"/>
    <n v="145"/>
    <x v="3"/>
    <x v="57"/>
    <n v="581.822"/>
  </r>
  <r>
    <x v="161"/>
    <x v="8"/>
    <x v="0"/>
    <s v="septembre2021"/>
    <x v="448"/>
    <n v="800"/>
    <n v="0.8"/>
    <x v="3"/>
    <n v="1"/>
    <n v="0"/>
    <n v="0.24099999999999999"/>
    <n v="14.411607199999999"/>
    <n v="0"/>
    <n v="0"/>
    <n v="14.411607199999999"/>
    <n v="154"/>
    <x v="3"/>
    <x v="21"/>
    <n v="74.748999999999995"/>
  </r>
  <r>
    <x v="161"/>
    <x v="8"/>
    <x v="0"/>
    <s v="septembre2021"/>
    <x v="449"/>
    <n v="500"/>
    <n v="0.5"/>
    <x v="3"/>
    <n v="1"/>
    <n v="0"/>
    <n v="0.24099999999999999"/>
    <n v="9.0072544999999984"/>
    <n v="0"/>
    <n v="0"/>
    <n v="9.0072544999999984"/>
    <n v="154"/>
    <x v="3"/>
    <x v="21"/>
    <n v="74.748999999999995"/>
  </r>
  <r>
    <x v="161"/>
    <x v="8"/>
    <x v="0"/>
    <s v="septembre2021"/>
    <x v="450"/>
    <n v="300"/>
    <n v="0.3"/>
    <x v="2"/>
    <n v="0.3"/>
    <n v="0.7"/>
    <n v="0.16"/>
    <n v="3.6276336000000002"/>
    <n v="6.7400000000000002E-2"/>
    <n v="3.565661526"/>
    <n v="7.1932951260000006"/>
    <n v="158"/>
    <x v="13"/>
    <x v="1"/>
    <n v="251.91900000000001"/>
  </r>
  <r>
    <x v="161"/>
    <x v="8"/>
    <x v="0"/>
    <s v="septembre2021"/>
    <x v="451"/>
    <n v="500"/>
    <n v="0.5"/>
    <x v="3"/>
    <n v="1"/>
    <n v="0"/>
    <n v="0.24099999999999999"/>
    <n v="9.0072544999999984"/>
    <n v="0"/>
    <n v="0"/>
    <n v="9.0072544999999984"/>
    <n v="174"/>
    <x v="3"/>
    <x v="21"/>
    <n v="74.748999999999995"/>
  </r>
  <r>
    <x v="162"/>
    <x v="8"/>
    <x v="0"/>
    <s v="septembre2021"/>
    <x v="452"/>
    <n v="300"/>
    <n v="0.3"/>
    <x v="1"/>
    <n v="0.3"/>
    <n v="0.7"/>
    <n v="0.16"/>
    <n v="3.8354832000000001"/>
    <n v="6.7400000000000002E-2"/>
    <n v="3.769960362"/>
    <n v="7.6054435619999996"/>
    <n v="125"/>
    <x v="8"/>
    <x v="1"/>
    <n v="266.35300000000001"/>
  </r>
  <r>
    <x v="162"/>
    <x v="8"/>
    <x v="0"/>
    <s v="septembre2021"/>
    <x v="453"/>
    <n v="300"/>
    <n v="0.3"/>
    <x v="1"/>
    <n v="0.3"/>
    <n v="0.7"/>
    <n v="0.16"/>
    <n v="7.4372256000000005"/>
    <n v="6.7400000000000002E-2"/>
    <n v="7.3101729960000004"/>
    <n v="14.747398596"/>
    <n v="228"/>
    <x v="0"/>
    <x v="1"/>
    <n v="516.47400000000005"/>
  </r>
  <r>
    <x v="163"/>
    <x v="0"/>
    <x v="1"/>
    <s v="janvier2022"/>
    <x v="454"/>
    <n v="300"/>
    <n v="0.3"/>
    <x v="1"/>
    <n v="0.3"/>
    <n v="0.7"/>
    <n v="0.16"/>
    <n v="3.5826767999999998"/>
    <n v="6.7400000000000002E-2"/>
    <n v="3.5214727379999999"/>
    <n v="7.1041495379999997"/>
    <n v="90"/>
    <x v="3"/>
    <x v="19"/>
    <n v="248.797"/>
  </r>
  <r>
    <x v="163"/>
    <x v="0"/>
    <x v="1"/>
    <s v="janvier2022"/>
    <x v="455"/>
    <n v="225"/>
    <n v="0.22500000000000001"/>
    <x v="1"/>
    <n v="0.3"/>
    <n v="0.7"/>
    <n v="0.16"/>
    <n v="5.6226095999999997"/>
    <n v="6.7400000000000002E-2"/>
    <n v="5.5265566859999993"/>
    <n v="11.149166286"/>
    <n v="110"/>
    <x v="7"/>
    <x v="0"/>
    <n v="520.61199999999997"/>
  </r>
  <r>
    <x v="163"/>
    <x v="0"/>
    <x v="1"/>
    <s v="janvier2022"/>
    <x v="456"/>
    <n v="500"/>
    <n v="0.5"/>
    <x v="1"/>
    <n v="0.3"/>
    <n v="0.7"/>
    <n v="0.16"/>
    <n v="6.7151759999999996"/>
    <n v="6.7400000000000002E-2"/>
    <n v="6.6004584099999999"/>
    <n v="13.315634409999999"/>
    <n v="155"/>
    <x v="3"/>
    <x v="10"/>
    <n v="279.79899999999998"/>
  </r>
  <r>
    <x v="164"/>
    <x v="0"/>
    <x v="1"/>
    <s v="janvier2022"/>
    <x v="457"/>
    <n v="594"/>
    <n v="0.59399999999999997"/>
    <x v="2"/>
    <n v="0.3"/>
    <n v="0.7"/>
    <n v="0.16"/>
    <n v="15.430124159999998"/>
    <n v="6.7400000000000002E-2"/>
    <n v="15.166526205599999"/>
    <n v="30.596650365599999"/>
    <n v="190"/>
    <x v="3"/>
    <x v="8"/>
    <n v="541.17999999999995"/>
  </r>
  <r>
    <x v="165"/>
    <x v="0"/>
    <x v="1"/>
    <s v="janvier2022"/>
    <x v="458"/>
    <n v="200"/>
    <n v="0.2"/>
    <x v="1"/>
    <n v="0.3"/>
    <n v="0.7"/>
    <n v="0.16"/>
    <n v="4.958150400000001"/>
    <n v="6.7400000000000002E-2"/>
    <n v="4.8734486640000005"/>
    <n v="9.8315990640000024"/>
    <n v="165"/>
    <x v="0"/>
    <x v="1"/>
    <n v="516.47400000000005"/>
  </r>
  <r>
    <x v="166"/>
    <x v="0"/>
    <x v="1"/>
    <s v="janvier2022"/>
    <x v="459"/>
    <n v="62"/>
    <n v="6.2E-2"/>
    <x v="1"/>
    <n v="0.3"/>
    <n v="0.7"/>
    <n v="0.16"/>
    <n v="0.56578521599999998"/>
    <n v="6.7400000000000002E-2"/>
    <n v="0.55611971856000009"/>
    <n v="1.1219049345600001"/>
    <n v="100"/>
    <x v="3"/>
    <x v="38"/>
    <n v="190.11600000000001"/>
  </r>
  <r>
    <x v="166"/>
    <x v="0"/>
    <x v="1"/>
    <s v="janvier2022"/>
    <x v="460"/>
    <n v="800"/>
    <n v="0.8"/>
    <x v="1"/>
    <n v="0.3"/>
    <n v="0.7"/>
    <n v="0.16"/>
    <n v="29.086771200000001"/>
    <n v="6.7400000000000002E-2"/>
    <n v="28.589872191999998"/>
    <n v="57.676643392000003"/>
    <n v="360"/>
    <x v="8"/>
    <x v="58"/>
    <n v="757.46799999999996"/>
  </r>
  <r>
    <x v="167"/>
    <x v="0"/>
    <x v="1"/>
    <s v="janvier2022"/>
    <x v="461"/>
    <n v="450"/>
    <n v="0.45"/>
    <x v="7"/>
    <n v="1"/>
    <n v="0"/>
    <n v="0.16"/>
    <n v="3.9427920000000007"/>
    <n v="0"/>
    <n v="0"/>
    <n v="3.9427920000000007"/>
    <n v="123"/>
    <x v="2"/>
    <x v="1"/>
    <n v="54.761000000000003"/>
  </r>
  <r>
    <x v="167"/>
    <x v="0"/>
    <x v="1"/>
    <s v="janvier2022"/>
    <x v="462"/>
    <n v="148"/>
    <n v="0.14799999999999999"/>
    <x v="1"/>
    <n v="0.3"/>
    <n v="0.7"/>
    <n v="0.16"/>
    <n v="2.7027523200000001"/>
    <n v="6.7400000000000002E-2"/>
    <n v="2.6565803012"/>
    <n v="5.3593326212000001"/>
    <n v="131"/>
    <x v="3"/>
    <x v="20"/>
    <n v="380.45499999999998"/>
  </r>
  <r>
    <x v="167"/>
    <x v="0"/>
    <x v="1"/>
    <s v="janvier2022"/>
    <x v="463"/>
    <n v="311"/>
    <n v="0.311"/>
    <x v="1"/>
    <n v="0.3"/>
    <n v="0.7"/>
    <n v="0.16"/>
    <n v="4.1902597439999996"/>
    <n v="6.7400000000000002E-2"/>
    <n v="4.1186761400399998"/>
    <n v="8.3089358840400003"/>
    <n v="132"/>
    <x v="3"/>
    <x v="17"/>
    <n v="280.69799999999998"/>
  </r>
  <r>
    <x v="167"/>
    <x v="0"/>
    <x v="1"/>
    <s v="janvier2022"/>
    <x v="464"/>
    <n v="57"/>
    <n v="5.7000000000000002E-2"/>
    <x v="1"/>
    <n v="0.3"/>
    <n v="0.7"/>
    <n v="0.16"/>
    <n v="1.4112233280000002"/>
    <n v="6.7400000000000002E-2"/>
    <n v="1.38711492948"/>
    <n v="2.7983382574800002"/>
    <n v="140"/>
    <x v="3"/>
    <x v="2"/>
    <n v="515.798"/>
  </r>
  <r>
    <x v="168"/>
    <x v="0"/>
    <x v="1"/>
    <s v="janvier2022"/>
    <x v="465"/>
    <n v="300"/>
    <n v="0.3"/>
    <x v="1"/>
    <n v="0.3"/>
    <n v="0.7"/>
    <n v="0.16"/>
    <n v="3.5493840000000003"/>
    <n v="6.7400000000000002E-2"/>
    <n v="3.48874869"/>
    <n v="7.0381326900000003"/>
    <n v="100"/>
    <x v="3"/>
    <x v="39"/>
    <n v="246.48500000000001"/>
  </r>
  <r>
    <x v="169"/>
    <x v="0"/>
    <x v="1"/>
    <s v="janvier2022"/>
    <x v="466"/>
    <n v="200"/>
    <n v="0.2"/>
    <x v="1"/>
    <n v="0.3"/>
    <n v="0.7"/>
    <n v="0.16"/>
    <n v="1.9824672000000003"/>
    <n v="6.7400000000000002E-2"/>
    <n v="1.948600052"/>
    <n v="3.9310672520000001"/>
    <n v="118"/>
    <x v="18"/>
    <x v="0"/>
    <n v="206.50700000000001"/>
  </r>
  <r>
    <x v="170"/>
    <x v="0"/>
    <x v="1"/>
    <s v="janvier2022"/>
    <x v="467"/>
    <n v="225"/>
    <n v="0.22500000000000001"/>
    <x v="1"/>
    <n v="0.3"/>
    <n v="0.7"/>
    <n v="0.16"/>
    <n v="5.6226095999999997"/>
    <n v="6.7400000000000002E-2"/>
    <n v="5.5265566859999993"/>
    <n v="11.149166286"/>
    <n v="110"/>
    <x v="7"/>
    <x v="0"/>
    <n v="520.61199999999997"/>
  </r>
  <r>
    <x v="170"/>
    <x v="0"/>
    <x v="1"/>
    <s v="janvier2022"/>
    <x v="468"/>
    <n v="500"/>
    <n v="0.5"/>
    <x v="2"/>
    <n v="0.3"/>
    <n v="0.7"/>
    <n v="0.16"/>
    <n v="6.1930320000000005"/>
    <n v="6.7400000000000002E-2"/>
    <n v="6.08723437"/>
    <n v="12.28026637"/>
    <n v="158"/>
    <x v="14"/>
    <x v="1"/>
    <n v="258.04300000000001"/>
  </r>
  <r>
    <x v="170"/>
    <x v="0"/>
    <x v="1"/>
    <s v="janvier2022"/>
    <x v="469"/>
    <n v="300"/>
    <n v="0.3"/>
    <x v="1"/>
    <n v="0.3"/>
    <n v="0.7"/>
    <n v="0.16"/>
    <n v="7.4372256000000005"/>
    <n v="6.7400000000000002E-2"/>
    <n v="7.3101729960000004"/>
    <n v="14.747398596"/>
    <n v="228"/>
    <x v="0"/>
    <x v="1"/>
    <n v="516.47400000000005"/>
  </r>
  <r>
    <x v="171"/>
    <x v="0"/>
    <x v="1"/>
    <s v="janvier2022"/>
    <x v="470"/>
    <n v="600"/>
    <n v="0.6"/>
    <x v="1"/>
    <n v="0.3"/>
    <n v="0.7"/>
    <n v="0.16"/>
    <n v="21.6602496"/>
    <n v="6.7400000000000002E-2"/>
    <n v="21.290220336000001"/>
    <n v="42.950469936000005"/>
    <n v="358"/>
    <x v="6"/>
    <x v="1"/>
    <n v="752.09199999999998"/>
  </r>
  <r>
    <x v="172"/>
    <x v="0"/>
    <x v="1"/>
    <s v="janvier2022"/>
    <x v="471"/>
    <n v="189"/>
    <n v="0.189"/>
    <x v="1"/>
    <n v="0.3"/>
    <n v="0.7"/>
    <n v="0.16"/>
    <n v="2.5464922560000001"/>
    <n v="6.7400000000000002E-2"/>
    <n v="2.5029896799599998"/>
    <n v="5.0494819359599994"/>
    <n v="100"/>
    <x v="3"/>
    <x v="17"/>
    <n v="280.69799999999998"/>
  </r>
  <r>
    <x v="173"/>
    <x v="0"/>
    <x v="1"/>
    <s v="janvier2022"/>
    <x v="472"/>
    <n v="100"/>
    <n v="0.1"/>
    <x v="1"/>
    <n v="0.3"/>
    <n v="0.7"/>
    <n v="0.16"/>
    <n v="1.2775968000000002"/>
    <n v="6.7400000000000002E-2"/>
    <n v="1.255771188"/>
    <n v="2.5333679880000002"/>
    <n v="100"/>
    <x v="3"/>
    <x v="0"/>
    <n v="266.166"/>
  </r>
  <r>
    <x v="173"/>
    <x v="0"/>
    <x v="1"/>
    <s v="janvier2022"/>
    <x v="473"/>
    <n v="300"/>
    <n v="0.3"/>
    <x v="1"/>
    <n v="0.3"/>
    <n v="0.7"/>
    <n v="0.16"/>
    <n v="4.0052879999999993"/>
    <n v="6.7400000000000002E-2"/>
    <n v="3.9368643299999997"/>
    <n v="7.942152329999999"/>
    <n v="166"/>
    <x v="7"/>
    <x v="1"/>
    <n v="278.14499999999998"/>
  </r>
  <r>
    <x v="173"/>
    <x v="0"/>
    <x v="1"/>
    <s v="janvier2022"/>
    <x v="474"/>
    <n v="450"/>
    <n v="0.45"/>
    <x v="1"/>
    <n v="0.3"/>
    <n v="0.7"/>
    <n v="0.16"/>
    <n v="5.3468856000000002"/>
    <n v="6.7400000000000002E-2"/>
    <n v="5.2555429709999997"/>
    <n v="10.602428571000001"/>
    <n v="250"/>
    <x v="16"/>
    <x v="1"/>
    <n v="247.541"/>
  </r>
  <r>
    <x v="174"/>
    <x v="0"/>
    <x v="1"/>
    <s v="janvier2022"/>
    <x v="475"/>
    <n v="150"/>
    <n v="0.15"/>
    <x v="1"/>
    <n v="0.3"/>
    <n v="0.7"/>
    <n v="0.16"/>
    <n v="3.7186128000000003"/>
    <n v="6.7400000000000002E-2"/>
    <n v="3.6550864980000002"/>
    <n v="7.373699298"/>
    <n v="165"/>
    <x v="0"/>
    <x v="1"/>
    <n v="516.47400000000005"/>
  </r>
  <r>
    <x v="175"/>
    <x v="0"/>
    <x v="1"/>
    <s v="janvier2022"/>
    <x v="476"/>
    <n v="900"/>
    <n v="0.9"/>
    <x v="7"/>
    <n v="1"/>
    <n v="0"/>
    <n v="0.16"/>
    <n v="7.8855840000000015"/>
    <n v="0"/>
    <n v="0"/>
    <n v="7.8855840000000015"/>
    <n v="160"/>
    <x v="2"/>
    <x v="1"/>
    <n v="54.761000000000003"/>
  </r>
  <r>
    <x v="176"/>
    <x v="0"/>
    <x v="1"/>
    <s v="janvier2022"/>
    <x v="477"/>
    <n v="600"/>
    <n v="0.6"/>
    <x v="7"/>
    <n v="1"/>
    <n v="0"/>
    <n v="0.16"/>
    <n v="5.2570560000000004"/>
    <n v="0"/>
    <n v="0"/>
    <n v="5.2570560000000004"/>
    <n v="100"/>
    <x v="2"/>
    <x v="1"/>
    <n v="54.761000000000003"/>
  </r>
  <r>
    <x v="176"/>
    <x v="0"/>
    <x v="1"/>
    <s v="janvier2022"/>
    <x v="478"/>
    <n v="147"/>
    <n v="0.14699999999999999"/>
    <x v="1"/>
    <n v="0.3"/>
    <n v="0.7"/>
    <n v="0.16"/>
    <n v="2.68449048"/>
    <n v="6.7400000000000002E-2"/>
    <n v="2.6386304342999995"/>
    <n v="5.3231209142999996"/>
    <n v="131"/>
    <x v="3"/>
    <x v="20"/>
    <n v="380.45499999999998"/>
  </r>
  <r>
    <x v="176"/>
    <x v="0"/>
    <x v="1"/>
    <s v="janvier2022"/>
    <x v="479"/>
    <n v="129"/>
    <n v="0.129"/>
    <x v="1"/>
    <n v="0.3"/>
    <n v="0.7"/>
    <n v="0.16"/>
    <n v="3.3375746880000001"/>
    <n v="6.7400000000000002E-2"/>
    <n v="3.2805577870799998"/>
    <n v="6.6181324750799995"/>
    <n v="190"/>
    <x v="3"/>
    <x v="59"/>
    <n v="539.01400000000001"/>
  </r>
  <r>
    <x v="177"/>
    <x v="0"/>
    <x v="1"/>
    <s v="janvier2022"/>
    <x v="480"/>
    <n v="80"/>
    <n v="0.08"/>
    <x v="1"/>
    <n v="0.3"/>
    <n v="0.7"/>
    <n v="0.16"/>
    <n v="0.98653824000000001"/>
    <n v="6.7400000000000002E-2"/>
    <n v="0.96968487840000006"/>
    <n v="1.9562231184000001"/>
    <n v="110"/>
    <x v="3"/>
    <x v="4"/>
    <n v="256.911"/>
  </r>
  <r>
    <x v="177"/>
    <x v="0"/>
    <x v="1"/>
    <s v="janvier2022"/>
    <x v="481"/>
    <n v="200"/>
    <n v="0.2"/>
    <x v="2"/>
    <n v="0.3"/>
    <n v="0.7"/>
    <n v="0.16"/>
    <n v="2.4772128000000002"/>
    <n v="6.7400000000000002E-2"/>
    <n v="2.4348937479999999"/>
    <n v="4.9121065480000006"/>
    <n v="131"/>
    <x v="14"/>
    <x v="1"/>
    <n v="258.04300000000001"/>
  </r>
  <r>
    <x v="178"/>
    <x v="0"/>
    <x v="1"/>
    <s v="janvier2022"/>
    <x v="482"/>
    <n v="600"/>
    <n v="0.6"/>
    <x v="1"/>
    <n v="0.3"/>
    <n v="0.7"/>
    <n v="0.16"/>
    <n v="7.6709664000000002"/>
    <n v="6.7400000000000002E-2"/>
    <n v="7.5399207239999999"/>
    <n v="15.210887123999999"/>
    <n v="157"/>
    <x v="8"/>
    <x v="1"/>
    <n v="266.35300000000001"/>
  </r>
  <r>
    <x v="178"/>
    <x v="0"/>
    <x v="1"/>
    <s v="janvier2022"/>
    <x v="483"/>
    <n v="600"/>
    <n v="0.6"/>
    <x v="1"/>
    <n v="0.3"/>
    <n v="0.7"/>
    <n v="0.16"/>
    <n v="8.0207136000000006"/>
    <n v="6.7400000000000002E-2"/>
    <n v="7.8836930760000001"/>
    <n v="15.904406676000001"/>
    <n v="158"/>
    <x v="11"/>
    <x v="1"/>
    <n v="278.49700000000001"/>
  </r>
  <r>
    <x v="178"/>
    <x v="0"/>
    <x v="1"/>
    <s v="janvier2022"/>
    <x v="484"/>
    <n v="150"/>
    <n v="0.15"/>
    <x v="2"/>
    <n v="0.3"/>
    <n v="0.7"/>
    <n v="0.16"/>
    <n v="3.8989871999999997"/>
    <n v="6.7400000000000002E-2"/>
    <n v="3.8323795019999998"/>
    <n v="7.731366701999999"/>
    <n v="196"/>
    <x v="4"/>
    <x v="1"/>
    <n v="541.52599999999995"/>
  </r>
  <r>
    <x v="179"/>
    <x v="0"/>
    <x v="1"/>
    <s v="janvier2022"/>
    <x v="485"/>
    <n v="150"/>
    <n v="0.15"/>
    <x v="1"/>
    <n v="0.3"/>
    <n v="0.7"/>
    <n v="0.16"/>
    <n v="3.7186128000000003"/>
    <n v="6.7400000000000002E-2"/>
    <n v="3.6550864980000002"/>
    <n v="7.373699298"/>
    <n v="165"/>
    <x v="0"/>
    <x v="1"/>
    <n v="516.47400000000005"/>
  </r>
  <r>
    <x v="180"/>
    <x v="1"/>
    <x v="1"/>
    <s v="février2022"/>
    <x v="486"/>
    <n v="90"/>
    <n v="0.09"/>
    <x v="1"/>
    <n v="0.3"/>
    <n v="0.7"/>
    <n v="0.16"/>
    <n v="1.10985552"/>
    <n v="6.7400000000000002E-2"/>
    <n v="1.0908954881999999"/>
    <n v="2.2007510082000001"/>
    <n v="110"/>
    <x v="3"/>
    <x v="4"/>
    <n v="256.911"/>
  </r>
  <r>
    <x v="181"/>
    <x v="1"/>
    <x v="1"/>
    <s v="février2022"/>
    <x v="487"/>
    <n v="450"/>
    <n v="0.45"/>
    <x v="2"/>
    <n v="0.3"/>
    <n v="0.7"/>
    <n v="0.16"/>
    <n v="17.593675200000003"/>
    <n v="6.7400000000000002E-2"/>
    <n v="17.293116582"/>
    <n v="34.886791782000003"/>
    <n v="476"/>
    <x v="4"/>
    <x v="0"/>
    <n v="814.52200000000005"/>
  </r>
  <r>
    <x v="182"/>
    <x v="1"/>
    <x v="1"/>
    <s v="février2022"/>
    <x v="488"/>
    <n v="220"/>
    <n v="0.22"/>
    <x v="1"/>
    <n v="0.3"/>
    <n v="0.7"/>
    <n v="0.16"/>
    <n v="2.6494828799999999"/>
    <n v="6.7400000000000002E-2"/>
    <n v="2.6042208807999998"/>
    <n v="5.2537037607999997"/>
    <n v="100"/>
    <x v="5"/>
    <x v="0"/>
    <n v="250.898"/>
  </r>
  <r>
    <x v="182"/>
    <x v="1"/>
    <x v="1"/>
    <s v="février2022"/>
    <x v="489"/>
    <n v="600"/>
    <n v="0.6"/>
    <x v="1"/>
    <n v="0.3"/>
    <n v="0.7"/>
    <n v="0.16"/>
    <n v="8.0207136000000006"/>
    <n v="6.7400000000000002E-2"/>
    <n v="7.8836930760000001"/>
    <n v="15.904406676000001"/>
    <n v="158"/>
    <x v="11"/>
    <x v="1"/>
    <n v="278.49700000000001"/>
  </r>
  <r>
    <x v="182"/>
    <x v="1"/>
    <x v="1"/>
    <s v="février2022"/>
    <x v="490"/>
    <n v="300"/>
    <n v="0.3"/>
    <x v="1"/>
    <n v="0.3"/>
    <n v="0.7"/>
    <n v="0.16"/>
    <n v="3.6040031999999997"/>
    <n v="6.7400000000000002E-2"/>
    <n v="3.5424348119999998"/>
    <n v="7.1464380119999991"/>
    <n v="158"/>
    <x v="10"/>
    <x v="1"/>
    <n v="250.27799999999999"/>
  </r>
  <r>
    <x v="182"/>
    <x v="1"/>
    <x v="1"/>
    <s v="février2022"/>
    <x v="491"/>
    <n v="300"/>
    <n v="0.3"/>
    <x v="1"/>
    <n v="0.3"/>
    <n v="0.7"/>
    <n v="0.16"/>
    <n v="7.4372256000000005"/>
    <n v="6.7400000000000002E-2"/>
    <n v="7.3101729960000004"/>
    <n v="14.747398596"/>
    <n v="228"/>
    <x v="0"/>
    <x v="1"/>
    <n v="516.47400000000005"/>
  </r>
  <r>
    <x v="182"/>
    <x v="1"/>
    <x v="1"/>
    <s v="février2022"/>
    <x v="492"/>
    <n v="800"/>
    <n v="0.8"/>
    <x v="1"/>
    <n v="0.3"/>
    <n v="0.7"/>
    <n v="0.16"/>
    <n v="19.273459200000001"/>
    <n v="6.7400000000000002E-2"/>
    <n v="18.944204272"/>
    <n v="38.217663471999998"/>
    <n v="275"/>
    <x v="2"/>
    <x v="2"/>
    <n v="501.91300000000001"/>
  </r>
  <r>
    <x v="183"/>
    <x v="1"/>
    <x v="1"/>
    <s v="février2022"/>
    <x v="493"/>
    <n v="400"/>
    <n v="0.4"/>
    <x v="1"/>
    <n v="0.3"/>
    <n v="0.7"/>
    <n v="0.16"/>
    <n v="5.113977600000001"/>
    <n v="6.7400000000000002E-2"/>
    <n v="5.0266138160000002"/>
    <n v="10.140591416000001"/>
    <n v="157"/>
    <x v="8"/>
    <x v="1"/>
    <n v="266.35300000000001"/>
  </r>
  <r>
    <x v="184"/>
    <x v="1"/>
    <x v="1"/>
    <s v="février2022"/>
    <x v="494"/>
    <n v="80"/>
    <n v="0.08"/>
    <x v="1"/>
    <n v="0.3"/>
    <n v="0.7"/>
    <n v="0.16"/>
    <n v="0.17904768000000001"/>
    <n v="6.7400000000000002E-2"/>
    <n v="0.17598894880000002"/>
    <n v="0.35503662880000003"/>
    <n v="80"/>
    <x v="3"/>
    <x v="60"/>
    <n v="46.627000000000002"/>
  </r>
  <r>
    <x v="184"/>
    <x v="1"/>
    <x v="1"/>
    <s v="février2022"/>
    <x v="495"/>
    <n v="80"/>
    <n v="0.08"/>
    <x v="1"/>
    <n v="0.3"/>
    <n v="0.7"/>
    <n v="0.16"/>
    <n v="1.0196928000000001"/>
    <n v="6.7400000000000002E-2"/>
    <n v="1.0022730480000002"/>
    <n v="2.0219658480000002"/>
    <n v="100"/>
    <x v="3"/>
    <x v="11"/>
    <n v="265.54500000000002"/>
  </r>
  <r>
    <x v="184"/>
    <x v="1"/>
    <x v="1"/>
    <s v="février2022"/>
    <x v="496"/>
    <n v="80"/>
    <n v="0.08"/>
    <x v="1"/>
    <n v="0.3"/>
    <n v="0.7"/>
    <n v="0.16"/>
    <n v="0.98653824000000001"/>
    <n v="6.7400000000000002E-2"/>
    <n v="0.96968487840000006"/>
    <n v="1.9562231184000001"/>
    <n v="100"/>
    <x v="3"/>
    <x v="4"/>
    <n v="256.911"/>
  </r>
  <r>
    <x v="184"/>
    <x v="1"/>
    <x v="1"/>
    <s v="février2022"/>
    <x v="497"/>
    <n v="80"/>
    <n v="0.08"/>
    <x v="1"/>
    <n v="0.3"/>
    <n v="0.7"/>
    <n v="0.16"/>
    <n v="1.0220774400000001"/>
    <n v="6.7400000000000002E-2"/>
    <n v="1.0046169504"/>
    <n v="2.0266943904000003"/>
    <n v="100"/>
    <x v="3"/>
    <x v="0"/>
    <n v="266.166"/>
  </r>
  <r>
    <x v="184"/>
    <x v="1"/>
    <x v="1"/>
    <s v="février2022"/>
    <x v="498"/>
    <n v="80"/>
    <n v="0.08"/>
    <x v="1"/>
    <n v="0.3"/>
    <n v="0.7"/>
    <n v="0.16"/>
    <n v="0.95538047999999998"/>
    <n v="6.7400000000000002E-2"/>
    <n v="0.93905939680000006"/>
    <n v="1.8944398767999999"/>
    <n v="100"/>
    <x v="3"/>
    <x v="19"/>
    <n v="248.797"/>
  </r>
  <r>
    <x v="184"/>
    <x v="1"/>
    <x v="1"/>
    <s v="février2022"/>
    <x v="499"/>
    <n v="80"/>
    <n v="0.08"/>
    <x v="2"/>
    <n v="0.3"/>
    <n v="0.7"/>
    <n v="0.16"/>
    <n v="1.76066688"/>
    <n v="6.7400000000000002E-2"/>
    <n v="1.7305888208000002"/>
    <n v="3.4912557008"/>
    <n v="118"/>
    <x v="3"/>
    <x v="61"/>
    <n v="458.50700000000001"/>
  </r>
  <r>
    <x v="184"/>
    <x v="1"/>
    <x v="1"/>
    <s v="février2022"/>
    <x v="500"/>
    <n v="80"/>
    <n v="0.08"/>
    <x v="1"/>
    <n v="0.3"/>
    <n v="0.7"/>
    <n v="0.16"/>
    <n v="1.98066432"/>
    <n v="6.7400000000000002E-2"/>
    <n v="1.9468279712000001"/>
    <n v="3.9274922912000001"/>
    <n v="140"/>
    <x v="3"/>
    <x v="2"/>
    <n v="515.798"/>
  </r>
  <r>
    <x v="184"/>
    <x v="1"/>
    <x v="1"/>
    <s v="février2022"/>
    <x v="501"/>
    <n v="80"/>
    <n v="0.08"/>
    <x v="2"/>
    <n v="0.3"/>
    <n v="0.7"/>
    <n v="0.16"/>
    <n v="2.8433088000000004"/>
    <n v="6.7400000000000002E-2"/>
    <n v="2.7947356080000003"/>
    <n v="5.6380444080000007"/>
    <n v="159"/>
    <x v="3"/>
    <x v="3"/>
    <n v="740.44500000000005"/>
  </r>
  <r>
    <x v="184"/>
    <x v="1"/>
    <x v="1"/>
    <s v="février2022"/>
    <x v="502"/>
    <n v="200"/>
    <n v="0.2"/>
    <x v="2"/>
    <n v="0.3"/>
    <n v="0.7"/>
    <n v="0.16"/>
    <n v="3.6536256000000003"/>
    <n v="6.7400000000000002E-2"/>
    <n v="3.5912094960000003"/>
    <n v="7.244835096000001"/>
    <n v="166"/>
    <x v="12"/>
    <x v="1"/>
    <n v="380.58600000000001"/>
  </r>
  <r>
    <x v="185"/>
    <x v="1"/>
    <x v="1"/>
    <s v="février2022"/>
    <x v="503"/>
    <n v="300"/>
    <n v="0.3"/>
    <x v="1"/>
    <n v="0.3"/>
    <n v="0.7"/>
    <n v="0.16"/>
    <n v="4.0420511999999995"/>
    <n v="6.7400000000000002E-2"/>
    <n v="3.9729994919999996"/>
    <n v="8.0150506919999991"/>
    <n v="132"/>
    <x v="3"/>
    <x v="17"/>
    <n v="280.69799999999998"/>
  </r>
  <r>
    <x v="185"/>
    <x v="1"/>
    <x v="1"/>
    <s v="février2022"/>
    <x v="504"/>
    <n v="200"/>
    <n v="0.2"/>
    <x v="1"/>
    <n v="0.3"/>
    <n v="0.7"/>
    <n v="0.16"/>
    <n v="2.6701920000000001"/>
    <n v="6.7400000000000002E-2"/>
    <n v="2.6245762199999998"/>
    <n v="5.2947682199999999"/>
    <n v="158"/>
    <x v="7"/>
    <x v="1"/>
    <n v="278.14499999999998"/>
  </r>
  <r>
    <x v="186"/>
    <x v="1"/>
    <x v="1"/>
    <s v="février2022"/>
    <x v="505"/>
    <n v="250"/>
    <n v="0.25"/>
    <x v="2"/>
    <n v="0.3"/>
    <n v="0.7"/>
    <n v="0.16"/>
    <n v="6.4983119999999994"/>
    <n v="6.7400000000000002E-2"/>
    <n v="6.3872991699999995"/>
    <n v="12.885611169999999"/>
    <n v="196"/>
    <x v="4"/>
    <x v="1"/>
    <n v="541.52599999999995"/>
  </r>
  <r>
    <x v="187"/>
    <x v="1"/>
    <x v="1"/>
    <s v="février2022"/>
    <x v="506"/>
    <n v="200"/>
    <n v="0.2"/>
    <x v="2"/>
    <n v="0.3"/>
    <n v="0.7"/>
    <n v="0.16"/>
    <n v="2.4772128000000002"/>
    <n v="6.7400000000000002E-2"/>
    <n v="2.4348937479999999"/>
    <n v="4.9121065480000006"/>
    <n v="131"/>
    <x v="14"/>
    <x v="1"/>
    <n v="258.04300000000001"/>
  </r>
  <r>
    <x v="187"/>
    <x v="1"/>
    <x v="1"/>
    <s v="février2022"/>
    <x v="507"/>
    <n v="300"/>
    <n v="0.3"/>
    <x v="1"/>
    <n v="0.3"/>
    <n v="0.7"/>
    <n v="0.16"/>
    <n v="4.0103568000000003"/>
    <n v="6.7400000000000002E-2"/>
    <n v="3.9418465380000001"/>
    <n v="7.9522033380000003"/>
    <n v="158"/>
    <x v="11"/>
    <x v="1"/>
    <n v="278.49700000000001"/>
  </r>
  <r>
    <x v="188"/>
    <x v="1"/>
    <x v="1"/>
    <s v="février2022"/>
    <x v="508"/>
    <n v="150"/>
    <n v="0.15"/>
    <x v="1"/>
    <n v="0.3"/>
    <n v="0.7"/>
    <n v="0.16"/>
    <n v="1.8020015999999999"/>
    <n v="6.7400000000000002E-2"/>
    <n v="1.7712174059999999"/>
    <n v="3.5732190059999995"/>
    <n v="100"/>
    <x v="10"/>
    <x v="1"/>
    <n v="250.27799999999999"/>
  </r>
  <r>
    <x v="188"/>
    <x v="1"/>
    <x v="1"/>
    <s v="février2022"/>
    <x v="509"/>
    <n v="160"/>
    <n v="0.16"/>
    <x v="1"/>
    <n v="0.3"/>
    <n v="0.7"/>
    <n v="0.16"/>
    <n v="3.9613286400000001"/>
    <n v="6.7400000000000002E-2"/>
    <n v="3.8936559424000001"/>
    <n v="7.8549845824000002"/>
    <n v="182"/>
    <x v="3"/>
    <x v="2"/>
    <n v="515.798"/>
  </r>
  <r>
    <x v="188"/>
    <x v="1"/>
    <x v="1"/>
    <s v="février2022"/>
    <x v="510"/>
    <n v="160"/>
    <n v="0.16"/>
    <x v="2"/>
    <n v="0.3"/>
    <n v="0.7"/>
    <n v="0.16"/>
    <n v="5.6866176000000008"/>
    <n v="6.7400000000000002E-2"/>
    <n v="5.5894712160000006"/>
    <n v="11.276088816000001"/>
    <n v="210"/>
    <x v="3"/>
    <x v="3"/>
    <n v="740.44500000000005"/>
  </r>
  <r>
    <x v="188"/>
    <x v="1"/>
    <x v="1"/>
    <s v="février2022"/>
    <x v="511"/>
    <n v="300"/>
    <n v="0.3"/>
    <x v="1"/>
    <n v="0.3"/>
    <n v="0.7"/>
    <n v="0.16"/>
    <n v="7.4372256000000005"/>
    <n v="6.7400000000000002E-2"/>
    <n v="7.3101729960000004"/>
    <n v="14.747398596"/>
    <n v="228"/>
    <x v="0"/>
    <x v="1"/>
    <n v="516.47400000000005"/>
  </r>
  <r>
    <x v="189"/>
    <x v="1"/>
    <x v="1"/>
    <s v="février2022"/>
    <x v="512"/>
    <n v="480"/>
    <n v="0.48"/>
    <x v="1"/>
    <n v="0.3"/>
    <n v="0.7"/>
    <n v="0.16"/>
    <n v="6.4672819199999987"/>
    <n v="6.7400000000000002E-2"/>
    <n v="6.3567991872"/>
    <n v="12.824081107199998"/>
    <n v="132"/>
    <x v="3"/>
    <x v="17"/>
    <n v="280.69799999999998"/>
  </r>
  <r>
    <x v="189"/>
    <x v="1"/>
    <x v="1"/>
    <s v="février2022"/>
    <x v="513"/>
    <n v="480"/>
    <n v="0.48"/>
    <x v="1"/>
    <n v="0.3"/>
    <n v="0.7"/>
    <n v="0.16"/>
    <n v="5.6790143999999998"/>
    <n v="6.7400000000000002E-2"/>
    <n v="5.5819979040000005"/>
    <n v="11.261012304000001"/>
    <n v="132"/>
    <x v="3"/>
    <x v="39"/>
    <n v="246.48500000000001"/>
  </r>
  <r>
    <x v="189"/>
    <x v="1"/>
    <x v="1"/>
    <s v="février2022"/>
    <x v="514"/>
    <n v="90"/>
    <n v="0.09"/>
    <x v="1"/>
    <n v="0.3"/>
    <n v="0.7"/>
    <n v="0.16"/>
    <n v="2.2282473600000001"/>
    <n v="6.7400000000000002E-2"/>
    <n v="2.1901814675999995"/>
    <n v="4.4184288275999997"/>
    <n v="140"/>
    <x v="3"/>
    <x v="2"/>
    <n v="515.798"/>
  </r>
  <r>
    <x v="189"/>
    <x v="1"/>
    <x v="1"/>
    <s v="février2022"/>
    <x v="515"/>
    <n v="750"/>
    <n v="0.75"/>
    <x v="1"/>
    <n v="0.3"/>
    <n v="0.7"/>
    <n v="0.16"/>
    <n v="8.9114760000000004"/>
    <n v="6.7400000000000002E-2"/>
    <n v="8.7592382850000003"/>
    <n v="17.670714285000003"/>
    <n v="390"/>
    <x v="16"/>
    <x v="1"/>
    <n v="247.541"/>
  </r>
  <r>
    <x v="190"/>
    <x v="1"/>
    <x v="1"/>
    <s v="février2022"/>
    <x v="516"/>
    <n v="200"/>
    <n v="0.2"/>
    <x v="1"/>
    <n v="0.3"/>
    <n v="0.7"/>
    <n v="0.16"/>
    <n v="2.6701920000000001"/>
    <n v="6.7400000000000002E-2"/>
    <n v="2.6245762199999998"/>
    <n v="5.2947682199999999"/>
    <n v="158"/>
    <x v="7"/>
    <x v="1"/>
    <n v="278.14499999999998"/>
  </r>
  <r>
    <x v="190"/>
    <x v="1"/>
    <x v="1"/>
    <s v="février2022"/>
    <x v="517"/>
    <n v="300"/>
    <n v="0.3"/>
    <x v="1"/>
    <n v="0.3"/>
    <n v="0.7"/>
    <n v="0.16"/>
    <n v="3.8354832000000001"/>
    <n v="6.7400000000000002E-2"/>
    <n v="3.769960362"/>
    <n v="7.6054435619999996"/>
    <n v="158"/>
    <x v="8"/>
    <x v="1"/>
    <n v="266.35300000000001"/>
  </r>
  <r>
    <x v="191"/>
    <x v="1"/>
    <x v="1"/>
    <s v="février2022"/>
    <x v="518"/>
    <n v="150"/>
    <n v="0.15"/>
    <x v="2"/>
    <n v="0.3"/>
    <n v="0.7"/>
    <n v="0.16"/>
    <n v="3.8989871999999997"/>
    <n v="6.7400000000000002E-2"/>
    <n v="3.8323795019999998"/>
    <n v="7.731366701999999"/>
    <n v="196"/>
    <x v="4"/>
    <x v="1"/>
    <n v="541.52599999999995"/>
  </r>
  <r>
    <x v="192"/>
    <x v="1"/>
    <x v="1"/>
    <s v="février2022"/>
    <x v="519"/>
    <n v="70"/>
    <n v="7.0000000000000007E-2"/>
    <x v="1"/>
    <n v="0.3"/>
    <n v="0.7"/>
    <n v="0.16"/>
    <n v="0.15666672000000004"/>
    <n v="6.7400000000000002E-2"/>
    <n v="0.15399033020000003"/>
    <n v="0.31065705020000006"/>
    <n v="80"/>
    <x v="3"/>
    <x v="60"/>
    <n v="46.627000000000002"/>
  </r>
  <r>
    <x v="192"/>
    <x v="1"/>
    <x v="1"/>
    <s v="février2022"/>
    <x v="520"/>
    <n v="140"/>
    <n v="0.14000000000000001"/>
    <x v="1"/>
    <n v="0.3"/>
    <n v="0.7"/>
    <n v="0.16"/>
    <n v="1.6719158400000003"/>
    <n v="6.7400000000000002E-2"/>
    <n v="1.6433539444"/>
    <n v="3.3152697844000003"/>
    <n v="100"/>
    <x v="3"/>
    <x v="19"/>
    <n v="248.797"/>
  </r>
  <r>
    <x v="192"/>
    <x v="1"/>
    <x v="1"/>
    <s v="février2022"/>
    <x v="521"/>
    <n v="120"/>
    <n v="0.12"/>
    <x v="1"/>
    <n v="0.3"/>
    <n v="0.7"/>
    <n v="0.16"/>
    <n v="1.5295391999999999"/>
    <n v="6.7400000000000002E-2"/>
    <n v="1.503409572"/>
    <n v="3.0329487720000001"/>
    <n v="100"/>
    <x v="3"/>
    <x v="11"/>
    <n v="265.54500000000002"/>
  </r>
  <r>
    <x v="192"/>
    <x v="1"/>
    <x v="1"/>
    <s v="février2022"/>
    <x v="522"/>
    <n v="180"/>
    <n v="0.18"/>
    <x v="1"/>
    <n v="0.3"/>
    <n v="0.7"/>
    <n v="0.16"/>
    <n v="2.1496060799999999"/>
    <n v="6.7400000000000002E-2"/>
    <n v="2.1128836427999995"/>
    <n v="4.2624897227999998"/>
    <n v="100"/>
    <x v="3"/>
    <x v="19"/>
    <n v="248.797"/>
  </r>
  <r>
    <x v="192"/>
    <x v="1"/>
    <x v="1"/>
    <s v="février2022"/>
    <x v="523"/>
    <n v="200"/>
    <n v="0.2"/>
    <x v="2"/>
    <n v="0.3"/>
    <n v="0.7"/>
    <n v="0.16"/>
    <n v="5.1953279999999999"/>
    <n v="6.7400000000000002E-2"/>
    <n v="5.1065744799999999"/>
    <n v="10.301902479999999"/>
    <n v="123"/>
    <x v="3"/>
    <x v="8"/>
    <n v="541.17999999999995"/>
  </r>
  <r>
    <x v="192"/>
    <x v="1"/>
    <x v="1"/>
    <s v="février2022"/>
    <x v="524"/>
    <n v="200"/>
    <n v="0.2"/>
    <x v="2"/>
    <n v="0.3"/>
    <n v="0.7"/>
    <n v="0.16"/>
    <n v="2.4772128000000002"/>
    <n v="6.7400000000000002E-2"/>
    <n v="2.4348937479999999"/>
    <n v="4.9121065480000006"/>
    <n v="131"/>
    <x v="14"/>
    <x v="1"/>
    <n v="258.04300000000001"/>
  </r>
  <r>
    <x v="192"/>
    <x v="1"/>
    <x v="1"/>
    <s v="février2022"/>
    <x v="525"/>
    <n v="160"/>
    <n v="0.16"/>
    <x v="1"/>
    <n v="0.3"/>
    <n v="0.7"/>
    <n v="0.16"/>
    <n v="4.1396275200000003"/>
    <n v="6.7400000000000002E-2"/>
    <n v="4.0689088832000007"/>
    <n v="8.2085364032000001"/>
    <n v="133"/>
    <x v="3"/>
    <x v="59"/>
    <n v="539.01400000000001"/>
  </r>
  <r>
    <x v="192"/>
    <x v="1"/>
    <x v="1"/>
    <s v="février2022"/>
    <x v="526"/>
    <n v="120"/>
    <n v="0.12"/>
    <x v="1"/>
    <n v="0.3"/>
    <n v="0.7"/>
    <n v="0.16"/>
    <n v="2.9709964799999997"/>
    <n v="6.7400000000000002E-2"/>
    <n v="2.9202419568"/>
    <n v="5.8912384368000001"/>
    <n v="140"/>
    <x v="3"/>
    <x v="2"/>
    <n v="515.798"/>
  </r>
  <r>
    <x v="192"/>
    <x v="1"/>
    <x v="1"/>
    <s v="février2022"/>
    <x v="527"/>
    <n v="180"/>
    <n v="0.18"/>
    <x v="1"/>
    <n v="0.3"/>
    <n v="0.7"/>
    <n v="0.16"/>
    <n v="4.4564947200000002"/>
    <n v="6.7400000000000002E-2"/>
    <n v="4.3803629351999991"/>
    <n v="8.8368576551999993"/>
    <n v="140"/>
    <x v="3"/>
    <x v="2"/>
    <n v="515.798"/>
  </r>
  <r>
    <x v="192"/>
    <x v="1"/>
    <x v="1"/>
    <s v="février2022"/>
    <x v="528"/>
    <n v="100"/>
    <n v="0.1"/>
    <x v="2"/>
    <n v="0.3"/>
    <n v="0.7"/>
    <n v="0.16"/>
    <n v="3.5541360000000006"/>
    <n v="6.7400000000000002E-2"/>
    <n v="3.4934195100000003"/>
    <n v="7.0475555100000005"/>
    <n v="159"/>
    <x v="3"/>
    <x v="3"/>
    <n v="740.44500000000005"/>
  </r>
  <r>
    <x v="192"/>
    <x v="1"/>
    <x v="1"/>
    <s v="février2022"/>
    <x v="529"/>
    <n v="150"/>
    <n v="0.15"/>
    <x v="1"/>
    <n v="0.3"/>
    <n v="0.7"/>
    <n v="0.16"/>
    <n v="1.8020015999999999"/>
    <n v="6.7400000000000002E-2"/>
    <n v="1.7712174059999999"/>
    <n v="3.5732190059999995"/>
    <n v="159"/>
    <x v="10"/>
    <x v="1"/>
    <n v="250.27799999999999"/>
  </r>
  <r>
    <x v="193"/>
    <x v="1"/>
    <x v="1"/>
    <s v="février2022"/>
    <x v="530"/>
    <n v="90"/>
    <n v="0.09"/>
    <x v="1"/>
    <n v="0.3"/>
    <n v="0.7"/>
    <n v="0.16"/>
    <n v="1.1498371199999999"/>
    <n v="6.7400000000000002E-2"/>
    <n v="1.1301940691999999"/>
    <n v="2.2800311891999998"/>
    <n v="100"/>
    <x v="3"/>
    <x v="0"/>
    <n v="266.166"/>
  </r>
  <r>
    <x v="193"/>
    <x v="1"/>
    <x v="1"/>
    <s v="février2022"/>
    <x v="531"/>
    <n v="90"/>
    <n v="0.09"/>
    <x v="1"/>
    <n v="0.3"/>
    <n v="0.7"/>
    <n v="0.16"/>
    <n v="1.0748030399999999"/>
    <n v="6.7400000000000002E-2"/>
    <n v="1.0564418213999998"/>
    <n v="2.1312448613999999"/>
    <n v="100"/>
    <x v="3"/>
    <x v="19"/>
    <n v="248.797"/>
  </r>
  <r>
    <x v="193"/>
    <x v="1"/>
    <x v="1"/>
    <s v="février2022"/>
    <x v="532"/>
    <n v="210"/>
    <n v="0.21"/>
    <x v="3"/>
    <n v="1"/>
    <n v="0"/>
    <n v="0.24099999999999999"/>
    <n v="1.7250924599999997"/>
    <n v="0"/>
    <n v="0"/>
    <n v="1.7250924599999997"/>
    <n v="100"/>
    <x v="3"/>
    <x v="27"/>
    <n v="34.085999999999999"/>
  </r>
  <r>
    <x v="193"/>
    <x v="1"/>
    <x v="1"/>
    <s v="février2022"/>
    <x v="533"/>
    <n v="100"/>
    <n v="0.1"/>
    <x v="1"/>
    <n v="0.3"/>
    <n v="0.7"/>
    <n v="0.16"/>
    <n v="0.25079520000000005"/>
    <n v="6.7400000000000002E-2"/>
    <n v="0.24651078200000001"/>
    <n v="0.49730598200000009"/>
    <n v="110"/>
    <x v="20"/>
    <x v="1"/>
    <n v="52.249000000000002"/>
  </r>
  <r>
    <x v="193"/>
    <x v="1"/>
    <x v="1"/>
    <s v="février2022"/>
    <x v="534"/>
    <n v="170"/>
    <n v="0.17"/>
    <x v="1"/>
    <n v="0.3"/>
    <n v="0.7"/>
    <n v="0.16"/>
    <n v="4.2089116799999999"/>
    <n v="6.7400000000000002E-2"/>
    <n v="4.1370094388000007"/>
    <n v="8.3459211187999998"/>
    <n v="182"/>
    <x v="3"/>
    <x v="2"/>
    <n v="515.798"/>
  </r>
  <r>
    <x v="193"/>
    <x v="1"/>
    <x v="1"/>
    <s v="février2022"/>
    <x v="535"/>
    <n v="200"/>
    <n v="0.2"/>
    <x v="2"/>
    <n v="0.3"/>
    <n v="0.7"/>
    <n v="0.16"/>
    <n v="7.8194112000000011"/>
    <n v="6.7400000000000002E-2"/>
    <n v="7.6858295920000002"/>
    <n v="15.505240792000002"/>
    <n v="210"/>
    <x v="4"/>
    <x v="0"/>
    <n v="814.52200000000005"/>
  </r>
  <r>
    <x v="193"/>
    <x v="1"/>
    <x v="1"/>
    <s v="février2022"/>
    <x v="536"/>
    <n v="300"/>
    <n v="0.3"/>
    <x v="1"/>
    <n v="0.3"/>
    <n v="0.7"/>
    <n v="0.16"/>
    <n v="7.4372256000000005"/>
    <n v="6.7400000000000002E-2"/>
    <n v="7.3101729960000004"/>
    <n v="14.747398596"/>
    <n v="253"/>
    <x v="0"/>
    <x v="1"/>
    <n v="516.47400000000005"/>
  </r>
  <r>
    <x v="193"/>
    <x v="1"/>
    <x v="1"/>
    <s v="février2022"/>
    <x v="537"/>
    <n v="340"/>
    <n v="0.34"/>
    <x v="2"/>
    <n v="0.3"/>
    <n v="0.7"/>
    <n v="0.16"/>
    <n v="12.084062400000002"/>
    <n v="6.7400000000000002E-2"/>
    <n v="11.877626334000002"/>
    <n v="23.961688734000006"/>
    <n v="285"/>
    <x v="3"/>
    <x v="3"/>
    <n v="740.44500000000005"/>
  </r>
  <r>
    <x v="194"/>
    <x v="1"/>
    <x v="1"/>
    <s v="février2022"/>
    <x v="538"/>
    <n v="300"/>
    <n v="0.3"/>
    <x v="2"/>
    <n v="0.3"/>
    <n v="0.7"/>
    <n v="0.16"/>
    <n v="5.4804383999999997"/>
    <n v="6.7400000000000002E-2"/>
    <n v="5.386814244"/>
    <n v="10.867252644000001"/>
    <n v="200"/>
    <x v="12"/>
    <x v="1"/>
    <n v="380.58600000000001"/>
  </r>
  <r>
    <x v="194"/>
    <x v="1"/>
    <x v="1"/>
    <s v="février2022"/>
    <x v="539"/>
    <n v="300"/>
    <n v="0.3"/>
    <x v="1"/>
    <n v="0.3"/>
    <n v="0.7"/>
    <n v="0.16"/>
    <n v="7.7786639999999991"/>
    <n v="6.7400000000000002E-2"/>
    <n v="7.6457784899999988"/>
    <n v="15.424442489999997"/>
    <n v="200"/>
    <x v="0"/>
    <x v="0"/>
    <n v="540.18499999999995"/>
  </r>
  <r>
    <x v="195"/>
    <x v="1"/>
    <x v="1"/>
    <s v="février2022"/>
    <x v="540"/>
    <n v="300"/>
    <n v="0.3"/>
    <x v="3"/>
    <n v="1"/>
    <n v="0"/>
    <n v="0.24099999999999999"/>
    <n v="2.4575492999999997"/>
    <n v="0"/>
    <n v="0"/>
    <n v="2.4575492999999997"/>
    <n v="80"/>
    <x v="5"/>
    <x v="1"/>
    <n v="33.991"/>
  </r>
  <r>
    <x v="195"/>
    <x v="1"/>
    <x v="1"/>
    <s v="février2022"/>
    <x v="541"/>
    <n v="200"/>
    <n v="0.2"/>
    <x v="7"/>
    <n v="1"/>
    <n v="0"/>
    <n v="0.16"/>
    <n v="1.7272320000000001"/>
    <n v="0"/>
    <n v="0"/>
    <n v="1.7272320000000001"/>
    <n v="90"/>
    <x v="3"/>
    <x v="6"/>
    <n v="53.975999999999999"/>
  </r>
  <r>
    <x v="195"/>
    <x v="1"/>
    <x v="1"/>
    <s v="février2022"/>
    <x v="542"/>
    <n v="150"/>
    <n v="0.15"/>
    <x v="1"/>
    <n v="0.3"/>
    <n v="0.7"/>
    <n v="0.16"/>
    <n v="2.0026439999999996"/>
    <n v="6.7400000000000002E-2"/>
    <n v="1.9684321649999998"/>
    <n v="3.9710761649999995"/>
    <n v="158"/>
    <x v="7"/>
    <x v="1"/>
    <n v="278.14499999999998"/>
  </r>
  <r>
    <x v="195"/>
    <x v="1"/>
    <x v="1"/>
    <s v="février2022"/>
    <x v="543"/>
    <n v="1500"/>
    <n v="1.5"/>
    <x v="1"/>
    <n v="0.3"/>
    <n v="0.7"/>
    <n v="0.16"/>
    <n v="17.822952000000001"/>
    <n v="6.7400000000000002E-2"/>
    <n v="17.518476570000001"/>
    <n v="35.341428570000005"/>
    <n v="371"/>
    <x v="16"/>
    <x v="1"/>
    <n v="247.541"/>
  </r>
  <r>
    <x v="196"/>
    <x v="1"/>
    <x v="1"/>
    <s v="février2022"/>
    <x v="544"/>
    <n v="300"/>
    <n v="0.3"/>
    <x v="2"/>
    <n v="0.3"/>
    <n v="0.7"/>
    <n v="0.16"/>
    <n v="10.657411199999999"/>
    <n v="6.7400000000000002E-2"/>
    <n v="10.475347092"/>
    <n v="21.132758291999998"/>
    <n v="265"/>
    <x v="23"/>
    <x v="1"/>
    <n v="740.09799999999996"/>
  </r>
  <r>
    <x v="197"/>
    <x v="1"/>
    <x v="1"/>
    <s v="février2022"/>
    <x v="545"/>
    <n v="200"/>
    <n v="0.2"/>
    <x v="1"/>
    <n v="0.3"/>
    <n v="0.7"/>
    <n v="0.16"/>
    <n v="2.4026688000000003"/>
    <n v="6.7400000000000002E-2"/>
    <n v="2.3616232079999997"/>
    <n v="4.764292008"/>
    <n v="100"/>
    <x v="10"/>
    <x v="1"/>
    <n v="250.27799999999999"/>
  </r>
  <r>
    <x v="197"/>
    <x v="1"/>
    <x v="1"/>
    <s v="février2022"/>
    <x v="546"/>
    <n v="300"/>
    <n v="0.3"/>
    <x v="2"/>
    <n v="0.3"/>
    <n v="0.7"/>
    <n v="0.16"/>
    <n v="3.7158191999999999"/>
    <n v="6.7400000000000002E-2"/>
    <n v="3.6523406220000001"/>
    <n v="7.368159822"/>
    <n v="158"/>
    <x v="14"/>
    <x v="1"/>
    <n v="258.04300000000001"/>
  </r>
  <r>
    <x v="197"/>
    <x v="1"/>
    <x v="1"/>
    <s v="février2022"/>
    <x v="547"/>
    <n v="300"/>
    <n v="0.3"/>
    <x v="2"/>
    <n v="0.3"/>
    <n v="0.7"/>
    <n v="0.16"/>
    <n v="10.657411199999999"/>
    <n v="6.7400000000000002E-2"/>
    <n v="10.475347092"/>
    <n v="21.132758291999998"/>
    <n v="175"/>
    <x v="23"/>
    <x v="1"/>
    <n v="740.09799999999996"/>
  </r>
  <r>
    <x v="197"/>
    <x v="1"/>
    <x v="1"/>
    <s v="février2022"/>
    <x v="548"/>
    <n v="150"/>
    <n v="0.15"/>
    <x v="2"/>
    <n v="0.3"/>
    <n v="0.7"/>
    <n v="0.16"/>
    <n v="3.8989871999999997"/>
    <n v="6.7400000000000002E-2"/>
    <n v="3.8323795019999998"/>
    <n v="7.731366701999999"/>
    <n v="196"/>
    <x v="4"/>
    <x v="1"/>
    <n v="541.52599999999995"/>
  </r>
  <r>
    <x v="198"/>
    <x v="1"/>
    <x v="1"/>
    <s v="février2022"/>
    <x v="549"/>
    <n v="175"/>
    <n v="0.17499999999999999"/>
    <x v="2"/>
    <n v="0.3"/>
    <n v="0.7"/>
    <n v="0.16"/>
    <n v="2.1048635999999998"/>
    <n v="6.7400000000000002E-2"/>
    <n v="2.0689055134999998"/>
    <n v="4.1737691134999997"/>
    <n v="100"/>
    <x v="3"/>
    <x v="16"/>
    <n v="250.57900000000001"/>
  </r>
  <r>
    <x v="198"/>
    <x v="1"/>
    <x v="1"/>
    <s v="février2022"/>
    <x v="550"/>
    <n v="210"/>
    <n v="0.21"/>
    <x v="2"/>
    <n v="0.3"/>
    <n v="0.7"/>
    <n v="0.16"/>
    <n v="1.6870896000000002"/>
    <n v="6.7400000000000002E-2"/>
    <n v="1.6582684859999999"/>
    <n v="3.3453580860000001"/>
    <n v="100"/>
    <x v="3"/>
    <x v="37"/>
    <n v="167.37"/>
  </r>
  <r>
    <x v="198"/>
    <x v="1"/>
    <x v="1"/>
    <s v="février2022"/>
    <x v="551"/>
    <n v="180"/>
    <n v="0.18"/>
    <x v="2"/>
    <n v="0.3"/>
    <n v="0.7"/>
    <n v="0.16"/>
    <n v="4.4564947200000002"/>
    <n v="6.7400000000000002E-2"/>
    <n v="4.3803629351999991"/>
    <n v="8.8368576551999993"/>
    <n v="140"/>
    <x v="3"/>
    <x v="2"/>
    <n v="515.798"/>
  </r>
  <r>
    <x v="198"/>
    <x v="1"/>
    <x v="1"/>
    <s v="février2022"/>
    <x v="552"/>
    <n v="300"/>
    <n v="0.3"/>
    <x v="1"/>
    <n v="0.3"/>
    <n v="0.7"/>
    <n v="0.16"/>
    <n v="3.8354832000000001"/>
    <n v="6.7400000000000002E-2"/>
    <n v="3.769960362"/>
    <n v="7.6054435619999996"/>
    <n v="158"/>
    <x v="8"/>
    <x v="1"/>
    <n v="266.35300000000001"/>
  </r>
  <r>
    <x v="198"/>
    <x v="1"/>
    <x v="1"/>
    <s v="février2022"/>
    <x v="553"/>
    <n v="1050"/>
    <n v="1.05"/>
    <x v="7"/>
    <n v="1"/>
    <n v="0"/>
    <n v="0.16"/>
    <n v="9.1998480000000011"/>
    <n v="0"/>
    <n v="0"/>
    <n v="9.1998480000000011"/>
    <n v="260"/>
    <x v="2"/>
    <x v="1"/>
    <n v="54.761000000000003"/>
  </r>
  <r>
    <x v="198"/>
    <x v="1"/>
    <x v="1"/>
    <s v="février2022"/>
    <x v="554"/>
    <n v="300"/>
    <n v="0.3"/>
    <x v="1"/>
    <n v="0.3"/>
    <n v="0.7"/>
    <n v="0.16"/>
    <n v="7.4372256000000005"/>
    <n v="6.7400000000000002E-2"/>
    <n v="7.3101729960000004"/>
    <n v="14.747398596"/>
    <n v="275"/>
    <x v="0"/>
    <x v="1"/>
    <n v="516.47400000000005"/>
  </r>
  <r>
    <x v="199"/>
    <x v="2"/>
    <x v="1"/>
    <s v="mars2022"/>
    <x v="555"/>
    <n v="140"/>
    <n v="0.14000000000000001"/>
    <x v="2"/>
    <n v="0.3"/>
    <n v="0.7"/>
    <n v="0.16"/>
    <n v="1.1675731200000004"/>
    <n v="6.7400000000000002E-2"/>
    <n v="1.1476270792000001"/>
    <n v="2.3152001992000004"/>
    <n v="99"/>
    <x v="3"/>
    <x v="62"/>
    <n v="173.74600000000001"/>
  </r>
  <r>
    <x v="199"/>
    <x v="2"/>
    <x v="1"/>
    <s v="mars2022"/>
    <x v="556"/>
    <n v="130"/>
    <n v="0.13"/>
    <x v="2"/>
    <n v="0.3"/>
    <n v="0.7"/>
    <n v="0.16"/>
    <n v="2.5814131200000001"/>
    <n v="6.7400000000000002E-2"/>
    <n v="2.5373139791999999"/>
    <n v="5.1187270992"/>
    <n v="117.9"/>
    <x v="3"/>
    <x v="18"/>
    <n v="413.68799999999999"/>
  </r>
  <r>
    <x v="199"/>
    <x v="2"/>
    <x v="1"/>
    <s v="mars2022"/>
    <x v="557"/>
    <n v="140"/>
    <n v="0.14000000000000001"/>
    <x v="2"/>
    <n v="0.3"/>
    <n v="0.7"/>
    <n v="0.16"/>
    <n v="3.6221740800000006"/>
    <n v="6.7400000000000002E-2"/>
    <n v="3.5602952728000004"/>
    <n v="7.182469352800001"/>
    <n v="133"/>
    <x v="3"/>
    <x v="59"/>
    <n v="539.01400000000001"/>
  </r>
  <r>
    <x v="199"/>
    <x v="2"/>
    <x v="1"/>
    <s v="mars2022"/>
    <x v="558"/>
    <n v="200"/>
    <n v="0.2"/>
    <x v="2"/>
    <n v="0.3"/>
    <n v="0.7"/>
    <n v="0.16"/>
    <n v="3.6536256000000003"/>
    <n v="6.7400000000000002E-2"/>
    <n v="3.5912094960000003"/>
    <n v="7.244835096000001"/>
    <n v="166"/>
    <x v="12"/>
    <x v="1"/>
    <n v="380.58600000000001"/>
  </r>
  <r>
    <x v="199"/>
    <x v="2"/>
    <x v="1"/>
    <s v="mars2022"/>
    <x v="559"/>
    <n v="600"/>
    <n v="0.6"/>
    <x v="2"/>
    <n v="0.3"/>
    <n v="0.7"/>
    <n v="0.16"/>
    <n v="21.324816000000002"/>
    <n v="6.7400000000000002E-2"/>
    <n v="20.960517060000001"/>
    <n v="42.285333059999999"/>
    <n v="444.15"/>
    <x v="3"/>
    <x v="3"/>
    <n v="740.44500000000005"/>
  </r>
  <r>
    <x v="200"/>
    <x v="2"/>
    <x v="1"/>
    <s v="mars2022"/>
    <x v="560"/>
    <n v="123"/>
    <n v="0.123"/>
    <x v="2"/>
    <n v="0.3"/>
    <n v="0.7"/>
    <n v="0.16"/>
    <n v="3.1951267199999998"/>
    <n v="6.7400000000000002E-2"/>
    <n v="3.1405433051999996"/>
    <n v="6.3356700251999989"/>
    <n v="123"/>
    <x v="3"/>
    <x v="8"/>
    <n v="541.17999999999995"/>
  </r>
  <r>
    <x v="200"/>
    <x v="2"/>
    <x v="1"/>
    <s v="mars2022"/>
    <x v="561"/>
    <n v="200"/>
    <n v="0.2"/>
    <x v="2"/>
    <n v="0.3"/>
    <n v="0.7"/>
    <n v="0.16"/>
    <n v="2.4772128000000002"/>
    <n v="6.7400000000000002E-2"/>
    <n v="2.4348937479999999"/>
    <n v="4.9121065480000006"/>
    <n v="131"/>
    <x v="14"/>
    <x v="1"/>
    <n v="258.04300000000001"/>
  </r>
  <r>
    <x v="200"/>
    <x v="2"/>
    <x v="1"/>
    <s v="mars2022"/>
    <x v="562"/>
    <n v="300"/>
    <n v="0.3"/>
    <x v="1"/>
    <n v="0.3"/>
    <n v="0.7"/>
    <n v="0.16"/>
    <n v="4.0103568000000003"/>
    <n v="6.7400000000000002E-2"/>
    <n v="3.9418465380000001"/>
    <n v="7.9522033380000003"/>
    <n v="131"/>
    <x v="11"/>
    <x v="1"/>
    <n v="278.49700000000001"/>
  </r>
  <r>
    <x v="200"/>
    <x v="2"/>
    <x v="1"/>
    <s v="mars2022"/>
    <x v="563"/>
    <n v="270"/>
    <n v="0.27"/>
    <x v="2"/>
    <n v="0.3"/>
    <n v="0.7"/>
    <n v="0.16"/>
    <n v="3.2244091200000002"/>
    <n v="6.7400000000000002E-2"/>
    <n v="3.1693254642000004"/>
    <n v="6.3937345842000006"/>
    <n v="140"/>
    <x v="3"/>
    <x v="19"/>
    <n v="248.797"/>
  </r>
  <r>
    <x v="200"/>
    <x v="2"/>
    <x v="1"/>
    <s v="mars2022"/>
    <x v="564"/>
    <n v="180"/>
    <n v="0.18"/>
    <x v="2"/>
    <n v="0.3"/>
    <n v="0.7"/>
    <n v="0.16"/>
    <n v="4.9710758400000001"/>
    <n v="6.7400000000000002E-2"/>
    <n v="4.8861532943999997"/>
    <n v="9.8572291344000007"/>
    <n v="155"/>
    <x v="3"/>
    <x v="63"/>
    <n v="575.35599999999999"/>
  </r>
  <r>
    <x v="200"/>
    <x v="2"/>
    <x v="1"/>
    <s v="mars2022"/>
    <x v="565"/>
    <n v="150"/>
    <n v="0.15"/>
    <x v="1"/>
    <n v="0.3"/>
    <n v="0.7"/>
    <n v="0.16"/>
    <n v="2.0026439999999996"/>
    <n v="6.7400000000000002E-2"/>
    <n v="1.9684321649999998"/>
    <n v="3.9710761649999995"/>
    <n v="158"/>
    <x v="7"/>
    <x v="1"/>
    <n v="278.14499999999998"/>
  </r>
  <r>
    <x v="201"/>
    <x v="2"/>
    <x v="1"/>
    <s v="mars2022"/>
    <x v="566"/>
    <n v="150"/>
    <n v="0.15"/>
    <x v="2"/>
    <n v="0.3"/>
    <n v="0.7"/>
    <n v="0.16"/>
    <n v="2.7392759999999998"/>
    <n v="6.7400000000000002E-2"/>
    <n v="2.692480035"/>
    <n v="5.4317560349999994"/>
    <n v="130"/>
    <x v="3"/>
    <x v="20"/>
    <n v="380.45499999999998"/>
  </r>
  <r>
    <x v="201"/>
    <x v="2"/>
    <x v="1"/>
    <s v="mars2022"/>
    <x v="567"/>
    <n v="150"/>
    <n v="0.15"/>
    <x v="1"/>
    <n v="0.3"/>
    <n v="0.7"/>
    <n v="0.16"/>
    <n v="1.8020015999999999"/>
    <n v="6.7400000000000002E-2"/>
    <n v="1.7712174059999999"/>
    <n v="3.5732190059999995"/>
    <n v="158"/>
    <x v="10"/>
    <x v="1"/>
    <n v="250.27799999999999"/>
  </r>
  <r>
    <x v="201"/>
    <x v="2"/>
    <x v="1"/>
    <s v="mars2022"/>
    <x v="568"/>
    <n v="150"/>
    <n v="0.15"/>
    <x v="2"/>
    <n v="0.3"/>
    <n v="0.7"/>
    <n v="0.16"/>
    <n v="3.8989871999999997"/>
    <n v="6.7400000000000002E-2"/>
    <n v="3.8323795019999998"/>
    <n v="7.731366701999999"/>
    <n v="196"/>
    <x v="4"/>
    <x v="1"/>
    <n v="541.52599999999995"/>
  </r>
  <r>
    <x v="202"/>
    <x v="2"/>
    <x v="1"/>
    <s v="mars2022"/>
    <x v="569"/>
    <n v="100"/>
    <n v="0.1"/>
    <x v="1"/>
    <n v="0.3"/>
    <n v="0.7"/>
    <n v="0.16"/>
    <n v="0.22380960000000003"/>
    <n v="6.7400000000000002E-2"/>
    <n v="0.219986186"/>
    <n v="0.44379578600000003"/>
    <n v="80"/>
    <x v="3"/>
    <x v="60"/>
    <n v="46.627000000000002"/>
  </r>
  <r>
    <x v="202"/>
    <x v="2"/>
    <x v="1"/>
    <s v="mars2022"/>
    <x v="570"/>
    <n v="45"/>
    <n v="4.4999999999999998E-2"/>
    <x v="2"/>
    <n v="0.3"/>
    <n v="0.7"/>
    <n v="0.16"/>
    <n v="0.99037512000000005"/>
    <n v="6.7400000000000002E-2"/>
    <n v="0.97345621169999985"/>
    <n v="1.9638313316999998"/>
    <n v="118"/>
    <x v="3"/>
    <x v="61"/>
    <n v="458.50700000000001"/>
  </r>
  <r>
    <x v="202"/>
    <x v="2"/>
    <x v="1"/>
    <s v="mars2022"/>
    <x v="571"/>
    <n v="300"/>
    <n v="0.3"/>
    <x v="2"/>
    <n v="0.3"/>
    <n v="0.7"/>
    <n v="0.16"/>
    <n v="10.748404799999999"/>
    <n v="6.7400000000000002E-2"/>
    <n v="10.564786218"/>
    <n v="21.313191017999998"/>
    <n v="175"/>
    <x v="24"/>
    <x v="1"/>
    <n v="746.41700000000003"/>
  </r>
  <r>
    <x v="203"/>
    <x v="2"/>
    <x v="1"/>
    <s v="mars2022"/>
    <x v="572"/>
    <n v="290"/>
    <n v="0.28999999999999998"/>
    <x v="1"/>
    <n v="0.3"/>
    <n v="0.7"/>
    <n v="0.16"/>
    <n v="0.64904784000000004"/>
    <n v="6.7400000000000002E-2"/>
    <n v="0.63795993939999995"/>
    <n v="1.2870077794000001"/>
    <n v="110"/>
    <x v="3"/>
    <x v="60"/>
    <n v="46.627000000000002"/>
  </r>
  <r>
    <x v="203"/>
    <x v="2"/>
    <x v="1"/>
    <s v="mars2022"/>
    <x v="573"/>
    <n v="150"/>
    <n v="0.15"/>
    <x v="1"/>
    <n v="0.3"/>
    <n v="0.7"/>
    <n v="0.16"/>
    <n v="1.8138168000000001"/>
    <n v="6.7400000000000002E-2"/>
    <n v="1.782830763"/>
    <n v="3.5966475630000003"/>
    <n v="158"/>
    <x v="13"/>
    <x v="1"/>
    <n v="251.91900000000001"/>
  </r>
  <r>
    <x v="203"/>
    <x v="2"/>
    <x v="1"/>
    <s v="mars2022"/>
    <x v="574"/>
    <n v="150"/>
    <n v="0.15"/>
    <x v="1"/>
    <n v="0.3"/>
    <n v="0.7"/>
    <n v="0.16"/>
    <n v="3.7186128000000003"/>
    <n v="6.7400000000000002E-2"/>
    <n v="3.6550864980000002"/>
    <n v="7.373699298"/>
    <n v="228"/>
    <x v="0"/>
    <x v="1"/>
    <n v="516.47400000000005"/>
  </r>
  <r>
    <x v="204"/>
    <x v="2"/>
    <x v="1"/>
    <s v="mars2022"/>
    <x v="575"/>
    <n v="150"/>
    <n v="0.15"/>
    <x v="3"/>
    <n v="1"/>
    <n v="0"/>
    <n v="0.24099999999999999"/>
    <n v="1.2287746499999999"/>
    <n v="0"/>
    <n v="0"/>
    <n v="1.2287746499999999"/>
    <n v="80"/>
    <x v="5"/>
    <x v="1"/>
    <n v="33.991"/>
  </r>
  <r>
    <x v="204"/>
    <x v="2"/>
    <x v="1"/>
    <s v="mars2022"/>
    <x v="576"/>
    <n v="150"/>
    <n v="0.15"/>
    <x v="1"/>
    <n v="0.3"/>
    <n v="0.7"/>
    <n v="0.16"/>
    <n v="2.0026439999999996"/>
    <n v="6.7400000000000002E-2"/>
    <n v="1.9684321649999998"/>
    <n v="3.9710761649999995"/>
    <n v="158"/>
    <x v="7"/>
    <x v="1"/>
    <n v="278.14499999999998"/>
  </r>
  <r>
    <x v="204"/>
    <x v="2"/>
    <x v="1"/>
    <s v="mars2022"/>
    <x v="577"/>
    <n v="200"/>
    <n v="0.2"/>
    <x v="2"/>
    <n v="0.3"/>
    <n v="0.7"/>
    <n v="0.16"/>
    <n v="3.6536256000000003"/>
    <n v="6.7400000000000002E-2"/>
    <n v="3.5912094960000003"/>
    <n v="7.244835096000001"/>
    <n v="166"/>
    <x v="12"/>
    <x v="1"/>
    <n v="380.58600000000001"/>
  </r>
  <r>
    <x v="205"/>
    <x v="2"/>
    <x v="1"/>
    <s v="mars2022"/>
    <x v="578"/>
    <n v="60"/>
    <n v="0.06"/>
    <x v="2"/>
    <n v="0.3"/>
    <n v="0.7"/>
    <n v="0.16"/>
    <n v="1.05157152"/>
    <n v="6.7400000000000002E-2"/>
    <n v="1.0336071732000001"/>
    <n v="2.0851786932"/>
    <n v="105"/>
    <x v="3"/>
    <x v="64"/>
    <n v="365.12900000000002"/>
  </r>
  <r>
    <x v="205"/>
    <x v="2"/>
    <x v="1"/>
    <s v="mars2022"/>
    <x v="579"/>
    <n v="60"/>
    <n v="0.06"/>
    <x v="2"/>
    <n v="0.3"/>
    <n v="0.7"/>
    <n v="0.16"/>
    <n v="0.98963712000000004"/>
    <n v="6.7400000000000002E-2"/>
    <n v="0.97273081920000004"/>
    <n v="1.9623679392"/>
    <n v="107.25"/>
    <x v="3"/>
    <x v="65"/>
    <n v="343.62400000000002"/>
  </r>
  <r>
    <x v="205"/>
    <x v="2"/>
    <x v="1"/>
    <s v="mars2022"/>
    <x v="580"/>
    <n v="60"/>
    <n v="0.06"/>
    <x v="2"/>
    <n v="0.3"/>
    <n v="0.7"/>
    <n v="0.16"/>
    <n v="1.2462307199999998"/>
    <n v="6.7400000000000002E-2"/>
    <n v="1.2249409452"/>
    <n v="2.4711716652"/>
    <n v="130"/>
    <x v="3"/>
    <x v="66"/>
    <n v="432.71899999999999"/>
  </r>
  <r>
    <x v="205"/>
    <x v="2"/>
    <x v="1"/>
    <s v="mars2022"/>
    <x v="581"/>
    <n v="300"/>
    <n v="0.3"/>
    <x v="1"/>
    <n v="0.3"/>
    <n v="0.7"/>
    <n v="0.16"/>
    <n v="3.8354832000000001"/>
    <n v="6.7400000000000002E-2"/>
    <n v="3.769960362"/>
    <n v="7.6054435619999996"/>
    <n v="158"/>
    <x v="8"/>
    <x v="1"/>
    <n v="266.35300000000001"/>
  </r>
  <r>
    <x v="205"/>
    <x v="2"/>
    <x v="1"/>
    <s v="mars2022"/>
    <x v="582"/>
    <n v="350"/>
    <n v="0.35"/>
    <x v="2"/>
    <n v="0.3"/>
    <n v="0.7"/>
    <n v="0.16"/>
    <n v="4.4715887999999993"/>
    <n v="6.7400000000000002E-2"/>
    <n v="4.3951991579999996"/>
    <n v="8.8667879579999997"/>
    <n v="220"/>
    <x v="3"/>
    <x v="0"/>
    <n v="266.166"/>
  </r>
  <r>
    <x v="205"/>
    <x v="2"/>
    <x v="1"/>
    <s v="mars2022"/>
    <x v="583"/>
    <n v="600"/>
    <n v="0.6"/>
    <x v="2"/>
    <n v="0.3"/>
    <n v="0.7"/>
    <n v="0.16"/>
    <n v="21.324816000000002"/>
    <n v="6.7400000000000002E-2"/>
    <n v="20.960517060000001"/>
    <n v="42.285333059999999"/>
    <n v="444.15"/>
    <x v="3"/>
    <x v="3"/>
    <n v="740.44500000000005"/>
  </r>
  <r>
    <x v="206"/>
    <x v="2"/>
    <x v="1"/>
    <s v="mars2022"/>
    <x v="584"/>
    <n v="150"/>
    <n v="0.15"/>
    <x v="2"/>
    <n v="0.3"/>
    <n v="0.7"/>
    <n v="0.16"/>
    <n v="3.8809008"/>
    <n v="6.7400000000000002E-2"/>
    <n v="3.8146020780000001"/>
    <n v="7.6955028780000001"/>
    <n v="133"/>
    <x v="3"/>
    <x v="59"/>
    <n v="539.01400000000001"/>
  </r>
  <r>
    <x v="206"/>
    <x v="2"/>
    <x v="1"/>
    <s v="mars2022"/>
    <x v="585"/>
    <n v="150"/>
    <n v="0.15"/>
    <x v="2"/>
    <n v="0.3"/>
    <n v="0.7"/>
    <n v="0.16"/>
    <n v="3.8989871999999997"/>
    <n v="6.7400000000000002E-2"/>
    <n v="3.8323795019999998"/>
    <n v="7.731366701999999"/>
    <n v="196"/>
    <x v="4"/>
    <x v="1"/>
    <n v="541.52599999999995"/>
  </r>
  <r>
    <x v="206"/>
    <x v="2"/>
    <x v="1"/>
    <s v="mars2022"/>
    <x v="586"/>
    <n v="600"/>
    <n v="0.6"/>
    <x v="1"/>
    <n v="0.3"/>
    <n v="0.7"/>
    <n v="0.16"/>
    <n v="7.2080063999999995"/>
    <n v="6.7400000000000002E-2"/>
    <n v="7.0848696239999995"/>
    <n v="14.292876023999998"/>
    <n v="206"/>
    <x v="10"/>
    <x v="1"/>
    <n v="250.27799999999999"/>
  </r>
  <r>
    <x v="206"/>
    <x v="2"/>
    <x v="1"/>
    <s v="mars2022"/>
    <x v="587"/>
    <n v="650"/>
    <n v="0.65"/>
    <x v="2"/>
    <n v="0.3"/>
    <n v="0.7"/>
    <n v="0.16"/>
    <n v="8.3043791999999996"/>
    <n v="6.7400000000000002E-2"/>
    <n v="8.1625127220000007"/>
    <n v="16.466891922000002"/>
    <n v="360"/>
    <x v="3"/>
    <x v="0"/>
    <n v="266.166"/>
  </r>
  <r>
    <x v="207"/>
    <x v="2"/>
    <x v="1"/>
    <s v="mars2022"/>
    <x v="588"/>
    <n v="70"/>
    <n v="7.0000000000000007E-2"/>
    <x v="2"/>
    <n v="0.3"/>
    <n v="0.7"/>
    <n v="0.16"/>
    <n v="0.82588128000000016"/>
    <n v="6.7400000000000002E-2"/>
    <n v="0.81177247480000003"/>
    <n v="1.6376537548000001"/>
    <n v="100"/>
    <x v="3"/>
    <x v="33"/>
    <n v="245.798"/>
  </r>
  <r>
    <x v="207"/>
    <x v="2"/>
    <x v="1"/>
    <s v="mars2022"/>
    <x v="589"/>
    <n v="120"/>
    <n v="0.12"/>
    <x v="2"/>
    <n v="0.3"/>
    <n v="0.7"/>
    <n v="0.16"/>
    <n v="1.5295391999999999"/>
    <n v="6.7400000000000002E-2"/>
    <n v="1.503409572"/>
    <n v="3.0329487720000001"/>
    <n v="100"/>
    <x v="3"/>
    <x v="11"/>
    <n v="265.54500000000002"/>
  </r>
  <r>
    <x v="207"/>
    <x v="2"/>
    <x v="1"/>
    <s v="mars2022"/>
    <x v="590"/>
    <n v="175"/>
    <n v="0.17499999999999999"/>
    <x v="2"/>
    <n v="0.3"/>
    <n v="0.7"/>
    <n v="0.16"/>
    <n v="2.1048635999999998"/>
    <n v="6.7400000000000002E-2"/>
    <n v="2.0689055134999998"/>
    <n v="4.1737691134999997"/>
    <n v="100"/>
    <x v="3"/>
    <x v="16"/>
    <n v="250.57900000000001"/>
  </r>
  <r>
    <x v="207"/>
    <x v="2"/>
    <x v="1"/>
    <s v="mars2022"/>
    <x v="591"/>
    <n v="150"/>
    <n v="0.15"/>
    <x v="2"/>
    <n v="0.3"/>
    <n v="0.7"/>
    <n v="0.16"/>
    <n v="1.2509711999999999"/>
    <n v="6.7400000000000002E-2"/>
    <n v="1.229600442"/>
    <n v="2.4805716420000001"/>
    <n v="108"/>
    <x v="3"/>
    <x v="62"/>
    <n v="173.74600000000001"/>
  </r>
  <r>
    <x v="207"/>
    <x v="2"/>
    <x v="1"/>
    <s v="mars2022"/>
    <x v="592"/>
    <n v="180"/>
    <n v="0.18"/>
    <x v="2"/>
    <n v="0.3"/>
    <n v="0.7"/>
    <n v="0.16"/>
    <n v="4.6757951999999996"/>
    <n v="6.7400000000000002E-2"/>
    <n v="4.5959170319999991"/>
    <n v="9.2717122319999987"/>
    <n v="123"/>
    <x v="3"/>
    <x v="8"/>
    <n v="541.17999999999995"/>
  </r>
  <r>
    <x v="207"/>
    <x v="2"/>
    <x v="1"/>
    <s v="mars2022"/>
    <x v="593"/>
    <n v="70"/>
    <n v="7.0000000000000007E-2"/>
    <x v="2"/>
    <n v="0.3"/>
    <n v="0.7"/>
    <n v="0.16"/>
    <n v="1.4992017600000003"/>
    <n v="6.7400000000000002E-2"/>
    <n v="1.4735903965999999"/>
    <n v="2.9727921566000002"/>
    <n v="130"/>
    <x v="3"/>
    <x v="67"/>
    <n v="446.19099999999997"/>
  </r>
  <r>
    <x v="207"/>
    <x v="2"/>
    <x v="1"/>
    <s v="mars2022"/>
    <x v="594"/>
    <n v="100"/>
    <n v="0.1"/>
    <x v="2"/>
    <n v="0.3"/>
    <n v="0.7"/>
    <n v="0.16"/>
    <n v="0.90519840000000007"/>
    <n v="6.7400000000000002E-2"/>
    <n v="0.88973459399999999"/>
    <n v="1.7949329940000001"/>
    <n v="130"/>
    <x v="3"/>
    <x v="68"/>
    <n v="188.583"/>
  </r>
  <r>
    <x v="207"/>
    <x v="2"/>
    <x v="1"/>
    <s v="mars2022"/>
    <x v="595"/>
    <n v="300"/>
    <n v="0.3"/>
    <x v="1"/>
    <n v="0.3"/>
    <n v="0.7"/>
    <n v="0.16"/>
    <n v="4.0103568000000003"/>
    <n v="6.7400000000000002E-2"/>
    <n v="3.9418465380000001"/>
    <n v="7.9522033380000003"/>
    <n v="131"/>
    <x v="11"/>
    <x v="1"/>
    <n v="278.49700000000001"/>
  </r>
  <r>
    <x v="207"/>
    <x v="2"/>
    <x v="1"/>
    <s v="mars2022"/>
    <x v="596"/>
    <n v="300"/>
    <n v="0.3"/>
    <x v="1"/>
    <n v="0.3"/>
    <n v="0.7"/>
    <n v="0.16"/>
    <n v="7.7786639999999991"/>
    <n v="6.7400000000000002E-2"/>
    <n v="7.6457784899999988"/>
    <n v="15.424442489999997"/>
    <n v="200"/>
    <x v="0"/>
    <x v="0"/>
    <n v="540.18499999999995"/>
  </r>
  <r>
    <x v="207"/>
    <x v="2"/>
    <x v="1"/>
    <s v="mars2022"/>
    <x v="597"/>
    <n v="300"/>
    <n v="0.3"/>
    <x v="2"/>
    <n v="0.3"/>
    <n v="0.7"/>
    <n v="0.16"/>
    <n v="10.748404799999999"/>
    <n v="6.7400000000000002E-2"/>
    <n v="10.564786218"/>
    <n v="21.313191017999998"/>
    <n v="220"/>
    <x v="24"/>
    <x v="1"/>
    <n v="746.41700000000003"/>
  </r>
  <r>
    <x v="207"/>
    <x v="2"/>
    <x v="1"/>
    <s v="mars2022"/>
    <x v="598"/>
    <n v="1800"/>
    <n v="1.8"/>
    <x v="7"/>
    <n v="1"/>
    <n v="0"/>
    <n v="0.16"/>
    <n v="15.771168000000003"/>
    <n v="0"/>
    <n v="0"/>
    <n v="15.771168000000003"/>
    <n v="235"/>
    <x v="2"/>
    <x v="1"/>
    <n v="54.761000000000003"/>
  </r>
  <r>
    <x v="207"/>
    <x v="2"/>
    <x v="1"/>
    <s v="mars2022"/>
    <x v="599"/>
    <n v="600"/>
    <n v="0.6"/>
    <x v="1"/>
    <n v="0.3"/>
    <n v="0.7"/>
    <n v="0.16"/>
    <n v="14.874451200000001"/>
    <n v="6.7400000000000002E-2"/>
    <n v="14.620345992000001"/>
    <n v="29.494797192"/>
    <n v="253"/>
    <x v="0"/>
    <x v="1"/>
    <n v="516.47400000000005"/>
  </r>
  <r>
    <x v="207"/>
    <x v="2"/>
    <x v="1"/>
    <s v="mars2022"/>
    <x v="600"/>
    <n v="270"/>
    <n v="0.27"/>
    <x v="2"/>
    <n v="0.3"/>
    <n v="0.7"/>
    <n v="0.16"/>
    <n v="6.3384249600000011"/>
    <n v="6.7400000000000002E-2"/>
    <n v="6.2301435336000006"/>
    <n v="12.568568493600001"/>
    <n v="285"/>
    <x v="3"/>
    <x v="69"/>
    <n v="489.07600000000002"/>
  </r>
  <r>
    <x v="208"/>
    <x v="2"/>
    <x v="1"/>
    <s v="mars2022"/>
    <x v="601"/>
    <n v="100"/>
    <n v="0.1"/>
    <x v="1"/>
    <n v="0.3"/>
    <n v="0.7"/>
    <n v="0.16"/>
    <n v="0.22380960000000003"/>
    <n v="6.7400000000000002E-2"/>
    <n v="0.219986186"/>
    <n v="0.44379578600000003"/>
    <n v="80"/>
    <x v="3"/>
    <x v="60"/>
    <n v="46.627000000000002"/>
  </r>
  <r>
    <x v="208"/>
    <x v="2"/>
    <x v="1"/>
    <s v="mars2022"/>
    <x v="602"/>
    <n v="150"/>
    <n v="0.15"/>
    <x v="2"/>
    <n v="0.3"/>
    <n v="0.7"/>
    <n v="0.16"/>
    <n v="1.2509711999999999"/>
    <n v="6.7400000000000002E-2"/>
    <n v="1.229600442"/>
    <n v="2.4805716420000001"/>
    <n v="89"/>
    <x v="3"/>
    <x v="62"/>
    <n v="173.74600000000001"/>
  </r>
  <r>
    <x v="208"/>
    <x v="2"/>
    <x v="1"/>
    <s v="mars2022"/>
    <x v="603"/>
    <n v="130"/>
    <n v="0.13"/>
    <x v="1"/>
    <n v="0.3"/>
    <n v="0.7"/>
    <n v="0.16"/>
    <n v="0.28049424000000006"/>
    <n v="6.7400000000000002E-2"/>
    <n v="0.27570246339999999"/>
    <n v="0.55619670340000005"/>
    <n v="100"/>
    <x v="3"/>
    <x v="15"/>
    <n v="44.951000000000001"/>
  </r>
  <r>
    <x v="208"/>
    <x v="2"/>
    <x v="1"/>
    <s v="mars2022"/>
    <x v="604"/>
    <n v="130"/>
    <n v="0.13"/>
    <x v="2"/>
    <n v="0.3"/>
    <n v="0.7"/>
    <n v="0.16"/>
    <n v="1.5524932800000002"/>
    <n v="6.7400000000000002E-2"/>
    <n v="1.5259715197999999"/>
    <n v="3.0784647997999999"/>
    <n v="100"/>
    <x v="3"/>
    <x v="19"/>
    <n v="248.797"/>
  </r>
  <r>
    <x v="208"/>
    <x v="2"/>
    <x v="1"/>
    <s v="mars2022"/>
    <x v="605"/>
    <n v="80"/>
    <n v="0.08"/>
    <x v="2"/>
    <n v="0.3"/>
    <n v="0.7"/>
    <n v="0.16"/>
    <n v="2.7456307200000003"/>
    <n v="6.7400000000000002E-2"/>
    <n v="2.6987261952000003"/>
    <n v="5.4443569152000002"/>
    <n v="130"/>
    <x v="3"/>
    <x v="70"/>
    <n v="715.00800000000004"/>
  </r>
  <r>
    <x v="208"/>
    <x v="2"/>
    <x v="1"/>
    <s v="mars2022"/>
    <x v="606"/>
    <n v="500"/>
    <n v="0.5"/>
    <x v="2"/>
    <n v="0.3"/>
    <n v="0.7"/>
    <n v="0.16"/>
    <n v="5.9156400000000007"/>
    <n v="6.7400000000000002E-2"/>
    <n v="5.8145811500000004"/>
    <n v="11.730221150000002"/>
    <n v="340"/>
    <x v="3"/>
    <x v="39"/>
    <n v="246.48500000000001"/>
  </r>
  <r>
    <x v="209"/>
    <x v="2"/>
    <x v="1"/>
    <s v="mars2022"/>
    <x v="607"/>
    <n v="150"/>
    <n v="0.15"/>
    <x v="3"/>
    <n v="1"/>
    <n v="0"/>
    <n v="0.24099999999999999"/>
    <n v="1.2287746499999999"/>
    <n v="0"/>
    <n v="0"/>
    <n v="1.2287746499999999"/>
    <n v="80"/>
    <x v="5"/>
    <x v="1"/>
    <n v="33.991"/>
  </r>
  <r>
    <x v="209"/>
    <x v="2"/>
    <x v="1"/>
    <s v="mars2022"/>
    <x v="608"/>
    <n v="50"/>
    <n v="0.05"/>
    <x v="2"/>
    <n v="0.3"/>
    <n v="0.7"/>
    <n v="0.16"/>
    <n v="0.41699040000000004"/>
    <n v="6.7400000000000002E-2"/>
    <n v="0.40986681400000002"/>
    <n v="0.82685721400000012"/>
    <n v="89"/>
    <x v="3"/>
    <x v="62"/>
    <n v="173.74600000000001"/>
  </r>
  <r>
    <x v="209"/>
    <x v="2"/>
    <x v="1"/>
    <s v="mars2022"/>
    <x v="609"/>
    <n v="180"/>
    <n v="0.18"/>
    <x v="2"/>
    <n v="0.3"/>
    <n v="0.7"/>
    <n v="0.16"/>
    <n v="2.2996742399999999"/>
    <n v="6.7400000000000002E-2"/>
    <n v="2.2603881383999997"/>
    <n v="4.5600623783999996"/>
    <n v="100"/>
    <x v="3"/>
    <x v="0"/>
    <n v="266.166"/>
  </r>
  <r>
    <x v="209"/>
    <x v="2"/>
    <x v="1"/>
    <s v="mars2022"/>
    <x v="610"/>
    <n v="100"/>
    <n v="0.1"/>
    <x v="2"/>
    <n v="0.3"/>
    <n v="0.7"/>
    <n v="0.16"/>
    <n v="1.826184"/>
    <n v="6.7400000000000002E-2"/>
    <n v="1.79498669"/>
    <n v="3.62117069"/>
    <n v="130"/>
    <x v="3"/>
    <x v="20"/>
    <n v="380.45499999999998"/>
  </r>
  <r>
    <x v="209"/>
    <x v="2"/>
    <x v="1"/>
    <s v="mars2022"/>
    <x v="611"/>
    <n v="200"/>
    <n v="0.2"/>
    <x v="2"/>
    <n v="0.3"/>
    <n v="0.7"/>
    <n v="0.16"/>
    <n v="2.4772128000000002"/>
    <n v="6.7400000000000002E-2"/>
    <n v="2.4348937479999999"/>
    <n v="4.9121065480000006"/>
    <n v="131"/>
    <x v="14"/>
    <x v="1"/>
    <n v="258.04300000000001"/>
  </r>
  <r>
    <x v="209"/>
    <x v="2"/>
    <x v="1"/>
    <s v="mars2022"/>
    <x v="612"/>
    <n v="150"/>
    <n v="0.15"/>
    <x v="2"/>
    <n v="0.3"/>
    <n v="0.7"/>
    <n v="0.16"/>
    <n v="3.8809008"/>
    <n v="6.7400000000000002E-2"/>
    <n v="3.8146020780000001"/>
    <n v="7.6955028780000001"/>
    <n v="133"/>
    <x v="3"/>
    <x v="59"/>
    <n v="539.01400000000001"/>
  </r>
  <r>
    <x v="209"/>
    <x v="2"/>
    <x v="1"/>
    <s v="mars2022"/>
    <x v="613"/>
    <n v="100"/>
    <n v="0.1"/>
    <x v="2"/>
    <n v="0.3"/>
    <n v="0.7"/>
    <n v="0.16"/>
    <n v="2.4758304000000004"/>
    <n v="6.7400000000000002E-2"/>
    <n v="2.4335349640000001"/>
    <n v="4.909365364000001"/>
    <n v="140"/>
    <x v="3"/>
    <x v="2"/>
    <n v="515.798"/>
  </r>
  <r>
    <x v="209"/>
    <x v="2"/>
    <x v="1"/>
    <s v="mars2022"/>
    <x v="614"/>
    <n v="150"/>
    <n v="0.15"/>
    <x v="1"/>
    <n v="0.3"/>
    <n v="0.7"/>
    <n v="0.16"/>
    <n v="2.0026439999999996"/>
    <n v="6.7400000000000002E-2"/>
    <n v="1.9684321649999998"/>
    <n v="3.9710761649999995"/>
    <n v="158"/>
    <x v="7"/>
    <x v="1"/>
    <n v="278.14499999999998"/>
  </r>
  <r>
    <x v="209"/>
    <x v="2"/>
    <x v="1"/>
    <s v="mars2022"/>
    <x v="615"/>
    <n v="1000"/>
    <n v="1"/>
    <x v="1"/>
    <n v="0.3"/>
    <n v="0.7"/>
    <n v="0.16"/>
    <n v="25.928879999999999"/>
    <n v="6.7400000000000002E-2"/>
    <n v="25.485928299999998"/>
    <n v="51.414808299999997"/>
    <n v="785"/>
    <x v="0"/>
    <x v="0"/>
    <n v="540.18499999999995"/>
  </r>
  <r>
    <x v="210"/>
    <x v="2"/>
    <x v="1"/>
    <s v="mars2022"/>
    <x v="616"/>
    <n v="100"/>
    <n v="0.1"/>
    <x v="2"/>
    <n v="0.3"/>
    <n v="0.7"/>
    <n v="0.16"/>
    <n v="2.2008336000000002"/>
    <n v="6.7400000000000002E-2"/>
    <n v="2.1632360259999999"/>
    <n v="4.364069626"/>
    <n v="118"/>
    <x v="3"/>
    <x v="61"/>
    <n v="458.50700000000001"/>
  </r>
  <r>
    <x v="210"/>
    <x v="2"/>
    <x v="1"/>
    <s v="mars2022"/>
    <x v="617"/>
    <n v="71"/>
    <n v="7.0999999999999994E-2"/>
    <x v="2"/>
    <n v="0.3"/>
    <n v="0.7"/>
    <n v="0.16"/>
    <n v="2.4367472639999996"/>
    <n v="6.7400000000000002E-2"/>
    <n v="2.3951194982399997"/>
    <n v="4.8318667622399989"/>
    <n v="173"/>
    <x v="3"/>
    <x v="70"/>
    <n v="715.00800000000004"/>
  </r>
  <r>
    <x v="210"/>
    <x v="2"/>
    <x v="1"/>
    <s v="mars2022"/>
    <x v="618"/>
    <n v="2000"/>
    <n v="2"/>
    <x v="7"/>
    <n v="1"/>
    <n v="0"/>
    <n v="0.16"/>
    <n v="17.523520000000001"/>
    <n v="0"/>
    <n v="0"/>
    <n v="17.523520000000001"/>
    <n v="250"/>
    <x v="2"/>
    <x v="1"/>
    <n v="54.761000000000003"/>
  </r>
  <r>
    <x v="210"/>
    <x v="2"/>
    <x v="1"/>
    <s v="mars2022"/>
    <x v="619"/>
    <n v="436"/>
    <n v="0.436"/>
    <x v="2"/>
    <n v="0.3"/>
    <n v="0.7"/>
    <n v="0.16"/>
    <n v="10.794620543999999"/>
    <n v="6.7400000000000002E-2"/>
    <n v="10.61021244304"/>
    <n v="21.404832987039999"/>
    <n v="330"/>
    <x v="3"/>
    <x v="2"/>
    <n v="515.798"/>
  </r>
  <r>
    <x v="210"/>
    <x v="2"/>
    <x v="1"/>
    <s v="mars2022"/>
    <x v="620"/>
    <n v="436"/>
    <n v="0.436"/>
    <x v="2"/>
    <n v="0.3"/>
    <n v="0.7"/>
    <n v="0.16"/>
    <n v="7.9621622399999987"/>
    <n v="6.7400000000000002E-2"/>
    <n v="7.8261419683999991"/>
    <n v="15.788304208399998"/>
    <n v="360"/>
    <x v="3"/>
    <x v="20"/>
    <n v="380.45499999999998"/>
  </r>
  <r>
    <x v="210"/>
    <x v="2"/>
    <x v="1"/>
    <s v="mars2022"/>
    <x v="621"/>
    <n v="693"/>
    <n v="0.69299999999999995"/>
    <x v="2"/>
    <n v="0.3"/>
    <n v="0.7"/>
    <n v="0.16"/>
    <n v="24.630162479999999"/>
    <n v="6.7400000000000002E-2"/>
    <n v="24.209397204299997"/>
    <n v="48.839559684299999"/>
    <n v="444.15"/>
    <x v="3"/>
    <x v="3"/>
    <n v="740.44500000000005"/>
  </r>
  <r>
    <x v="211"/>
    <x v="2"/>
    <x v="1"/>
    <s v="mars2022"/>
    <x v="622"/>
    <n v="240"/>
    <n v="0.24"/>
    <x v="3"/>
    <n v="1"/>
    <n v="0"/>
    <n v="0.24099999999999999"/>
    <n v="1.9715342399999998"/>
    <n v="0"/>
    <n v="0"/>
    <n v="1.9715342399999998"/>
    <n v="100"/>
    <x v="3"/>
    <x v="27"/>
    <n v="34.085999999999999"/>
  </r>
  <r>
    <x v="211"/>
    <x v="2"/>
    <x v="1"/>
    <s v="mars2022"/>
    <x v="623"/>
    <n v="150"/>
    <n v="0.15"/>
    <x v="2"/>
    <n v="0.3"/>
    <n v="0.7"/>
    <n v="0.16"/>
    <n v="2.7402191999999999"/>
    <n v="6.7400000000000002E-2"/>
    <n v="2.693407122"/>
    <n v="5.4336263220000003"/>
    <n v="166"/>
    <x v="12"/>
    <x v="1"/>
    <n v="380.58600000000001"/>
  </r>
  <r>
    <x v="211"/>
    <x v="2"/>
    <x v="1"/>
    <s v="mars2022"/>
    <x v="624"/>
    <n v="300"/>
    <n v="0.3"/>
    <x v="1"/>
    <n v="0.3"/>
    <n v="0.7"/>
    <n v="0.16"/>
    <n v="7.7786639999999991"/>
    <n v="6.7400000000000002E-2"/>
    <n v="7.6457784899999988"/>
    <n v="15.424442489999997"/>
    <n v="200"/>
    <x v="0"/>
    <x v="0"/>
    <n v="540.18499999999995"/>
  </r>
  <r>
    <x v="211"/>
    <x v="2"/>
    <x v="1"/>
    <s v="mars2022"/>
    <x v="625"/>
    <n v="200"/>
    <n v="0.2"/>
    <x v="2"/>
    <n v="0.3"/>
    <n v="0.7"/>
    <n v="0.16"/>
    <n v="5.1986496000000004"/>
    <n v="6.7400000000000002E-2"/>
    <n v="5.1098393359999994"/>
    <n v="10.308488936"/>
    <n v="239"/>
    <x v="4"/>
    <x v="1"/>
    <n v="541.52599999999995"/>
  </r>
  <r>
    <x v="212"/>
    <x v="2"/>
    <x v="1"/>
    <s v="mars2022"/>
    <x v="626"/>
    <n v="150"/>
    <n v="0.15"/>
    <x v="1"/>
    <n v="0.3"/>
    <n v="0.7"/>
    <n v="0.16"/>
    <n v="1.8020015999999999"/>
    <n v="6.7400000000000002E-2"/>
    <n v="1.7712174059999999"/>
    <n v="3.5732190059999995"/>
    <n v="100"/>
    <x v="10"/>
    <x v="1"/>
    <n v="250.27799999999999"/>
  </r>
  <r>
    <x v="212"/>
    <x v="2"/>
    <x v="1"/>
    <s v="mars2022"/>
    <x v="627"/>
    <n v="200"/>
    <n v="0.2"/>
    <x v="2"/>
    <n v="0.3"/>
    <n v="0.7"/>
    <n v="0.16"/>
    <n v="1.6067520000000002"/>
    <n v="6.7400000000000002E-2"/>
    <n v="1.57930332"/>
    <n v="3.1860553200000004"/>
    <n v="108"/>
    <x v="3"/>
    <x v="37"/>
    <n v="167.37"/>
  </r>
  <r>
    <x v="212"/>
    <x v="2"/>
    <x v="1"/>
    <s v="mars2022"/>
    <x v="628"/>
    <n v="300"/>
    <n v="0.3"/>
    <x v="1"/>
    <n v="0.3"/>
    <n v="0.7"/>
    <n v="0.16"/>
    <n v="4.0103568000000003"/>
    <n v="6.7400000000000002E-2"/>
    <n v="3.9418465380000001"/>
    <n v="7.9522033380000003"/>
    <n v="131"/>
    <x v="11"/>
    <x v="1"/>
    <n v="278.49700000000001"/>
  </r>
  <r>
    <x v="212"/>
    <x v="2"/>
    <x v="1"/>
    <s v="mars2022"/>
    <x v="629"/>
    <n v="100"/>
    <n v="0.1"/>
    <x v="2"/>
    <n v="0.3"/>
    <n v="0.7"/>
    <n v="0.16"/>
    <n v="2.4758304000000004"/>
    <n v="6.7400000000000002E-2"/>
    <n v="2.4335349640000001"/>
    <n v="4.909365364000001"/>
    <n v="140"/>
    <x v="3"/>
    <x v="2"/>
    <n v="515.798"/>
  </r>
  <r>
    <x v="212"/>
    <x v="2"/>
    <x v="1"/>
    <s v="mars2022"/>
    <x v="630"/>
    <n v="100"/>
    <n v="0.1"/>
    <x v="1"/>
    <n v="0.3"/>
    <n v="0.7"/>
    <n v="0.16"/>
    <n v="2.1891216000000004"/>
    <n v="6.7400000000000002E-2"/>
    <n v="2.1517241060000001"/>
    <n v="4.3408457060000005"/>
    <n v="145"/>
    <x v="25"/>
    <x v="1"/>
    <n v="456.06700000000001"/>
  </r>
  <r>
    <x v="212"/>
    <x v="2"/>
    <x v="1"/>
    <s v="mars2022"/>
    <x v="631"/>
    <n v="150"/>
    <n v="0.15"/>
    <x v="1"/>
    <n v="0.3"/>
    <n v="0.7"/>
    <n v="0.16"/>
    <n v="1.4951159999999999"/>
    <n v="6.7400000000000002E-2"/>
    <n v="1.469574435"/>
    <n v="2.9646904349999996"/>
    <n v="150"/>
    <x v="18"/>
    <x v="71"/>
    <n v="207.655"/>
  </r>
  <r>
    <x v="212"/>
    <x v="2"/>
    <x v="1"/>
    <s v="mars2022"/>
    <x v="632"/>
    <n v="100"/>
    <n v="0.1"/>
    <x v="2"/>
    <n v="0.3"/>
    <n v="0.7"/>
    <n v="0.16"/>
    <n v="3.4946928000000006"/>
    <n v="6.7400000000000002E-2"/>
    <n v="3.434991798"/>
    <n v="6.9296845980000006"/>
    <n v="159"/>
    <x v="3"/>
    <x v="72"/>
    <n v="728.06100000000004"/>
  </r>
  <r>
    <x v="212"/>
    <x v="2"/>
    <x v="1"/>
    <s v="mars2022"/>
    <x v="633"/>
    <n v="300"/>
    <n v="0.3"/>
    <x v="2"/>
    <n v="0.3"/>
    <n v="0.7"/>
    <n v="0.16"/>
    <n v="3.7158191999999999"/>
    <n v="6.7400000000000002E-2"/>
    <n v="3.6523406220000001"/>
    <n v="7.368159822"/>
    <n v="178"/>
    <x v="14"/>
    <x v="1"/>
    <n v="258.04300000000001"/>
  </r>
  <r>
    <x v="212"/>
    <x v="2"/>
    <x v="1"/>
    <s v="mars2022"/>
    <x v="634"/>
    <n v="300"/>
    <n v="0.3"/>
    <x v="1"/>
    <n v="0.3"/>
    <n v="0.7"/>
    <n v="0.16"/>
    <n v="3.8354832000000001"/>
    <n v="6.7400000000000002E-2"/>
    <n v="3.769960362"/>
    <n v="7.6054435619999996"/>
    <n v="252"/>
    <x v="8"/>
    <x v="1"/>
    <n v="266.35300000000001"/>
  </r>
  <r>
    <x v="212"/>
    <x v="2"/>
    <x v="1"/>
    <s v="mars2022"/>
    <x v="635"/>
    <n v="450"/>
    <n v="0.45"/>
    <x v="2"/>
    <n v="0.3"/>
    <n v="0.7"/>
    <n v="0.16"/>
    <n v="16.551453599999999"/>
    <n v="6.7400000000000002E-2"/>
    <n v="16.268699600999998"/>
    <n v="32.820153200999997"/>
    <n v="720"/>
    <x v="3"/>
    <x v="73"/>
    <n v="766.27099999999996"/>
  </r>
  <r>
    <x v="213"/>
    <x v="2"/>
    <x v="1"/>
    <s v="mars2022"/>
    <x v="636"/>
    <n v="300"/>
    <n v="0.3"/>
    <x v="1"/>
    <n v="0.3"/>
    <n v="0.7"/>
    <n v="0.16"/>
    <n v="0.65044800000000003"/>
    <n v="6.7400000000000002E-2"/>
    <n v="0.63933618000000003"/>
    <n v="1.2897841800000001"/>
    <n v="60"/>
    <x v="3"/>
    <x v="74"/>
    <n v="45.17"/>
  </r>
  <r>
    <x v="213"/>
    <x v="2"/>
    <x v="1"/>
    <s v="mars2022"/>
    <x v="637"/>
    <n v="150"/>
    <n v="0.15"/>
    <x v="3"/>
    <n v="1"/>
    <n v="0"/>
    <n v="0.24099999999999999"/>
    <n v="35.464089899999991"/>
    <n v="0"/>
    <n v="0"/>
    <n v="35.464089899999991"/>
    <n v="90"/>
    <x v="16"/>
    <x v="73"/>
    <n v="981.02599999999995"/>
  </r>
  <r>
    <x v="213"/>
    <x v="2"/>
    <x v="1"/>
    <s v="mars2022"/>
    <x v="638"/>
    <n v="208"/>
    <n v="0.20799999999999999"/>
    <x v="2"/>
    <n v="0.3"/>
    <n v="0.7"/>
    <n v="0.16"/>
    <n v="2.4839892479999999"/>
    <n v="6.7400000000000002E-2"/>
    <n v="2.4415544316799997"/>
    <n v="4.9255436796799996"/>
    <n v="100"/>
    <x v="3"/>
    <x v="19"/>
    <n v="248.797"/>
  </r>
  <r>
    <x v="213"/>
    <x v="2"/>
    <x v="1"/>
    <s v="mars2022"/>
    <x v="639"/>
    <n v="120"/>
    <n v="0.12"/>
    <x v="2"/>
    <n v="0.3"/>
    <n v="0.7"/>
    <n v="0.16"/>
    <n v="0.9679564799999999"/>
    <n v="6.7400000000000002E-2"/>
    <n v="0.95142055680000004"/>
    <n v="1.9193770367999998"/>
    <n v="130"/>
    <x v="3"/>
    <x v="28"/>
    <n v="168.048"/>
  </r>
  <r>
    <x v="213"/>
    <x v="2"/>
    <x v="1"/>
    <s v="mars2022"/>
    <x v="640"/>
    <n v="150"/>
    <n v="0.15"/>
    <x v="2"/>
    <n v="0.3"/>
    <n v="0.7"/>
    <n v="0.16"/>
    <n v="2.7402191999999999"/>
    <n v="6.7400000000000002E-2"/>
    <n v="2.693407122"/>
    <n v="5.4336263220000003"/>
    <n v="166"/>
    <x v="12"/>
    <x v="1"/>
    <n v="380.58600000000001"/>
  </r>
  <r>
    <x v="213"/>
    <x v="2"/>
    <x v="1"/>
    <s v="mars2022"/>
    <x v="641"/>
    <n v="300"/>
    <n v="0.3"/>
    <x v="2"/>
    <n v="0.3"/>
    <n v="0.7"/>
    <n v="0.16"/>
    <n v="10.657411199999999"/>
    <n v="6.7400000000000002E-2"/>
    <n v="10.475347092"/>
    <n v="21.132758291999998"/>
    <n v="220"/>
    <x v="23"/>
    <x v="1"/>
    <n v="740.09799999999996"/>
  </r>
  <r>
    <x v="213"/>
    <x v="2"/>
    <x v="1"/>
    <s v="mars2022"/>
    <x v="642"/>
    <n v="2000"/>
    <n v="2"/>
    <x v="7"/>
    <n v="1"/>
    <n v="0"/>
    <n v="0.16"/>
    <n v="17.523520000000001"/>
    <n v="0"/>
    <n v="0"/>
    <n v="17.523520000000001"/>
    <n v="250"/>
    <x v="2"/>
    <x v="1"/>
    <n v="54.761000000000003"/>
  </r>
  <r>
    <x v="213"/>
    <x v="2"/>
    <x v="1"/>
    <s v="mars2022"/>
    <x v="643"/>
    <n v="1000"/>
    <n v="1"/>
    <x v="1"/>
    <n v="0.3"/>
    <n v="0.7"/>
    <n v="0.16"/>
    <n v="24.790752000000001"/>
    <n v="6.7400000000000002E-2"/>
    <n v="24.367243320000004"/>
    <n v="49.157995320000005"/>
    <n v="350"/>
    <x v="0"/>
    <x v="1"/>
    <n v="516.47400000000005"/>
  </r>
  <r>
    <x v="214"/>
    <x v="2"/>
    <x v="1"/>
    <s v="mars2022"/>
    <x v="644"/>
    <n v="150"/>
    <n v="0.15"/>
    <x v="1"/>
    <n v="0.3"/>
    <n v="0.7"/>
    <n v="0.16"/>
    <n v="0.38862720000000001"/>
    <n v="6.7400000000000002E-2"/>
    <n v="0.38198815199999997"/>
    <n v="0.77061535199999998"/>
    <n v="98"/>
    <x v="3"/>
    <x v="6"/>
    <n v="53.975999999999999"/>
  </r>
  <r>
    <x v="214"/>
    <x v="2"/>
    <x v="1"/>
    <s v="mars2022"/>
    <x v="645"/>
    <n v="150"/>
    <n v="0.15"/>
    <x v="1"/>
    <n v="0.3"/>
    <n v="0.7"/>
    <n v="0.16"/>
    <n v="1.9284912000000001"/>
    <n v="6.7400000000000002E-2"/>
    <n v="1.8955461419999999"/>
    <n v="3.824037342"/>
    <n v="190"/>
    <x v="26"/>
    <x v="1"/>
    <n v="267.846"/>
  </r>
  <r>
    <x v="214"/>
    <x v="2"/>
    <x v="1"/>
    <s v="mars2022"/>
    <x v="646"/>
    <n v="400"/>
    <n v="0.4"/>
    <x v="2"/>
    <n v="0.3"/>
    <n v="0.7"/>
    <n v="0.16"/>
    <n v="4.7769024"/>
    <n v="6.7400000000000002E-2"/>
    <n v="4.6952969839999996"/>
    <n v="9.4721993839999996"/>
    <n v="234"/>
    <x v="3"/>
    <x v="19"/>
    <n v="248.797"/>
  </r>
  <r>
    <x v="215"/>
    <x v="2"/>
    <x v="1"/>
    <s v="mars2022"/>
    <x v="647"/>
    <n v="150"/>
    <n v="0.15"/>
    <x v="3"/>
    <n v="1"/>
    <n v="0"/>
    <n v="0.24099999999999999"/>
    <n v="1.2287746499999999"/>
    <n v="0"/>
    <n v="0"/>
    <n v="1.2287746499999999"/>
    <n v="80"/>
    <x v="5"/>
    <x v="1"/>
    <n v="33.991"/>
  </r>
  <r>
    <x v="215"/>
    <x v="2"/>
    <x v="1"/>
    <s v="mars2022"/>
    <x v="648"/>
    <n v="128"/>
    <n v="0.128"/>
    <x v="1"/>
    <n v="0.3"/>
    <n v="0.7"/>
    <n v="0.16"/>
    <n v="0.28647628800000002"/>
    <n v="6.7400000000000002E-2"/>
    <n v="0.28158231808"/>
    <n v="0.56805860608000003"/>
    <n v="80"/>
    <x v="3"/>
    <x v="60"/>
    <n v="46.627000000000002"/>
  </r>
  <r>
    <x v="215"/>
    <x v="2"/>
    <x v="1"/>
    <s v="mars2022"/>
    <x v="649"/>
    <n v="150"/>
    <n v="0.15"/>
    <x v="1"/>
    <n v="0.3"/>
    <n v="0.7"/>
    <n v="0.16"/>
    <n v="1.6228008"/>
    <n v="6.7400000000000002E-2"/>
    <n v="1.5950779530000001"/>
    <n v="3.2178787529999999"/>
    <n v="158"/>
    <x v="20"/>
    <x v="71"/>
    <n v="225.38900000000001"/>
  </r>
  <r>
    <x v="215"/>
    <x v="2"/>
    <x v="1"/>
    <s v="mars2022"/>
    <x v="650"/>
    <n v="300"/>
    <n v="0.3"/>
    <x v="1"/>
    <n v="0.3"/>
    <n v="0.7"/>
    <n v="0.16"/>
    <n v="2.9902319999999998"/>
    <n v="6.7400000000000002E-2"/>
    <n v="2.9391488699999999"/>
    <n v="5.9293808699999992"/>
    <n v="230"/>
    <x v="18"/>
    <x v="71"/>
    <n v="207.655"/>
  </r>
  <r>
    <x v="215"/>
    <x v="2"/>
    <x v="1"/>
    <s v="mars2022"/>
    <x v="651"/>
    <n v="200"/>
    <n v="0.2"/>
    <x v="2"/>
    <n v="0.3"/>
    <n v="0.7"/>
    <n v="0.16"/>
    <n v="5.1986496000000004"/>
    <n v="6.7400000000000002E-2"/>
    <n v="5.1098393359999994"/>
    <n v="10.308488936"/>
    <n v="239"/>
    <x v="4"/>
    <x v="1"/>
    <n v="541.52599999999995"/>
  </r>
  <r>
    <x v="215"/>
    <x v="2"/>
    <x v="1"/>
    <s v="mars2022"/>
    <x v="652"/>
    <n v="174"/>
    <n v="0.17399999999999999"/>
    <x v="2"/>
    <n v="0.3"/>
    <n v="0.7"/>
    <n v="0.16"/>
    <n v="6.0807654720000004"/>
    <n v="6.7400000000000002E-2"/>
    <n v="5.9768857285199992"/>
    <n v="12.057651200519999"/>
    <n v="250"/>
    <x v="3"/>
    <x v="72"/>
    <n v="728.06100000000004"/>
  </r>
  <r>
    <x v="216"/>
    <x v="2"/>
    <x v="1"/>
    <s v="mars2022"/>
    <x v="653"/>
    <n v="80"/>
    <n v="0.08"/>
    <x v="2"/>
    <n v="0.3"/>
    <n v="0.7"/>
    <n v="0.16"/>
    <n v="0.5125824000000001"/>
    <n v="6.7400000000000002E-2"/>
    <n v="0.50382578400000011"/>
    <n v="1.0164081840000003"/>
    <n v="105"/>
    <x v="3"/>
    <x v="12"/>
    <n v="133.48500000000001"/>
  </r>
  <r>
    <x v="216"/>
    <x v="2"/>
    <x v="1"/>
    <s v="mars2022"/>
    <x v="654"/>
    <n v="174"/>
    <n v="0.17399999999999999"/>
    <x v="2"/>
    <n v="0.3"/>
    <n v="0.7"/>
    <n v="0.16"/>
    <n v="3.8294504640000002"/>
    <n v="6.7400000000000002E-2"/>
    <n v="3.7640306852399998"/>
    <n v="7.5934811492400005"/>
    <n v="195"/>
    <x v="3"/>
    <x v="61"/>
    <n v="458.50700000000001"/>
  </r>
  <r>
    <x v="216"/>
    <x v="2"/>
    <x v="1"/>
    <s v="mars2022"/>
    <x v="655"/>
    <n v="1200"/>
    <n v="1.2"/>
    <x v="0"/>
    <n v="1"/>
    <n v="0"/>
    <n v="6.7400000000000002E-2"/>
    <n v="21.542630639999999"/>
    <n v="0"/>
    <n v="0"/>
    <n v="21.542630639999999"/>
    <n v="200"/>
    <x v="8"/>
    <x v="1"/>
    <n v="266.35300000000001"/>
  </r>
  <r>
    <x v="216"/>
    <x v="2"/>
    <x v="1"/>
    <s v="mars2022"/>
    <x v="656"/>
    <n v="291"/>
    <n v="0.29099999999999998"/>
    <x v="2"/>
    <n v="0.3"/>
    <n v="0.7"/>
    <n v="0.16"/>
    <n v="2.6341273439999999"/>
    <n v="6.7400000000000002E-2"/>
    <n v="2.5891276685399998"/>
    <n v="5.2232550125399992"/>
    <n v="200"/>
    <x v="3"/>
    <x v="68"/>
    <n v="188.583"/>
  </r>
  <r>
    <x v="216"/>
    <x v="2"/>
    <x v="1"/>
    <s v="mars2022"/>
    <x v="657"/>
    <n v="150"/>
    <n v="0.15"/>
    <x v="1"/>
    <n v="0.3"/>
    <n v="0.7"/>
    <n v="0.16"/>
    <n v="1.9284912000000001"/>
    <n v="6.7400000000000002E-2"/>
    <n v="1.8955461419999999"/>
    <n v="3.824037342"/>
    <n v="249"/>
    <x v="26"/>
    <x v="1"/>
    <n v="267.846"/>
  </r>
  <r>
    <x v="216"/>
    <x v="2"/>
    <x v="1"/>
    <s v="mars2022"/>
    <x v="658"/>
    <n v="432"/>
    <n v="0.432"/>
    <x v="2"/>
    <n v="0.3"/>
    <n v="0.7"/>
    <n v="0.16"/>
    <n v="10.695587328"/>
    <n v="6.7400000000000002E-2"/>
    <n v="10.512871044479999"/>
    <n v="21.208458372479999"/>
    <n v="330"/>
    <x v="3"/>
    <x v="2"/>
    <n v="515.798"/>
  </r>
  <r>
    <x v="217"/>
    <x v="2"/>
    <x v="1"/>
    <s v="mars2022"/>
    <x v="659"/>
    <n v="300"/>
    <n v="0.3"/>
    <x v="1"/>
    <n v="0.3"/>
    <n v="0.7"/>
    <n v="0.16"/>
    <n v="3.6040031999999997"/>
    <n v="6.7400000000000002E-2"/>
    <n v="3.5424348119999998"/>
    <n v="7.1464380119999991"/>
    <n v="158"/>
    <x v="10"/>
    <x v="1"/>
    <n v="250.27799999999999"/>
  </r>
  <r>
    <x v="217"/>
    <x v="2"/>
    <x v="1"/>
    <s v="mars2022"/>
    <x v="660"/>
    <n v="400"/>
    <n v="0.4"/>
    <x v="1"/>
    <n v="0.3"/>
    <n v="0.7"/>
    <n v="0.16"/>
    <n v="5.347142400000001"/>
    <n v="6.7400000000000002E-2"/>
    <n v="5.2557953839999998"/>
    <n v="10.602937784000002"/>
    <n v="158"/>
    <x v="11"/>
    <x v="1"/>
    <n v="278.49700000000001"/>
  </r>
  <r>
    <x v="218"/>
    <x v="2"/>
    <x v="1"/>
    <s v="mars2022"/>
    <x v="661"/>
    <n v="52"/>
    <n v="5.1999999999999998E-2"/>
    <x v="2"/>
    <n v="0.3"/>
    <n v="0.7"/>
    <n v="0.16"/>
    <n v="0.66435033599999993"/>
    <n v="6.7400000000000002E-2"/>
    <n v="0.65300101775999997"/>
    <n v="1.3173513537599999"/>
    <n v="100"/>
    <x v="3"/>
    <x v="0"/>
    <n v="266.166"/>
  </r>
  <r>
    <x v="218"/>
    <x v="2"/>
    <x v="1"/>
    <s v="mars2022"/>
    <x v="662"/>
    <n v="128"/>
    <n v="0.128"/>
    <x v="2"/>
    <n v="0.3"/>
    <n v="0.7"/>
    <n v="0.16"/>
    <n v="1.6315084800000001"/>
    <n v="6.7400000000000002E-2"/>
    <n v="1.6036368768"/>
    <n v="3.2351453568000004"/>
    <n v="100"/>
    <x v="3"/>
    <x v="11"/>
    <n v="265.54500000000002"/>
  </r>
  <r>
    <x v="218"/>
    <x v="2"/>
    <x v="1"/>
    <s v="mars2022"/>
    <x v="663"/>
    <n v="150"/>
    <n v="0.15"/>
    <x v="2"/>
    <n v="0.3"/>
    <n v="0.7"/>
    <n v="0.16"/>
    <n v="1.8579095999999999"/>
    <n v="6.7400000000000002E-2"/>
    <n v="1.826170311"/>
    <n v="3.684079911"/>
    <n v="131"/>
    <x v="14"/>
    <x v="1"/>
    <n v="258.04300000000001"/>
  </r>
  <r>
    <x v="218"/>
    <x v="2"/>
    <x v="1"/>
    <s v="mars2022"/>
    <x v="664"/>
    <n v="163"/>
    <n v="0.16300000000000001"/>
    <x v="2"/>
    <n v="0.3"/>
    <n v="0.7"/>
    <n v="0.16"/>
    <n v="4.217245536000001"/>
    <n v="6.7400000000000002E-2"/>
    <n v="4.1452009247600001"/>
    <n v="8.3624464607600011"/>
    <n v="133"/>
    <x v="3"/>
    <x v="59"/>
    <n v="539.01400000000001"/>
  </r>
  <r>
    <x v="218"/>
    <x v="2"/>
    <x v="1"/>
    <s v="mars2022"/>
    <x v="665"/>
    <n v="204"/>
    <n v="0.20399999999999999"/>
    <x v="2"/>
    <n v="0.3"/>
    <n v="0.7"/>
    <n v="0.16"/>
    <n v="5.0506940160000005"/>
    <n v="6.7400000000000002E-2"/>
    <n v="4.9644113265599996"/>
    <n v="10.01510534256"/>
    <n v="140"/>
    <x v="3"/>
    <x v="2"/>
    <n v="515.798"/>
  </r>
  <r>
    <x v="218"/>
    <x v="2"/>
    <x v="1"/>
    <s v="mars2022"/>
    <x v="666"/>
    <n v="150"/>
    <n v="0.15"/>
    <x v="1"/>
    <n v="0.3"/>
    <n v="0.7"/>
    <n v="0.16"/>
    <n v="3.8714975999999997"/>
    <n v="6.7400000000000002E-2"/>
    <n v="3.8053595159999998"/>
    <n v="7.676857115999999"/>
    <n v="160"/>
    <x v="27"/>
    <x v="1"/>
    <n v="537.70799999999997"/>
  </r>
  <r>
    <x v="218"/>
    <x v="2"/>
    <x v="1"/>
    <s v="mars2022"/>
    <x v="667"/>
    <n v="150"/>
    <n v="0.15"/>
    <x v="2"/>
    <n v="0.3"/>
    <n v="0.7"/>
    <n v="0.16"/>
    <n v="2.7402191999999999"/>
    <n v="6.7400000000000002E-2"/>
    <n v="2.693407122"/>
    <n v="5.4336263220000003"/>
    <n v="166"/>
    <x v="12"/>
    <x v="1"/>
    <n v="380.58600000000001"/>
  </r>
  <r>
    <x v="218"/>
    <x v="2"/>
    <x v="1"/>
    <s v="mars2022"/>
    <x v="668"/>
    <n v="81"/>
    <n v="8.1000000000000003E-2"/>
    <x v="2"/>
    <n v="0.3"/>
    <n v="0.7"/>
    <n v="0.16"/>
    <n v="2.9379049920000004"/>
    <n v="6.7400000000000002E-2"/>
    <n v="2.8877157817200003"/>
    <n v="5.8256207737200008"/>
    <n v="168"/>
    <x v="3"/>
    <x v="35"/>
    <n v="755.63400000000001"/>
  </r>
  <r>
    <x v="218"/>
    <x v="2"/>
    <x v="1"/>
    <s v="mars2022"/>
    <x v="669"/>
    <n v="41"/>
    <n v="4.1000000000000002E-2"/>
    <x v="2"/>
    <n v="0.3"/>
    <n v="0.7"/>
    <n v="0.16"/>
    <n v="1.4071357440000001"/>
    <n v="6.7400000000000002E-2"/>
    <n v="1.3830971750400001"/>
    <n v="2.7902329190400001"/>
    <n v="173"/>
    <x v="3"/>
    <x v="70"/>
    <n v="715.00800000000004"/>
  </r>
  <r>
    <x v="218"/>
    <x v="2"/>
    <x v="1"/>
    <s v="mars2022"/>
    <x v="670"/>
    <n v="275"/>
    <n v="0.27500000000000002"/>
    <x v="2"/>
    <n v="0.3"/>
    <n v="0.7"/>
    <n v="0.16"/>
    <n v="7.1435760000000004"/>
    <n v="6.7400000000000002E-2"/>
    <n v="7.0215399100000004"/>
    <n v="14.165115910000001"/>
    <n v="225"/>
    <x v="3"/>
    <x v="8"/>
    <n v="541.17999999999995"/>
  </r>
  <r>
    <x v="218"/>
    <x v="2"/>
    <x v="1"/>
    <s v="mars2022"/>
    <x v="671"/>
    <n v="600"/>
    <n v="0.6"/>
    <x v="1"/>
    <n v="0.3"/>
    <n v="0.7"/>
    <n v="0.16"/>
    <n v="14.874451200000001"/>
    <n v="6.7400000000000002E-2"/>
    <n v="14.620345992000001"/>
    <n v="29.494797192"/>
    <n v="253"/>
    <x v="0"/>
    <x v="1"/>
    <n v="516.47400000000005"/>
  </r>
  <r>
    <x v="219"/>
    <x v="2"/>
    <x v="1"/>
    <s v="mars2022"/>
    <x v="672"/>
    <n v="200"/>
    <n v="0.2"/>
    <x v="3"/>
    <n v="1"/>
    <n v="0"/>
    <n v="0.24099999999999999"/>
    <n v="1.1150106"/>
    <n v="0"/>
    <n v="0"/>
    <n v="1.1150106"/>
    <n v="80"/>
    <x v="3"/>
    <x v="75"/>
    <n v="23.132999999999999"/>
  </r>
  <r>
    <x v="219"/>
    <x v="2"/>
    <x v="1"/>
    <s v="mars2022"/>
    <x v="673"/>
    <n v="261"/>
    <n v="0.26100000000000001"/>
    <x v="2"/>
    <n v="0.3"/>
    <n v="0.7"/>
    <n v="0.16"/>
    <n v="3.1169288160000002"/>
    <n v="6.7400000000000002E-2"/>
    <n v="3.0636812820600001"/>
    <n v="6.1806100980600007"/>
    <n v="140"/>
    <x v="3"/>
    <x v="19"/>
    <n v="248.797"/>
  </r>
  <r>
    <x v="219"/>
    <x v="2"/>
    <x v="1"/>
    <s v="mars2022"/>
    <x v="674"/>
    <n v="450"/>
    <n v="0.45"/>
    <x v="1"/>
    <n v="0.3"/>
    <n v="0.7"/>
    <n v="0.16"/>
    <n v="5.7532248000000008"/>
    <n v="6.7400000000000002E-2"/>
    <n v="5.6549405430000004"/>
    <n v="11.408165343"/>
    <n v="220"/>
    <x v="8"/>
    <x v="1"/>
    <n v="266.35300000000001"/>
  </r>
  <r>
    <x v="219"/>
    <x v="2"/>
    <x v="1"/>
    <s v="mars2022"/>
    <x v="675"/>
    <n v="300"/>
    <n v="0.3"/>
    <x v="2"/>
    <n v="0.3"/>
    <n v="0.7"/>
    <n v="0.16"/>
    <n v="10.657411199999999"/>
    <n v="6.7400000000000002E-2"/>
    <n v="10.475347092"/>
    <n v="21.132758291999998"/>
    <n v="280"/>
    <x v="23"/>
    <x v="1"/>
    <n v="740.09799999999996"/>
  </r>
  <r>
    <x v="219"/>
    <x v="2"/>
    <x v="1"/>
    <s v="mars2022"/>
    <x v="676"/>
    <n v="864"/>
    <n v="0.86399999999999999"/>
    <x v="2"/>
    <n v="0.3"/>
    <n v="0.7"/>
    <n v="0.16"/>
    <n v="11.038436352"/>
    <n v="6.7400000000000002E-2"/>
    <n v="10.849863064319999"/>
    <n v="21.888299416319999"/>
    <n v="405"/>
    <x v="3"/>
    <x v="0"/>
    <n v="266.166"/>
  </r>
  <r>
    <x v="220"/>
    <x v="2"/>
    <x v="1"/>
    <s v="mars2022"/>
    <x v="677"/>
    <n v="150"/>
    <n v="0.15"/>
    <x v="3"/>
    <n v="1"/>
    <n v="0"/>
    <n v="0.24099999999999999"/>
    <n v="1.2287746499999999"/>
    <n v="0"/>
    <n v="0"/>
    <n v="1.2287746499999999"/>
    <n v="80"/>
    <x v="5"/>
    <x v="1"/>
    <n v="33.991"/>
  </r>
  <r>
    <x v="220"/>
    <x v="2"/>
    <x v="1"/>
    <s v="mars2022"/>
    <x v="678"/>
    <n v="250"/>
    <n v="0.25"/>
    <x v="1"/>
    <n v="0.3"/>
    <n v="0.7"/>
    <n v="0.16"/>
    <n v="0.64771199999999995"/>
    <n v="6.7400000000000002E-2"/>
    <n v="0.63664692000000001"/>
    <n v="1.2843589199999998"/>
    <n v="80"/>
    <x v="3"/>
    <x v="6"/>
    <n v="53.975999999999999"/>
  </r>
  <r>
    <x v="220"/>
    <x v="2"/>
    <x v="1"/>
    <s v="mars2022"/>
    <x v="679"/>
    <n v="45"/>
    <n v="4.4999999999999998E-2"/>
    <x v="2"/>
    <n v="0.3"/>
    <n v="0.7"/>
    <n v="0.16"/>
    <n v="0.54901800000000001"/>
    <n v="6.7400000000000002E-2"/>
    <n v="0.5396389425"/>
    <n v="1.0886569425000001"/>
    <n v="100"/>
    <x v="3"/>
    <x v="25"/>
    <n v="254.17500000000001"/>
  </r>
  <r>
    <x v="220"/>
    <x v="2"/>
    <x v="1"/>
    <s v="mars2022"/>
    <x v="680"/>
    <n v="45"/>
    <n v="4.4999999999999998E-2"/>
    <x v="2"/>
    <n v="0.3"/>
    <n v="0.7"/>
    <n v="0.16"/>
    <n v="0.57357720000000001"/>
    <n v="6.7400000000000002E-2"/>
    <n v="0.56377858949999993"/>
    <n v="1.1373557894999999"/>
    <n v="100"/>
    <x v="3"/>
    <x v="11"/>
    <n v="265.54500000000002"/>
  </r>
  <r>
    <x v="220"/>
    <x v="2"/>
    <x v="1"/>
    <s v="mars2022"/>
    <x v="681"/>
    <n v="47"/>
    <n v="4.7E-2"/>
    <x v="2"/>
    <n v="0.3"/>
    <n v="0.7"/>
    <n v="0.16"/>
    <n v="0.87992121600000006"/>
    <n v="6.7400000000000002E-2"/>
    <n v="0.86488922856000006"/>
    <n v="1.7448104445600001"/>
    <n v="119.1"/>
    <x v="3"/>
    <x v="76"/>
    <n v="390.036"/>
  </r>
  <r>
    <x v="220"/>
    <x v="2"/>
    <x v="1"/>
    <s v="mars2022"/>
    <x v="682"/>
    <n v="100"/>
    <n v="0.1"/>
    <x v="1"/>
    <n v="0.3"/>
    <n v="0.7"/>
    <n v="0.16"/>
    <n v="2.1891216000000004"/>
    <n v="6.7400000000000002E-2"/>
    <n v="2.1517241060000001"/>
    <n v="4.3408457060000005"/>
    <n v="145"/>
    <x v="25"/>
    <x v="1"/>
    <n v="456.06700000000001"/>
  </r>
  <r>
    <x v="220"/>
    <x v="2"/>
    <x v="1"/>
    <s v="mars2022"/>
    <x v="683"/>
    <n v="90"/>
    <n v="0.09"/>
    <x v="2"/>
    <n v="0.3"/>
    <n v="0.7"/>
    <n v="0.16"/>
    <n v="1.3684766399999999"/>
    <n v="6.7400000000000002E-2"/>
    <n v="1.3450984973999998"/>
    <n v="2.7135751373999994"/>
    <n v="150"/>
    <x v="3"/>
    <x v="77"/>
    <n v="316.77699999999999"/>
  </r>
  <r>
    <x v="220"/>
    <x v="2"/>
    <x v="1"/>
    <s v="mars2022"/>
    <x v="684"/>
    <n v="200"/>
    <n v="0.2"/>
    <x v="1"/>
    <n v="0.3"/>
    <n v="0.7"/>
    <n v="0.16"/>
    <n v="2.6701920000000001"/>
    <n v="6.7400000000000002E-2"/>
    <n v="2.6245762199999998"/>
    <n v="5.2947682199999999"/>
    <n v="188"/>
    <x v="7"/>
    <x v="1"/>
    <n v="278.14499999999998"/>
  </r>
  <r>
    <x v="220"/>
    <x v="2"/>
    <x v="1"/>
    <s v="mars2022"/>
    <x v="685"/>
    <n v="250"/>
    <n v="0.25"/>
    <x v="1"/>
    <n v="0.3"/>
    <n v="0.7"/>
    <n v="0.16"/>
    <n v="9.2057640000000003"/>
    <n v="6.7400000000000002E-2"/>
    <n v="9.0484988650000009"/>
    <n v="18.254262865000001"/>
    <n v="250"/>
    <x v="28"/>
    <x v="1"/>
    <n v="767.14700000000005"/>
  </r>
  <r>
    <x v="220"/>
    <x v="2"/>
    <x v="1"/>
    <s v="mars2022"/>
    <x v="686"/>
    <n v="2000"/>
    <n v="2"/>
    <x v="7"/>
    <n v="1"/>
    <n v="0"/>
    <n v="0.16"/>
    <n v="17.523520000000001"/>
    <n v="0"/>
    <n v="0"/>
    <n v="17.523520000000001"/>
    <n v="280"/>
    <x v="2"/>
    <x v="1"/>
    <n v="54.761000000000003"/>
  </r>
  <r>
    <x v="221"/>
    <x v="2"/>
    <x v="1"/>
    <s v="mars2022"/>
    <x v="687"/>
    <n v="150"/>
    <n v="0.15"/>
    <x v="3"/>
    <n v="1"/>
    <n v="0"/>
    <n v="0.24099999999999999"/>
    <n v="1.2287746499999999"/>
    <n v="0"/>
    <n v="0"/>
    <n v="1.2287746499999999"/>
    <n v="80"/>
    <x v="5"/>
    <x v="1"/>
    <n v="33.991"/>
  </r>
  <r>
    <x v="221"/>
    <x v="2"/>
    <x v="1"/>
    <s v="mars2022"/>
    <x v="688"/>
    <n v="103"/>
    <n v="0.10299999999999999"/>
    <x v="2"/>
    <n v="0.3"/>
    <n v="0.7"/>
    <n v="0.16"/>
    <n v="1.8809695199999998"/>
    <n v="6.7400000000000002E-2"/>
    <n v="1.8488362906999998"/>
    <n v="3.7298058106999994"/>
    <n v="130"/>
    <x v="3"/>
    <x v="20"/>
    <n v="380.45499999999998"/>
  </r>
  <r>
    <x v="221"/>
    <x v="2"/>
    <x v="1"/>
    <s v="mars2022"/>
    <x v="689"/>
    <n v="51"/>
    <n v="5.0999999999999997E-2"/>
    <x v="2"/>
    <n v="0.3"/>
    <n v="0.7"/>
    <n v="0.16"/>
    <n v="1.089976896"/>
    <n v="6.7400000000000002E-2"/>
    <n v="1.0713564573600001"/>
    <n v="2.1613333533599999"/>
    <n v="145"/>
    <x v="3"/>
    <x v="78"/>
    <n v="445.25200000000001"/>
  </r>
  <r>
    <x v="221"/>
    <x v="2"/>
    <x v="1"/>
    <s v="mars2022"/>
    <x v="690"/>
    <n v="76"/>
    <n v="7.5999999999999998E-2"/>
    <x v="2"/>
    <n v="0.3"/>
    <n v="0.7"/>
    <n v="0.16"/>
    <n v="2.0988986880000002"/>
    <n v="6.7400000000000002E-2"/>
    <n v="2.0630425020800001"/>
    <n v="4.1619411900800003"/>
    <n v="155"/>
    <x v="3"/>
    <x v="63"/>
    <n v="575.35599999999999"/>
  </r>
  <r>
    <x v="221"/>
    <x v="2"/>
    <x v="1"/>
    <s v="mars2022"/>
    <x v="691"/>
    <n v="150"/>
    <n v="0.15"/>
    <x v="1"/>
    <n v="0.3"/>
    <n v="0.7"/>
    <n v="0.16"/>
    <n v="1.8020015999999999"/>
    <n v="6.7400000000000002E-2"/>
    <n v="1.7712174059999999"/>
    <n v="3.5732190059999995"/>
    <n v="158"/>
    <x v="10"/>
    <x v="1"/>
    <n v="250.27799999999999"/>
  </r>
  <r>
    <x v="221"/>
    <x v="2"/>
    <x v="1"/>
    <s v="mars2022"/>
    <x v="692"/>
    <n v="257"/>
    <n v="0.25700000000000001"/>
    <x v="2"/>
    <n v="0.3"/>
    <n v="0.7"/>
    <n v="0.16"/>
    <n v="3.2757631200000001"/>
    <n v="6.7400000000000002E-2"/>
    <n v="3.2198021667000005"/>
    <n v="6.4955652867000007"/>
    <n v="215"/>
    <x v="3"/>
    <x v="11"/>
    <n v="265.54500000000002"/>
  </r>
  <r>
    <x v="221"/>
    <x v="2"/>
    <x v="1"/>
    <s v="mars2022"/>
    <x v="693"/>
    <n v="200"/>
    <n v="0.2"/>
    <x v="2"/>
    <n v="0.3"/>
    <n v="0.7"/>
    <n v="0.16"/>
    <n v="5.1986496000000004"/>
    <n v="6.7400000000000002E-2"/>
    <n v="5.1098393359999994"/>
    <n v="10.308488936"/>
    <n v="239"/>
    <x v="4"/>
    <x v="1"/>
    <n v="541.52599999999995"/>
  </r>
  <r>
    <x v="221"/>
    <x v="2"/>
    <x v="1"/>
    <s v="mars2022"/>
    <x v="694"/>
    <n v="150"/>
    <n v="0.15"/>
    <x v="1"/>
    <n v="0.3"/>
    <n v="0.7"/>
    <n v="0.16"/>
    <n v="3.7186128000000003"/>
    <n v="6.7400000000000002E-2"/>
    <n v="3.6550864980000002"/>
    <n v="7.373699298"/>
    <n v="253"/>
    <x v="0"/>
    <x v="1"/>
    <n v="516.47400000000005"/>
  </r>
  <r>
    <x v="221"/>
    <x v="2"/>
    <x v="1"/>
    <s v="mars2022"/>
    <x v="695"/>
    <n v="400"/>
    <n v="0.4"/>
    <x v="1"/>
    <n v="0.3"/>
    <n v="0.7"/>
    <n v="0.16"/>
    <n v="14.729222400000003"/>
    <n v="6.7400000000000002E-2"/>
    <n v="14.477598184000001"/>
    <n v="29.206820584000006"/>
    <n v="300"/>
    <x v="28"/>
    <x v="1"/>
    <n v="767.14700000000005"/>
  </r>
  <r>
    <x v="222"/>
    <x v="3"/>
    <x v="1"/>
    <s v="avril2022"/>
    <x v="696"/>
    <n v="216"/>
    <n v="0.216"/>
    <x v="3"/>
    <n v="1"/>
    <n v="0"/>
    <n v="0.24099999999999999"/>
    <n v="1.7743808159999999"/>
    <n v="0"/>
    <n v="0"/>
    <n v="1.7743808159999999"/>
    <n v="100"/>
    <x v="3"/>
    <x v="27"/>
    <n v="34.085999999999999"/>
  </r>
  <r>
    <x v="222"/>
    <x v="3"/>
    <x v="1"/>
    <s v="avril2022"/>
    <x v="697"/>
    <n v="102"/>
    <n v="0.10199999999999999"/>
    <x v="2"/>
    <n v="0.3"/>
    <n v="0.7"/>
    <n v="0.16"/>
    <n v="2.0254164480000001"/>
    <n v="6.7400000000000002E-2"/>
    <n v="1.9908155836799999"/>
    <n v="4.0162320316799995"/>
    <n v="126.6"/>
    <x v="3"/>
    <x v="18"/>
    <n v="413.68799999999999"/>
  </r>
  <r>
    <x v="222"/>
    <x v="3"/>
    <x v="1"/>
    <s v="avril2022"/>
    <x v="698"/>
    <n v="160"/>
    <n v="0.16"/>
    <x v="2"/>
    <n v="0.3"/>
    <n v="0.7"/>
    <n v="0.16"/>
    <n v="3.4267468800000001"/>
    <n v="6.7400000000000002E-2"/>
    <n v="3.3682066208000001"/>
    <n v="6.7949535008000002"/>
    <n v="130"/>
    <x v="3"/>
    <x v="67"/>
    <n v="446.19099999999997"/>
  </r>
  <r>
    <x v="222"/>
    <x v="3"/>
    <x v="1"/>
    <s v="avril2022"/>
    <x v="699"/>
    <n v="200"/>
    <n v="0.2"/>
    <x v="2"/>
    <n v="0.3"/>
    <n v="0.7"/>
    <n v="0.16"/>
    <n v="5.1745344000000006"/>
    <n v="6.7400000000000002E-2"/>
    <n v="5.0861361040000004"/>
    <n v="10.260670504"/>
    <n v="133"/>
    <x v="3"/>
    <x v="59"/>
    <n v="539.01400000000001"/>
  </r>
  <r>
    <x v="222"/>
    <x v="3"/>
    <x v="1"/>
    <s v="avril2022"/>
    <x v="700"/>
    <n v="300"/>
    <n v="0.3"/>
    <x v="1"/>
    <n v="0.3"/>
    <n v="0.7"/>
    <n v="0.16"/>
    <n v="4.0103568000000003"/>
    <n v="6.7400000000000002E-2"/>
    <n v="3.9418465380000001"/>
    <n v="7.9522033380000003"/>
    <n v="158"/>
    <x v="11"/>
    <x v="1"/>
    <n v="278.49700000000001"/>
  </r>
  <r>
    <x v="222"/>
    <x v="3"/>
    <x v="1"/>
    <s v="avril2022"/>
    <x v="701"/>
    <n v="41"/>
    <n v="4.1000000000000002E-2"/>
    <x v="2"/>
    <n v="0.3"/>
    <n v="0.7"/>
    <n v="0.16"/>
    <n v="1.4870877120000001"/>
    <n v="6.7400000000000002E-2"/>
    <n v="1.46168329692"/>
    <n v="2.9487710089200001"/>
    <n v="168"/>
    <x v="3"/>
    <x v="35"/>
    <n v="755.63400000000001"/>
  </r>
  <r>
    <x v="222"/>
    <x v="3"/>
    <x v="1"/>
    <s v="avril2022"/>
    <x v="702"/>
    <n v="300"/>
    <n v="0.3"/>
    <x v="2"/>
    <n v="0.3"/>
    <n v="0.7"/>
    <n v="0.16"/>
    <n v="3.7158191999999999"/>
    <n v="6.7400000000000002E-2"/>
    <n v="3.6523406220000001"/>
    <n v="7.368159822"/>
    <n v="178"/>
    <x v="14"/>
    <x v="1"/>
    <n v="258.04300000000001"/>
  </r>
  <r>
    <x v="222"/>
    <x v="3"/>
    <x v="1"/>
    <s v="avril2022"/>
    <x v="703"/>
    <n v="380"/>
    <n v="0.38"/>
    <x v="2"/>
    <n v="0.3"/>
    <n v="0.7"/>
    <n v="0.16"/>
    <n v="4.5380572799999994"/>
    <n v="6.7400000000000002E-2"/>
    <n v="4.4605321348000002"/>
    <n v="8.9985894147999996"/>
    <n v="178"/>
    <x v="3"/>
    <x v="19"/>
    <n v="248.797"/>
  </r>
  <r>
    <x v="222"/>
    <x v="3"/>
    <x v="1"/>
    <s v="avril2022"/>
    <x v="704"/>
    <n v="39"/>
    <n v="3.9E-2"/>
    <x v="2"/>
    <n v="0.3"/>
    <n v="0.7"/>
    <n v="0.16"/>
    <n v="1.6554095999999998"/>
    <n v="6.7400000000000002E-2"/>
    <n v="1.627129686"/>
    <n v="3.2825392859999996"/>
    <n v="196"/>
    <x v="3"/>
    <x v="79"/>
    <n v="884.3"/>
  </r>
  <r>
    <x v="222"/>
    <x v="3"/>
    <x v="1"/>
    <s v="avril2022"/>
    <x v="705"/>
    <n v="450"/>
    <n v="0.45"/>
    <x v="1"/>
    <n v="0.3"/>
    <n v="0.7"/>
    <n v="0.16"/>
    <n v="5.4060047999999998"/>
    <n v="6.7400000000000002E-2"/>
    <n v="5.3136522179999996"/>
    <n v="10.719657017999999"/>
    <n v="250"/>
    <x v="10"/>
    <x v="1"/>
    <n v="250.27799999999999"/>
  </r>
  <r>
    <x v="222"/>
    <x v="3"/>
    <x v="1"/>
    <s v="avril2022"/>
    <x v="706"/>
    <n v="300"/>
    <n v="0.3"/>
    <x v="2"/>
    <n v="0.3"/>
    <n v="0.7"/>
    <n v="0.16"/>
    <n v="6.6025007999999996"/>
    <n v="6.7400000000000002E-2"/>
    <n v="6.4897080779999996"/>
    <n v="13.092208877999999"/>
    <n v="280"/>
    <x v="3"/>
    <x v="61"/>
    <n v="458.50700000000001"/>
  </r>
  <r>
    <x v="222"/>
    <x v="3"/>
    <x v="1"/>
    <s v="avril2022"/>
    <x v="707"/>
    <n v="600"/>
    <n v="0.6"/>
    <x v="2"/>
    <n v="0.3"/>
    <n v="0.7"/>
    <n v="0.16"/>
    <n v="6.3938015999999998"/>
    <n v="6.7400000000000002E-2"/>
    <n v="6.2845741559999997"/>
    <n v="12.678375755999999"/>
    <n v="360"/>
    <x v="3"/>
    <x v="80"/>
    <n v="222.00700000000001"/>
  </r>
  <r>
    <x v="222"/>
    <x v="3"/>
    <x v="1"/>
    <s v="avril2022"/>
    <x v="708"/>
    <n v="2200"/>
    <n v="2.2000000000000002"/>
    <x v="5"/>
    <n v="1"/>
    <n v="0"/>
    <n v="0.16"/>
    <n v="87.134432000000004"/>
    <n v="0"/>
    <n v="0"/>
    <n v="87.134432000000004"/>
    <n v="525"/>
    <x v="16"/>
    <x v="1"/>
    <n v="247.541"/>
  </r>
  <r>
    <x v="223"/>
    <x v="3"/>
    <x v="1"/>
    <s v="avril2022"/>
    <x v="709"/>
    <n v="150"/>
    <n v="0.15"/>
    <x v="3"/>
    <n v="1"/>
    <n v="0"/>
    <n v="0.24099999999999999"/>
    <n v="1.2287746499999999"/>
    <n v="0"/>
    <n v="0"/>
    <n v="1.2287746499999999"/>
    <n v="80"/>
    <x v="5"/>
    <x v="1"/>
    <n v="33.991"/>
  </r>
  <r>
    <x v="223"/>
    <x v="3"/>
    <x v="1"/>
    <s v="avril2022"/>
    <x v="710"/>
    <n v="150"/>
    <n v="0.15"/>
    <x v="3"/>
    <n v="1"/>
    <n v="0"/>
    <n v="0.24099999999999999"/>
    <n v="1.3879792499999999"/>
    <n v="0"/>
    <n v="0"/>
    <n v="1.3879792499999999"/>
    <n v="80"/>
    <x v="2"/>
    <x v="27"/>
    <n v="38.395000000000003"/>
  </r>
  <r>
    <x v="223"/>
    <x v="3"/>
    <x v="1"/>
    <s v="avril2022"/>
    <x v="711"/>
    <n v="450"/>
    <n v="0.45"/>
    <x v="1"/>
    <n v="0.3"/>
    <n v="0.7"/>
    <n v="0.16"/>
    <n v="0.1944216"/>
    <n v="6.7400000000000002E-2"/>
    <n v="0.19110023099999998"/>
    <n v="0.38552183099999998"/>
    <n v="140"/>
    <x v="2"/>
    <x v="60"/>
    <n v="9.0009999999999994"/>
  </r>
  <r>
    <x v="223"/>
    <x v="3"/>
    <x v="1"/>
    <s v="avril2022"/>
    <x v="712"/>
    <n v="150"/>
    <n v="0.15"/>
    <x v="2"/>
    <n v="0.3"/>
    <n v="0.7"/>
    <n v="0.16"/>
    <n v="2.7402191999999999"/>
    <n v="6.7400000000000002E-2"/>
    <n v="2.693407122"/>
    <n v="5.4336263220000003"/>
    <n v="166"/>
    <x v="12"/>
    <x v="1"/>
    <n v="380.58600000000001"/>
  </r>
  <r>
    <x v="223"/>
    <x v="3"/>
    <x v="1"/>
    <s v="avril2022"/>
    <x v="713"/>
    <n v="174"/>
    <n v="0.17399999999999999"/>
    <x v="2"/>
    <n v="0.3"/>
    <n v="0.7"/>
    <n v="0.16"/>
    <n v="4.0129856640000003"/>
    <n v="6.7400000000000002E-2"/>
    <n v="3.94443049224"/>
    <n v="7.9574161562400008"/>
    <n v="195"/>
    <x v="2"/>
    <x v="61"/>
    <n v="480.48200000000003"/>
  </r>
  <r>
    <x v="223"/>
    <x v="3"/>
    <x v="1"/>
    <s v="avril2022"/>
    <x v="714"/>
    <n v="450"/>
    <n v="0.45"/>
    <x v="1"/>
    <n v="0.3"/>
    <n v="0.7"/>
    <n v="0.16"/>
    <n v="4.774896"/>
    <n v="6.7400000000000002E-2"/>
    <n v="4.6933248599999997"/>
    <n v="9.4682208599999989"/>
    <n v="210"/>
    <x v="2"/>
    <x v="0"/>
    <n v="221.06"/>
  </r>
  <r>
    <x v="223"/>
    <x v="3"/>
    <x v="1"/>
    <s v="avril2022"/>
    <x v="715"/>
    <n v="450"/>
    <n v="0.45"/>
    <x v="2"/>
    <n v="0.3"/>
    <n v="0.7"/>
    <n v="0.16"/>
    <n v="17.091626399999999"/>
    <n v="6.7400000000000002E-2"/>
    <n v="16.799644448999999"/>
    <n v="33.891270848999994"/>
    <n v="340"/>
    <x v="2"/>
    <x v="3"/>
    <n v="791.279"/>
  </r>
  <r>
    <x v="224"/>
    <x v="3"/>
    <x v="1"/>
    <s v="avril2022"/>
    <x v="716"/>
    <n v="519"/>
    <n v="0.51900000000000002"/>
    <x v="2"/>
    <n v="0.3"/>
    <n v="0.7"/>
    <n v="0.16"/>
    <n v="12.849559776"/>
    <n v="6.7400000000000002E-2"/>
    <n v="12.630046463160001"/>
    <n v="25.479606239159999"/>
    <n v="360"/>
    <x v="3"/>
    <x v="2"/>
    <n v="515.798"/>
  </r>
  <r>
    <x v="225"/>
    <x v="3"/>
    <x v="1"/>
    <s v="avril2022"/>
    <x v="717"/>
    <n v="150"/>
    <n v="0.15"/>
    <x v="1"/>
    <n v="0.3"/>
    <n v="0.7"/>
    <n v="0.16"/>
    <n v="2.0026439999999996"/>
    <n v="6.7400000000000002E-2"/>
    <n v="1.9684321649999998"/>
    <n v="3.9710761649999995"/>
    <n v="158"/>
    <x v="7"/>
    <x v="1"/>
    <n v="278.14499999999998"/>
  </r>
  <r>
    <x v="226"/>
    <x v="3"/>
    <x v="1"/>
    <s v="avril2022"/>
    <x v="718"/>
    <n v="204"/>
    <n v="0.20399999999999999"/>
    <x v="3"/>
    <n v="1"/>
    <n v="0"/>
    <n v="0.24099999999999999"/>
    <n v="2.2923698279999996"/>
    <n v="0"/>
    <n v="0"/>
    <n v="2.2923698279999996"/>
    <n v="100"/>
    <x v="3"/>
    <x v="60"/>
    <n v="46.627000000000002"/>
  </r>
  <r>
    <x v="226"/>
    <x v="3"/>
    <x v="1"/>
    <s v="avril2022"/>
    <x v="719"/>
    <n v="55"/>
    <n v="5.5E-2"/>
    <x v="2"/>
    <n v="0.3"/>
    <n v="0.7"/>
    <n v="0.16"/>
    <n v="0.73866935999999994"/>
    <n v="6.7400000000000002E-2"/>
    <n v="0.72605042509999984"/>
    <n v="1.4647197850999998"/>
    <n v="120"/>
    <x v="3"/>
    <x v="10"/>
    <n v="279.79899999999998"/>
  </r>
  <r>
    <x v="226"/>
    <x v="3"/>
    <x v="1"/>
    <s v="avril2022"/>
    <x v="720"/>
    <n v="183"/>
    <n v="0.183"/>
    <x v="2"/>
    <n v="0.3"/>
    <n v="0.7"/>
    <n v="0.16"/>
    <n v="1.476133632"/>
    <n v="6.7400000000000002E-2"/>
    <n v="1.4509163491199999"/>
    <n v="2.9270499811199997"/>
    <n v="130"/>
    <x v="3"/>
    <x v="28"/>
    <n v="168.048"/>
  </r>
  <r>
    <x v="226"/>
    <x v="3"/>
    <x v="1"/>
    <s v="avril2022"/>
    <x v="721"/>
    <n v="106"/>
    <n v="0.106"/>
    <x v="2"/>
    <n v="0.3"/>
    <n v="0.7"/>
    <n v="0.16"/>
    <n v="1.9357550399999999"/>
    <n v="6.7400000000000002E-2"/>
    <n v="1.9026858913999998"/>
    <n v="3.8384409313999996"/>
    <n v="130"/>
    <x v="3"/>
    <x v="20"/>
    <n v="380.45499999999998"/>
  </r>
  <r>
    <x v="226"/>
    <x v="3"/>
    <x v="1"/>
    <s v="avril2022"/>
    <x v="722"/>
    <n v="273"/>
    <n v="0.27300000000000002"/>
    <x v="2"/>
    <n v="0.3"/>
    <n v="0.7"/>
    <n v="0.16"/>
    <n v="7.0632394560000007"/>
    <n v="6.7400000000000002E-2"/>
    <n v="6.9425757819600014"/>
    <n v="14.005815237960002"/>
    <n v="133"/>
    <x v="3"/>
    <x v="59"/>
    <n v="539.01400000000001"/>
  </r>
  <r>
    <x v="226"/>
    <x v="3"/>
    <x v="1"/>
    <s v="avril2022"/>
    <x v="723"/>
    <n v="52"/>
    <n v="5.1999999999999998E-2"/>
    <x v="2"/>
    <n v="0.3"/>
    <n v="0.7"/>
    <n v="0.16"/>
    <n v="1.1113489919999999"/>
    <n v="6.7400000000000002E-2"/>
    <n v="1.0923634467200001"/>
    <n v="2.2037124387200002"/>
    <n v="145"/>
    <x v="3"/>
    <x v="78"/>
    <n v="445.25200000000001"/>
  </r>
  <r>
    <x v="226"/>
    <x v="3"/>
    <x v="1"/>
    <s v="avril2022"/>
    <x v="724"/>
    <n v="150"/>
    <n v="0.15"/>
    <x v="1"/>
    <n v="0.3"/>
    <n v="0.7"/>
    <n v="0.16"/>
    <n v="3.8714975999999997"/>
    <n v="6.7400000000000002E-2"/>
    <n v="3.8053595159999998"/>
    <n v="7.676857115999999"/>
    <n v="160"/>
    <x v="27"/>
    <x v="1"/>
    <n v="537.70799999999997"/>
  </r>
  <r>
    <x v="226"/>
    <x v="3"/>
    <x v="1"/>
    <s v="avril2022"/>
    <x v="725"/>
    <n v="380"/>
    <n v="0.38"/>
    <x v="2"/>
    <n v="0.3"/>
    <n v="0.7"/>
    <n v="0.16"/>
    <n v="4.5380572799999994"/>
    <n v="6.7400000000000002E-2"/>
    <n v="4.4605321348000002"/>
    <n v="8.9985894147999996"/>
    <n v="178"/>
    <x v="3"/>
    <x v="19"/>
    <n v="248.797"/>
  </r>
  <r>
    <x v="226"/>
    <x v="3"/>
    <x v="1"/>
    <s v="avril2022"/>
    <x v="726"/>
    <n v="150"/>
    <n v="0.15"/>
    <x v="1"/>
    <n v="0.3"/>
    <n v="0.7"/>
    <n v="0.16"/>
    <n v="1.9177416"/>
    <n v="6.7400000000000002E-2"/>
    <n v="1.884980181"/>
    <n v="3.8027217809999998"/>
    <n v="180"/>
    <x v="8"/>
    <x v="1"/>
    <n v="266.35300000000001"/>
  </r>
  <r>
    <x v="226"/>
    <x v="3"/>
    <x v="1"/>
    <s v="avril2022"/>
    <x v="727"/>
    <n v="78"/>
    <n v="7.8E-2"/>
    <x v="2"/>
    <n v="0.3"/>
    <n v="0.7"/>
    <n v="0.16"/>
    <n v="3.3108191999999996"/>
    <n v="6.7400000000000002E-2"/>
    <n v="3.2542593719999999"/>
    <n v="6.5650785719999991"/>
    <n v="196"/>
    <x v="3"/>
    <x v="79"/>
    <n v="884.3"/>
  </r>
  <r>
    <x v="226"/>
    <x v="3"/>
    <x v="1"/>
    <s v="avril2022"/>
    <x v="728"/>
    <n v="207"/>
    <n v="0.20699999999999999"/>
    <x v="2"/>
    <n v="0.3"/>
    <n v="0.7"/>
    <n v="0.16"/>
    <n v="5.3771644799999994"/>
    <n v="6.7400000000000002E-2"/>
    <n v="5.2853045867999988"/>
    <n v="10.662469066799998"/>
    <n v="225"/>
    <x v="3"/>
    <x v="8"/>
    <n v="541.17999999999995"/>
  </r>
  <r>
    <x v="226"/>
    <x v="3"/>
    <x v="1"/>
    <s v="avril2022"/>
    <x v="729"/>
    <n v="179"/>
    <n v="0.17899999999999999"/>
    <x v="2"/>
    <n v="0.3"/>
    <n v="0.7"/>
    <n v="0.16"/>
    <n v="1.4928256320000002"/>
    <n v="6.7400000000000002E-2"/>
    <n v="1.46732319412"/>
    <n v="2.9601488261200002"/>
    <n v="240"/>
    <x v="3"/>
    <x v="62"/>
    <n v="173.74600000000001"/>
  </r>
  <r>
    <x v="226"/>
    <x v="3"/>
    <x v="1"/>
    <s v="avril2022"/>
    <x v="730"/>
    <n v="150"/>
    <n v="0.15"/>
    <x v="1"/>
    <n v="0.3"/>
    <n v="0.7"/>
    <n v="0.16"/>
    <n v="1.8020015999999999"/>
    <n v="6.7400000000000002E-2"/>
    <n v="1.7712174059999999"/>
    <n v="3.5732190059999995"/>
    <n v="250"/>
    <x v="10"/>
    <x v="1"/>
    <n v="250.27799999999999"/>
  </r>
  <r>
    <x v="226"/>
    <x v="3"/>
    <x v="1"/>
    <s v="avril2022"/>
    <x v="731"/>
    <n v="450"/>
    <n v="0.45"/>
    <x v="2"/>
    <n v="0.3"/>
    <n v="0.7"/>
    <n v="0.16"/>
    <n v="11.6969616"/>
    <n v="6.7400000000000002E-2"/>
    <n v="11.497138505999999"/>
    <n v="23.194100106"/>
    <n v="280"/>
    <x v="4"/>
    <x v="1"/>
    <n v="541.52599999999995"/>
  </r>
  <r>
    <x v="227"/>
    <x v="3"/>
    <x v="1"/>
    <s v="avril2022"/>
    <x v="732"/>
    <n v="75"/>
    <n v="7.4999999999999997E-2"/>
    <x v="2"/>
    <n v="0.3"/>
    <n v="0.7"/>
    <n v="0.16"/>
    <n v="1.0072763999999998"/>
    <n v="6.7400000000000002E-2"/>
    <n v="0.99006876149999989"/>
    <n v="1.9973451614999997"/>
    <n v="120"/>
    <x v="3"/>
    <x v="10"/>
    <n v="279.79899999999998"/>
  </r>
  <r>
    <x v="227"/>
    <x v="3"/>
    <x v="1"/>
    <s v="avril2022"/>
    <x v="733"/>
    <n v="150"/>
    <n v="0.15"/>
    <x v="2"/>
    <n v="0.3"/>
    <n v="0.7"/>
    <n v="0.16"/>
    <n v="1.8579095999999999"/>
    <n v="6.7400000000000002E-2"/>
    <n v="1.826170311"/>
    <n v="3.684079911"/>
    <n v="131"/>
    <x v="14"/>
    <x v="1"/>
    <n v="258.04300000000001"/>
  </r>
  <r>
    <x v="227"/>
    <x v="3"/>
    <x v="1"/>
    <s v="avril2022"/>
    <x v="734"/>
    <n v="150"/>
    <n v="0.15"/>
    <x v="2"/>
    <n v="0.3"/>
    <n v="0.7"/>
    <n v="0.16"/>
    <n v="1.3450607999999999"/>
    <n v="6.7400000000000002E-2"/>
    <n v="1.3220826779999999"/>
    <n v="2.6671434779999998"/>
    <n v="140"/>
    <x v="29"/>
    <x v="1"/>
    <n v="186.81399999999999"/>
  </r>
  <r>
    <x v="227"/>
    <x v="3"/>
    <x v="1"/>
    <s v="avril2022"/>
    <x v="735"/>
    <n v="150"/>
    <n v="0.15"/>
    <x v="1"/>
    <n v="0.3"/>
    <n v="0.7"/>
    <n v="0.16"/>
    <n v="2.0051784000000001"/>
    <n v="6.7400000000000002E-2"/>
    <n v="1.970923269"/>
    <n v="3.9761016690000002"/>
    <n v="158"/>
    <x v="11"/>
    <x v="1"/>
    <n v="278.49700000000001"/>
  </r>
  <r>
    <x v="227"/>
    <x v="3"/>
    <x v="1"/>
    <s v="avril2022"/>
    <x v="736"/>
    <n v="291"/>
    <n v="0.29099999999999998"/>
    <x v="2"/>
    <n v="0.3"/>
    <n v="0.7"/>
    <n v="0.16"/>
    <n v="2.6341273439999999"/>
    <n v="6.7400000000000002E-2"/>
    <n v="2.5891276685399998"/>
    <n v="5.2232550125399992"/>
    <n v="200"/>
    <x v="3"/>
    <x v="68"/>
    <n v="188.583"/>
  </r>
  <r>
    <x v="227"/>
    <x v="3"/>
    <x v="1"/>
    <s v="avril2022"/>
    <x v="737"/>
    <n v="2200"/>
    <n v="2.2000000000000002"/>
    <x v="5"/>
    <n v="1"/>
    <n v="0"/>
    <n v="0.16"/>
    <n v="87.134432000000004"/>
    <n v="0"/>
    <n v="0"/>
    <n v="87.134432000000004"/>
    <n v="525"/>
    <x v="16"/>
    <x v="1"/>
    <n v="247.541"/>
  </r>
  <r>
    <x v="228"/>
    <x v="3"/>
    <x v="1"/>
    <s v="avril2022"/>
    <x v="738"/>
    <n v="150"/>
    <n v="0.15"/>
    <x v="3"/>
    <n v="1"/>
    <n v="0"/>
    <n v="0.24099999999999999"/>
    <n v="18.670535099999999"/>
    <n v="0"/>
    <n v="0"/>
    <n v="18.670535099999999"/>
    <n v="120"/>
    <x v="0"/>
    <x v="1"/>
    <n v="516.47400000000005"/>
  </r>
  <r>
    <x v="228"/>
    <x v="3"/>
    <x v="1"/>
    <s v="avril2022"/>
    <x v="739"/>
    <n v="150"/>
    <n v="0.15"/>
    <x v="2"/>
    <n v="0.3"/>
    <n v="0.7"/>
    <n v="0.16"/>
    <n v="2.7402191999999999"/>
    <n v="6.7400000000000002E-2"/>
    <n v="2.693407122"/>
    <n v="5.4336263220000003"/>
    <n v="166"/>
    <x v="12"/>
    <x v="1"/>
    <n v="380.58600000000001"/>
  </r>
  <r>
    <x v="229"/>
    <x v="3"/>
    <x v="1"/>
    <s v="avril2022"/>
    <x v="740"/>
    <n v="300"/>
    <n v="0.3"/>
    <x v="1"/>
    <n v="0.3"/>
    <n v="0.7"/>
    <n v="0.16"/>
    <n v="0.77725440000000001"/>
    <n v="6.7400000000000002E-2"/>
    <n v="0.76397630399999994"/>
    <n v="1.541230704"/>
    <n v="80"/>
    <x v="3"/>
    <x v="6"/>
    <n v="53.975999999999999"/>
  </r>
  <r>
    <x v="229"/>
    <x v="3"/>
    <x v="1"/>
    <s v="avril2022"/>
    <x v="741"/>
    <n v="363"/>
    <n v="0.36299999999999999"/>
    <x v="1"/>
    <n v="0.3"/>
    <n v="0.7"/>
    <n v="0.16"/>
    <n v="0.89015731199999992"/>
    <n v="6.7400000000000002E-2"/>
    <n v="0.87495045792000004"/>
    <n v="1.76510776992"/>
    <n v="100"/>
    <x v="3"/>
    <x v="40"/>
    <n v="51.088000000000001"/>
  </r>
  <r>
    <x v="229"/>
    <x v="3"/>
    <x v="1"/>
    <s v="avril2022"/>
    <x v="742"/>
    <n v="25"/>
    <n v="2.5000000000000001E-2"/>
    <x v="2"/>
    <n v="0.3"/>
    <n v="0.7"/>
    <n v="0.16"/>
    <n v="0.61895760000000011"/>
    <n v="6.7400000000000002E-2"/>
    <n v="0.60838374100000003"/>
    <n v="1.2273413410000003"/>
    <n v="140"/>
    <x v="3"/>
    <x v="2"/>
    <n v="515.798"/>
  </r>
  <r>
    <x v="229"/>
    <x v="3"/>
    <x v="1"/>
    <s v="avril2022"/>
    <x v="743"/>
    <n v="1000"/>
    <n v="1"/>
    <x v="2"/>
    <n v="0.3"/>
    <n v="0.7"/>
    <n v="0.16"/>
    <n v="10.656336"/>
    <n v="6.7400000000000002E-2"/>
    <n v="10.47429026"/>
    <n v="21.13062626"/>
    <n v="360"/>
    <x v="3"/>
    <x v="80"/>
    <n v="222.00700000000001"/>
  </r>
  <r>
    <x v="230"/>
    <x v="3"/>
    <x v="1"/>
    <s v="avril2022"/>
    <x v="744"/>
    <n v="150"/>
    <n v="0.15"/>
    <x v="1"/>
    <n v="0.3"/>
    <n v="0.7"/>
    <n v="0.16"/>
    <n v="2.0026439999999996"/>
    <n v="6.7400000000000002E-2"/>
    <n v="1.9684321649999998"/>
    <n v="3.9710761649999995"/>
    <n v="158"/>
    <x v="7"/>
    <x v="1"/>
    <n v="278.14499999999998"/>
  </r>
  <r>
    <x v="230"/>
    <x v="3"/>
    <x v="1"/>
    <s v="avril2022"/>
    <x v="745"/>
    <n v="1000"/>
    <n v="1"/>
    <x v="0"/>
    <n v="1"/>
    <n v="0"/>
    <n v="6.7400000000000002E-2"/>
    <n v="3.6908914000000004"/>
    <n v="0"/>
    <n v="0"/>
    <n v="3.6908914000000004"/>
    <n v="250"/>
    <x v="2"/>
    <x v="1"/>
    <n v="54.761000000000003"/>
  </r>
  <r>
    <x v="231"/>
    <x v="3"/>
    <x v="1"/>
    <s v="avril2022"/>
    <x v="746"/>
    <n v="212"/>
    <n v="0.21199999999999999"/>
    <x v="2"/>
    <n v="0.3"/>
    <n v="0.7"/>
    <n v="0.16"/>
    <n v="2.5317582719999998"/>
    <n v="6.7400000000000002E-2"/>
    <n v="2.4885074015199997"/>
    <n v="5.0202656735199991"/>
    <n v="100"/>
    <x v="3"/>
    <x v="19"/>
    <n v="248.797"/>
  </r>
  <r>
    <x v="231"/>
    <x v="3"/>
    <x v="1"/>
    <s v="avril2022"/>
    <x v="747"/>
    <n v="212"/>
    <n v="0.21199999999999999"/>
    <x v="2"/>
    <n v="0.3"/>
    <n v="0.7"/>
    <n v="0.16"/>
    <n v="1.768039296"/>
    <n v="6.7400000000000002E-2"/>
    <n v="1.7378352913599999"/>
    <n v="3.5058745873600001"/>
    <n v="108"/>
    <x v="3"/>
    <x v="62"/>
    <n v="173.74600000000001"/>
  </r>
  <r>
    <x v="231"/>
    <x v="3"/>
    <x v="1"/>
    <s v="avril2022"/>
    <x v="748"/>
    <n v="150"/>
    <n v="0.15"/>
    <x v="2"/>
    <n v="0.3"/>
    <n v="0.7"/>
    <n v="0.16"/>
    <n v="1.8579095999999999"/>
    <n v="6.7400000000000002E-2"/>
    <n v="1.826170311"/>
    <n v="3.684079911"/>
    <n v="131"/>
    <x v="14"/>
    <x v="1"/>
    <n v="258.04300000000001"/>
  </r>
  <r>
    <x v="231"/>
    <x v="3"/>
    <x v="1"/>
    <s v="avril2022"/>
    <x v="749"/>
    <n v="450"/>
    <n v="0.45"/>
    <x v="2"/>
    <n v="0.3"/>
    <n v="0.7"/>
    <n v="0.16"/>
    <n v="5.7532248000000008"/>
    <n v="6.7400000000000002E-2"/>
    <n v="5.6549405430000004"/>
    <n v="11.408165343"/>
    <n v="215"/>
    <x v="8"/>
    <x v="1"/>
    <n v="266.35300000000001"/>
  </r>
  <r>
    <x v="231"/>
    <x v="3"/>
    <x v="1"/>
    <s v="avril2022"/>
    <x v="750"/>
    <n v="150"/>
    <n v="0.15"/>
    <x v="2"/>
    <n v="0.3"/>
    <n v="0.7"/>
    <n v="0.16"/>
    <n v="3.8989871999999997"/>
    <n v="6.7400000000000002E-2"/>
    <n v="3.8323795019999998"/>
    <n v="7.731366701999999"/>
    <n v="239"/>
    <x v="4"/>
    <x v="1"/>
    <n v="541.52599999999995"/>
  </r>
  <r>
    <x v="231"/>
    <x v="3"/>
    <x v="1"/>
    <s v="avril2022"/>
    <x v="751"/>
    <n v="150"/>
    <n v="0.15"/>
    <x v="1"/>
    <n v="0.3"/>
    <n v="0.7"/>
    <n v="0.16"/>
    <n v="1.8020015999999999"/>
    <n v="6.7400000000000002E-2"/>
    <n v="1.7712174059999999"/>
    <n v="3.5732190059999995"/>
    <n v="250"/>
    <x v="10"/>
    <x v="1"/>
    <n v="250.27799999999999"/>
  </r>
  <r>
    <x v="232"/>
    <x v="3"/>
    <x v="1"/>
    <s v="avril2022"/>
    <x v="752"/>
    <n v="212"/>
    <n v="0.21199999999999999"/>
    <x v="1"/>
    <n v="0.3"/>
    <n v="0.7"/>
    <n v="0.16"/>
    <n v="0.47447635199999999"/>
    <n v="6.7400000000000002E-2"/>
    <n v="0.46637071431999999"/>
    <n v="0.94084706631999993"/>
    <n v="100"/>
    <x v="3"/>
    <x v="60"/>
    <n v="46.627000000000002"/>
  </r>
  <r>
    <x v="232"/>
    <x v="3"/>
    <x v="1"/>
    <s v="avril2022"/>
    <x v="753"/>
    <n v="150"/>
    <n v="0.15"/>
    <x v="2"/>
    <n v="0.3"/>
    <n v="0.7"/>
    <n v="0.16"/>
    <n v="1.2471839999999998"/>
    <n v="6.7400000000000002E-2"/>
    <n v="1.2258779399999999"/>
    <n v="2.47306194"/>
    <n v="140"/>
    <x v="30"/>
    <x v="1"/>
    <n v="173.22"/>
  </r>
  <r>
    <x v="232"/>
    <x v="3"/>
    <x v="1"/>
    <s v="avril2022"/>
    <x v="754"/>
    <n v="55"/>
    <n v="5.5E-2"/>
    <x v="2"/>
    <n v="0.3"/>
    <n v="0.7"/>
    <n v="0.16"/>
    <n v="1.02969504"/>
    <n v="6.7400000000000002E-2"/>
    <n v="1.0121044163999999"/>
    <n v="2.0417994563999997"/>
    <n v="140"/>
    <x v="3"/>
    <x v="76"/>
    <n v="390.036"/>
  </r>
  <r>
    <x v="232"/>
    <x v="3"/>
    <x v="1"/>
    <s v="avril2022"/>
    <x v="755"/>
    <n v="400"/>
    <n v="0.4"/>
    <x v="1"/>
    <n v="0.3"/>
    <n v="0.7"/>
    <n v="0.16"/>
    <n v="5.347142400000001"/>
    <n v="6.7400000000000002E-2"/>
    <n v="5.2557953839999998"/>
    <n v="10.602937784000002"/>
    <n v="158"/>
    <x v="11"/>
    <x v="1"/>
    <n v="278.49700000000001"/>
  </r>
  <r>
    <x v="232"/>
    <x v="3"/>
    <x v="1"/>
    <s v="avril2022"/>
    <x v="756"/>
    <n v="150"/>
    <n v="0.15"/>
    <x v="1"/>
    <n v="0.3"/>
    <n v="0.7"/>
    <n v="0.16"/>
    <n v="3.8714975999999997"/>
    <n v="6.7400000000000002E-2"/>
    <n v="3.8053595159999998"/>
    <n v="7.676857115999999"/>
    <n v="160"/>
    <x v="27"/>
    <x v="1"/>
    <n v="537.70799999999997"/>
  </r>
  <r>
    <x v="232"/>
    <x v="3"/>
    <x v="1"/>
    <s v="avril2022"/>
    <x v="757"/>
    <n v="162"/>
    <n v="0.16200000000000001"/>
    <x v="2"/>
    <n v="0.3"/>
    <n v="0.7"/>
    <n v="0.16"/>
    <n v="5.5599022080000005"/>
    <n v="6.7400000000000002E-2"/>
    <n v="5.4649205452800009"/>
    <n v="11.024822753280002"/>
    <n v="173"/>
    <x v="3"/>
    <x v="70"/>
    <n v="715.00800000000004"/>
  </r>
  <r>
    <x v="232"/>
    <x v="3"/>
    <x v="1"/>
    <s v="avril2022"/>
    <x v="758"/>
    <n v="200"/>
    <n v="0.2"/>
    <x v="2"/>
    <n v="0.3"/>
    <n v="0.7"/>
    <n v="0.16"/>
    <n v="2.3884512"/>
    <n v="6.7400000000000002E-2"/>
    <n v="2.3476484919999998"/>
    <n v="4.7360996919999998"/>
    <n v="178"/>
    <x v="3"/>
    <x v="19"/>
    <n v="248.797"/>
  </r>
  <r>
    <x v="232"/>
    <x v="3"/>
    <x v="1"/>
    <s v="avril2022"/>
    <x v="759"/>
    <n v="55"/>
    <n v="5.5E-2"/>
    <x v="2"/>
    <n v="0.3"/>
    <n v="0.7"/>
    <n v="0.16"/>
    <n v="2.02295544"/>
    <n v="6.7400000000000002E-2"/>
    <n v="1.9883966178999997"/>
    <n v="4.0113520578999999"/>
    <n v="194"/>
    <x v="3"/>
    <x v="73"/>
    <n v="766.27099999999996"/>
  </r>
  <r>
    <x v="232"/>
    <x v="3"/>
    <x v="1"/>
    <s v="avril2022"/>
    <x v="760"/>
    <n v="172"/>
    <n v="0.17199999999999999"/>
    <x v="2"/>
    <n v="0.3"/>
    <n v="0.7"/>
    <n v="0.16"/>
    <n v="2.3174426879999999"/>
    <n v="6.7400000000000002E-2"/>
    <n v="2.2778530420799994"/>
    <n v="4.5952957300799993"/>
    <n v="234"/>
    <x v="3"/>
    <x v="17"/>
    <n v="280.69799999999998"/>
  </r>
  <r>
    <x v="232"/>
    <x v="3"/>
    <x v="1"/>
    <s v="avril2022"/>
    <x v="761"/>
    <n v="212"/>
    <n v="0.21199999999999999"/>
    <x v="2"/>
    <n v="0.3"/>
    <n v="0.7"/>
    <n v="0.16"/>
    <n v="3.8715100799999997"/>
    <n v="6.7400000000000002E-2"/>
    <n v="3.8053717827999995"/>
    <n v="7.6768818627999993"/>
    <n v="261"/>
    <x v="3"/>
    <x v="20"/>
    <n v="380.45499999999998"/>
  </r>
  <r>
    <x v="232"/>
    <x v="3"/>
    <x v="1"/>
    <s v="avril2022"/>
    <x v="762"/>
    <n v="364"/>
    <n v="0.36399999999999999"/>
    <x v="2"/>
    <n v="0.3"/>
    <n v="0.7"/>
    <n v="0.16"/>
    <n v="8.0110343040000007"/>
    <n v="6.7400000000000002E-2"/>
    <n v="7.8741791346400003"/>
    <n v="15.885213438640001"/>
    <n v="280"/>
    <x v="3"/>
    <x v="61"/>
    <n v="458.50700000000001"/>
  </r>
  <r>
    <x v="232"/>
    <x v="3"/>
    <x v="1"/>
    <s v="avril2022"/>
    <x v="763"/>
    <n v="500"/>
    <n v="0.5"/>
    <x v="2"/>
    <n v="0.3"/>
    <n v="0.7"/>
    <n v="0.16"/>
    <n v="5.9156400000000007"/>
    <n v="6.7400000000000002E-2"/>
    <n v="5.8145811500000004"/>
    <n v="11.730221150000002"/>
    <n v="370"/>
    <x v="3"/>
    <x v="39"/>
    <n v="246.48500000000001"/>
  </r>
  <r>
    <x v="232"/>
    <x v="3"/>
    <x v="1"/>
    <s v="avril2022"/>
    <x v="764"/>
    <n v="5000"/>
    <n v="5"/>
    <x v="5"/>
    <n v="1"/>
    <n v="0"/>
    <n v="0.16"/>
    <n v="198.03280000000001"/>
    <n v="0"/>
    <n v="0"/>
    <n v="198.03280000000001"/>
    <n v="550"/>
    <x v="16"/>
    <x v="1"/>
    <n v="247.541"/>
  </r>
  <r>
    <x v="233"/>
    <x v="3"/>
    <x v="1"/>
    <s v="avril2022"/>
    <x v="765"/>
    <n v="219"/>
    <n v="0.219"/>
    <x v="2"/>
    <n v="0.3"/>
    <n v="0.7"/>
    <n v="0.16"/>
    <n v="5.6661151680000001"/>
    <n v="6.7400000000000002E-2"/>
    <n v="5.5693190338800003"/>
    <n v="11.23543420188"/>
    <n v="133"/>
    <x v="3"/>
    <x v="59"/>
    <n v="539.01400000000001"/>
  </r>
  <r>
    <x v="233"/>
    <x v="3"/>
    <x v="1"/>
    <s v="avril2022"/>
    <x v="766"/>
    <n v="150"/>
    <n v="0.15"/>
    <x v="2"/>
    <n v="0.3"/>
    <n v="0.7"/>
    <n v="0.16"/>
    <n v="2.7402191999999999"/>
    <n v="6.7400000000000002E-2"/>
    <n v="2.693407122"/>
    <n v="5.4336263220000003"/>
    <n v="166"/>
    <x v="12"/>
    <x v="1"/>
    <n v="380.58600000000001"/>
  </r>
  <r>
    <x v="234"/>
    <x v="3"/>
    <x v="1"/>
    <s v="avril2022"/>
    <x v="767"/>
    <n v="150"/>
    <n v="0.15"/>
    <x v="3"/>
    <n v="1"/>
    <n v="0"/>
    <n v="0.24099999999999999"/>
    <n v="1.2287746499999999"/>
    <n v="0"/>
    <n v="0"/>
    <n v="1.2287746499999999"/>
    <n v="80"/>
    <x v="5"/>
    <x v="1"/>
    <n v="33.991"/>
  </r>
  <r>
    <x v="234"/>
    <x v="3"/>
    <x v="1"/>
    <s v="avril2022"/>
    <x v="768"/>
    <n v="365"/>
    <n v="0.36499999999999999"/>
    <x v="3"/>
    <n v="1"/>
    <n v="0"/>
    <n v="0.24099999999999999"/>
    <n v="2.9983749899999999"/>
    <n v="0"/>
    <n v="0"/>
    <n v="2.9983749899999999"/>
    <n v="125"/>
    <x v="3"/>
    <x v="27"/>
    <n v="34.085999999999999"/>
  </r>
  <r>
    <x v="234"/>
    <x v="3"/>
    <x v="1"/>
    <s v="avril2022"/>
    <x v="769"/>
    <n v="200"/>
    <n v="0.2"/>
    <x v="2"/>
    <n v="0.3"/>
    <n v="0.7"/>
    <n v="0.16"/>
    <n v="4.2834336000000004"/>
    <n v="6.7400000000000002E-2"/>
    <n v="4.2102582759999994"/>
    <n v="8.4936918759999998"/>
    <n v="130"/>
    <x v="3"/>
    <x v="67"/>
    <n v="446.19099999999997"/>
  </r>
  <r>
    <x v="234"/>
    <x v="3"/>
    <x v="1"/>
    <s v="avril2022"/>
    <x v="770"/>
    <n v="150"/>
    <n v="0.15"/>
    <x v="1"/>
    <n v="0.3"/>
    <n v="0.7"/>
    <n v="0.16"/>
    <n v="2.0026439999999996"/>
    <n v="6.7400000000000002E-2"/>
    <n v="1.9684321649999998"/>
    <n v="3.9710761649999995"/>
    <n v="158"/>
    <x v="7"/>
    <x v="1"/>
    <n v="278.14499999999998"/>
  </r>
  <r>
    <x v="234"/>
    <x v="3"/>
    <x v="1"/>
    <s v="avril2022"/>
    <x v="771"/>
    <n v="546"/>
    <n v="0.54600000000000004"/>
    <x v="3"/>
    <n v="1"/>
    <n v="0"/>
    <n v="0.24099999999999999"/>
    <n v="6.1354604220000004"/>
    <n v="0"/>
    <n v="0"/>
    <n v="6.1354604220000004"/>
    <n v="250"/>
    <x v="3"/>
    <x v="60"/>
    <n v="46.627000000000002"/>
  </r>
  <r>
    <x v="234"/>
    <x v="3"/>
    <x v="1"/>
    <s v="avril2022"/>
    <x v="772"/>
    <n v="2000"/>
    <n v="2"/>
    <x v="0"/>
    <n v="1"/>
    <n v="0"/>
    <n v="6.7400000000000002E-2"/>
    <n v="7.3817828000000008"/>
    <n v="0"/>
    <n v="0"/>
    <n v="7.3817828000000008"/>
    <n v="280"/>
    <x v="2"/>
    <x v="1"/>
    <n v="54.761000000000003"/>
  </r>
  <r>
    <x v="234"/>
    <x v="3"/>
    <x v="1"/>
    <s v="avril2022"/>
    <x v="773"/>
    <n v="800"/>
    <n v="0.8"/>
    <x v="2"/>
    <n v="0.3"/>
    <n v="0.7"/>
    <n v="0.16"/>
    <n v="28.433088000000005"/>
    <n v="6.7400000000000002E-2"/>
    <n v="27.947356080000002"/>
    <n v="56.380444080000004"/>
    <n v="380"/>
    <x v="3"/>
    <x v="3"/>
    <n v="740.44500000000005"/>
  </r>
  <r>
    <x v="235"/>
    <x v="3"/>
    <x v="1"/>
    <s v="avril2022"/>
    <x v="774"/>
    <n v="150"/>
    <n v="0.15"/>
    <x v="2"/>
    <n v="0.3"/>
    <n v="0.7"/>
    <n v="0.16"/>
    <n v="1.9215215999999999"/>
    <n v="6.7400000000000002E-2"/>
    <n v="1.888695606"/>
    <n v="3.8102172059999999"/>
    <n v="135"/>
    <x v="31"/>
    <x v="1"/>
    <n v="266.87799999999999"/>
  </r>
  <r>
    <x v="235"/>
    <x v="3"/>
    <x v="1"/>
    <s v="avril2022"/>
    <x v="775"/>
    <n v="300"/>
    <n v="0.3"/>
    <x v="2"/>
    <n v="0.3"/>
    <n v="0.7"/>
    <n v="0.16"/>
    <n v="7.7979743999999993"/>
    <n v="6.7400000000000002E-2"/>
    <n v="7.6647590039999995"/>
    <n v="15.462733403999998"/>
    <n v="156"/>
    <x v="4"/>
    <x v="1"/>
    <n v="541.52599999999995"/>
  </r>
  <r>
    <x v="235"/>
    <x v="3"/>
    <x v="1"/>
    <s v="avril2022"/>
    <x v="776"/>
    <n v="150"/>
    <n v="0.15"/>
    <x v="1"/>
    <n v="0.3"/>
    <n v="0.7"/>
    <n v="0.16"/>
    <n v="1.8020015999999999"/>
    <n v="6.7400000000000002E-2"/>
    <n v="1.7712174059999999"/>
    <n v="3.5732190059999995"/>
    <n v="190"/>
    <x v="10"/>
    <x v="1"/>
    <n v="250.27799999999999"/>
  </r>
  <r>
    <x v="236"/>
    <x v="3"/>
    <x v="1"/>
    <s v="avril2022"/>
    <x v="777"/>
    <n v="150"/>
    <n v="0.15"/>
    <x v="2"/>
    <n v="0.3"/>
    <n v="0.7"/>
    <n v="0.16"/>
    <n v="1.8579095999999999"/>
    <n v="6.7400000000000002E-2"/>
    <n v="1.826170311"/>
    <n v="3.684079911"/>
    <n v="131"/>
    <x v="14"/>
    <x v="1"/>
    <n v="258.04300000000001"/>
  </r>
  <r>
    <x v="236"/>
    <x v="3"/>
    <x v="1"/>
    <s v="avril2022"/>
    <x v="778"/>
    <n v="450"/>
    <n v="0.45"/>
    <x v="1"/>
    <n v="0.3"/>
    <n v="0.7"/>
    <n v="0.16"/>
    <n v="1.0071432"/>
    <n v="6.7400000000000002E-2"/>
    <n v="0.98993783700000004"/>
    <n v="1.9970810370000001"/>
    <n v="160"/>
    <x v="3"/>
    <x v="60"/>
    <n v="46.627000000000002"/>
  </r>
  <r>
    <x v="236"/>
    <x v="3"/>
    <x v="1"/>
    <s v="avril2022"/>
    <x v="779"/>
    <n v="300"/>
    <n v="0.3"/>
    <x v="1"/>
    <n v="0.3"/>
    <n v="0.7"/>
    <n v="0.16"/>
    <n v="4.0103568000000003"/>
    <n v="6.7400000000000002E-2"/>
    <n v="3.9418465380000001"/>
    <n v="7.9522033380000003"/>
    <n v="180"/>
    <x v="11"/>
    <x v="1"/>
    <n v="278.49700000000001"/>
  </r>
  <r>
    <x v="236"/>
    <x v="3"/>
    <x v="1"/>
    <s v="avril2022"/>
    <x v="780"/>
    <n v="200"/>
    <n v="0.2"/>
    <x v="2"/>
    <n v="0.3"/>
    <n v="0.7"/>
    <n v="0.16"/>
    <n v="4.4016672000000003"/>
    <n v="6.7400000000000002E-2"/>
    <n v="4.3264720519999997"/>
    <n v="8.7281392520000001"/>
    <n v="195"/>
    <x v="3"/>
    <x v="61"/>
    <n v="458.50700000000001"/>
  </r>
  <r>
    <x v="236"/>
    <x v="3"/>
    <x v="1"/>
    <s v="avril2022"/>
    <x v="781"/>
    <n v="350"/>
    <n v="0.35"/>
    <x v="2"/>
    <n v="0.3"/>
    <n v="0.7"/>
    <n v="0.16"/>
    <n v="4.4715887999999993"/>
    <n v="6.7400000000000002E-2"/>
    <n v="4.3951991579999996"/>
    <n v="8.8667879579999997"/>
    <n v="220"/>
    <x v="3"/>
    <x v="0"/>
    <n v="266.166"/>
  </r>
  <r>
    <x v="236"/>
    <x v="3"/>
    <x v="1"/>
    <s v="avril2022"/>
    <x v="782"/>
    <n v="300"/>
    <n v="0.3"/>
    <x v="2"/>
    <n v="0.3"/>
    <n v="0.7"/>
    <n v="0.16"/>
    <n v="7.4274911999999995"/>
    <n v="6.7400000000000002E-2"/>
    <n v="7.300604892"/>
    <n v="14.728096091999999"/>
    <n v="225"/>
    <x v="3"/>
    <x v="2"/>
    <n v="515.798"/>
  </r>
  <r>
    <x v="236"/>
    <x v="3"/>
    <x v="1"/>
    <s v="avril2022"/>
    <x v="783"/>
    <n v="450"/>
    <n v="0.45"/>
    <x v="2"/>
    <n v="0.3"/>
    <n v="0.7"/>
    <n v="0.16"/>
    <n v="5.4901800000000005"/>
    <n v="6.7400000000000002E-2"/>
    <n v="5.3963894250000006"/>
    <n v="10.886569425000001"/>
    <n v="230"/>
    <x v="3"/>
    <x v="25"/>
    <n v="254.17500000000001"/>
  </r>
  <r>
    <x v="236"/>
    <x v="3"/>
    <x v="1"/>
    <s v="avril2022"/>
    <x v="784"/>
    <n v="700"/>
    <n v="0.7"/>
    <x v="2"/>
    <n v="0.3"/>
    <n v="0.7"/>
    <n v="0.16"/>
    <n v="24.878952000000002"/>
    <n v="6.7400000000000002E-2"/>
    <n v="24.45393657"/>
    <n v="49.332888570000001"/>
    <n v="380"/>
    <x v="3"/>
    <x v="3"/>
    <n v="740.44500000000005"/>
  </r>
  <r>
    <x v="236"/>
    <x v="3"/>
    <x v="1"/>
    <s v="avril2022"/>
    <x v="785"/>
    <n v="5000"/>
    <n v="5"/>
    <x v="5"/>
    <n v="1"/>
    <n v="0"/>
    <n v="0.16"/>
    <n v="198.03280000000001"/>
    <n v="0"/>
    <n v="0"/>
    <n v="198.03280000000001"/>
    <n v="550"/>
    <x v="16"/>
    <x v="1"/>
    <n v="247.541"/>
  </r>
  <r>
    <x v="237"/>
    <x v="3"/>
    <x v="1"/>
    <s v="avril2022"/>
    <x v="786"/>
    <n v="162"/>
    <n v="0.16200000000000001"/>
    <x v="3"/>
    <n v="1"/>
    <n v="0"/>
    <n v="0.24099999999999999"/>
    <n v="0.90315858599999999"/>
    <n v="0"/>
    <n v="0"/>
    <n v="0.90315858599999999"/>
    <n v="60"/>
    <x v="3"/>
    <x v="75"/>
    <n v="23.132999999999999"/>
  </r>
  <r>
    <x v="237"/>
    <x v="3"/>
    <x v="1"/>
    <s v="avril2022"/>
    <x v="787"/>
    <n v="51"/>
    <n v="5.0999999999999997E-2"/>
    <x v="1"/>
    <n v="0.3"/>
    <n v="0.7"/>
    <n v="0.16"/>
    <n v="0.60171350400000001"/>
    <n v="6.7400000000000002E-2"/>
    <n v="0.59143423163999997"/>
    <n v="1.19314773564"/>
    <n v="100"/>
    <x v="3"/>
    <x v="33"/>
    <n v="245.798"/>
  </r>
  <r>
    <x v="237"/>
    <x v="3"/>
    <x v="1"/>
    <s v="avril2022"/>
    <x v="788"/>
    <n v="51"/>
    <n v="5.0999999999999997E-2"/>
    <x v="1"/>
    <n v="0.3"/>
    <n v="0.7"/>
    <n v="0.16"/>
    <n v="0.89383579200000007"/>
    <n v="6.7400000000000002E-2"/>
    <n v="0.87856609722000001"/>
    <n v="1.7724018892200002"/>
    <n v="105"/>
    <x v="3"/>
    <x v="64"/>
    <n v="365.12900000000002"/>
  </r>
  <r>
    <x v="237"/>
    <x v="3"/>
    <x v="1"/>
    <s v="avril2022"/>
    <x v="789"/>
    <n v="184"/>
    <n v="0.184"/>
    <x v="1"/>
    <n v="0.3"/>
    <n v="0.7"/>
    <n v="0.16"/>
    <n v="1.484199936"/>
    <n v="6.7400000000000002E-2"/>
    <n v="1.4588448537600001"/>
    <n v="2.9430447897600001"/>
    <n v="130"/>
    <x v="3"/>
    <x v="28"/>
    <n v="168.048"/>
  </r>
  <r>
    <x v="237"/>
    <x v="3"/>
    <x v="1"/>
    <s v="avril2022"/>
    <x v="790"/>
    <n v="96"/>
    <n v="9.6000000000000002E-2"/>
    <x v="2"/>
    <n v="0.3"/>
    <n v="0.7"/>
    <n v="0.16"/>
    <n v="2.4837765119999999"/>
    <n v="6.7400000000000002E-2"/>
    <n v="2.4413453299200003"/>
    <n v="4.9251218419200002"/>
    <n v="133"/>
    <x v="3"/>
    <x v="59"/>
    <n v="539.01400000000001"/>
  </r>
  <r>
    <x v="237"/>
    <x v="3"/>
    <x v="1"/>
    <s v="avril2022"/>
    <x v="791"/>
    <n v="150"/>
    <n v="0.15"/>
    <x v="2"/>
    <n v="0.3"/>
    <n v="0.7"/>
    <n v="0.16"/>
    <n v="2.7402191999999999"/>
    <n v="6.7400000000000002E-2"/>
    <n v="2.693407122"/>
    <n v="5.4336263220000003"/>
    <n v="166"/>
    <x v="12"/>
    <x v="1"/>
    <n v="380.58600000000001"/>
  </r>
  <r>
    <x v="237"/>
    <x v="3"/>
    <x v="1"/>
    <s v="avril2022"/>
    <x v="792"/>
    <n v="96"/>
    <n v="9.6000000000000002E-2"/>
    <x v="2"/>
    <n v="0.3"/>
    <n v="0.7"/>
    <n v="0.16"/>
    <n v="1.5834193920000001"/>
    <n v="6.7400000000000002E-2"/>
    <n v="1.5563693107200001"/>
    <n v="3.1397887027200002"/>
    <n v="180"/>
    <x v="3"/>
    <x v="65"/>
    <n v="343.62400000000002"/>
  </r>
  <r>
    <x v="237"/>
    <x v="3"/>
    <x v="1"/>
    <s v="avril2022"/>
    <x v="793"/>
    <n v="51"/>
    <n v="5.0999999999999997E-2"/>
    <x v="2"/>
    <n v="0.3"/>
    <n v="0.7"/>
    <n v="0.16"/>
    <n v="1.9065513600000001"/>
    <n v="6.7400000000000002E-2"/>
    <n v="1.8739811076000001"/>
    <n v="3.7805324676000005"/>
    <n v="200"/>
    <x v="3"/>
    <x v="81"/>
    <n v="778.82"/>
  </r>
  <r>
    <x v="237"/>
    <x v="3"/>
    <x v="1"/>
    <s v="avril2022"/>
    <x v="794"/>
    <n v="182"/>
    <n v="0.182"/>
    <x v="2"/>
    <n v="0.3"/>
    <n v="0.7"/>
    <n v="0.16"/>
    <n v="7.315639968000001"/>
    <n v="6.7400000000000002E-2"/>
    <n v="7.1906644518800009"/>
    <n v="14.506304419880003"/>
    <n v="210"/>
    <x v="3"/>
    <x v="5"/>
    <n v="837.41300000000001"/>
  </r>
  <r>
    <x v="237"/>
    <x v="3"/>
    <x v="1"/>
    <s v="avril2022"/>
    <x v="795"/>
    <n v="213"/>
    <n v="0.21299999999999999"/>
    <x v="2"/>
    <n v="0.3"/>
    <n v="0.7"/>
    <n v="0.16"/>
    <n v="5.882439744"/>
    <n v="6.7400000000000002E-2"/>
    <n v="5.7819480650399999"/>
    <n v="11.664387809040001"/>
    <n v="265"/>
    <x v="3"/>
    <x v="63"/>
    <n v="575.35599999999999"/>
  </r>
  <r>
    <x v="238"/>
    <x v="3"/>
    <x v="1"/>
    <s v="avril2022"/>
    <x v="796"/>
    <n v="150"/>
    <n v="0.15"/>
    <x v="2"/>
    <n v="0.3"/>
    <n v="0.7"/>
    <n v="0.16"/>
    <n v="1.8579095999999999"/>
    <n v="6.7400000000000002E-2"/>
    <n v="1.826170311"/>
    <n v="3.684079911"/>
    <n v="131"/>
    <x v="14"/>
    <x v="1"/>
    <n v="258.04300000000001"/>
  </r>
  <r>
    <x v="238"/>
    <x v="3"/>
    <x v="1"/>
    <s v="avril2022"/>
    <x v="797"/>
    <n v="150"/>
    <n v="0.15"/>
    <x v="1"/>
    <n v="0.3"/>
    <n v="0.7"/>
    <n v="0.16"/>
    <n v="3.8714975999999997"/>
    <n v="6.7400000000000002E-2"/>
    <n v="3.8053595159999998"/>
    <n v="7.676857115999999"/>
    <n v="160"/>
    <x v="27"/>
    <x v="1"/>
    <n v="537.70799999999997"/>
  </r>
  <r>
    <x v="238"/>
    <x v="3"/>
    <x v="1"/>
    <s v="avril2022"/>
    <x v="798"/>
    <n v="150"/>
    <n v="0.15"/>
    <x v="1"/>
    <n v="0.3"/>
    <n v="0.7"/>
    <n v="0.16"/>
    <n v="5.4150624000000001"/>
    <n v="6.7400000000000002E-2"/>
    <n v="5.3225550840000002"/>
    <n v="10.737617484000001"/>
    <n v="175"/>
    <x v="6"/>
    <x v="1"/>
    <n v="752.09199999999998"/>
  </r>
  <r>
    <x v="239"/>
    <x v="3"/>
    <x v="1"/>
    <s v="avril2022"/>
    <x v="799"/>
    <n v="117"/>
    <n v="0.11700000000000001"/>
    <x v="3"/>
    <n v="1"/>
    <n v="0"/>
    <n v="0.24099999999999999"/>
    <n v="0.96112294199999992"/>
    <n v="0"/>
    <n v="0"/>
    <n v="0.96112294199999992"/>
    <n v="80"/>
    <x v="3"/>
    <x v="27"/>
    <n v="34.085999999999999"/>
  </r>
  <r>
    <x v="239"/>
    <x v="3"/>
    <x v="1"/>
    <s v="avril2022"/>
    <x v="800"/>
    <n v="163"/>
    <n v="0.16300000000000001"/>
    <x v="2"/>
    <n v="0.3"/>
    <n v="0.7"/>
    <n v="0.16"/>
    <n v="2.0776240800000005"/>
    <n v="6.7400000000000002E-2"/>
    <n v="2.0421313353000001"/>
    <n v="4.1197554153000002"/>
    <n v="100"/>
    <x v="3"/>
    <x v="11"/>
    <n v="265.54500000000002"/>
  </r>
  <r>
    <x v="239"/>
    <x v="3"/>
    <x v="1"/>
    <s v="avril2022"/>
    <x v="801"/>
    <n v="120"/>
    <n v="0.12"/>
    <x v="2"/>
    <n v="0.3"/>
    <n v="0.7"/>
    <n v="0.16"/>
    <n v="0.76887360000000005"/>
    <n v="6.7400000000000002E-2"/>
    <n v="0.75573867600000011"/>
    <n v="1.524612276"/>
    <n v="105"/>
    <x v="3"/>
    <x v="12"/>
    <n v="133.48500000000001"/>
  </r>
  <r>
    <x v="239"/>
    <x v="3"/>
    <x v="1"/>
    <s v="avril2022"/>
    <x v="802"/>
    <n v="94"/>
    <n v="9.4E-2"/>
    <x v="2"/>
    <n v="0.3"/>
    <n v="0.7"/>
    <n v="0.16"/>
    <n v="2.1441114240000001"/>
    <n v="6.7400000000000002E-2"/>
    <n v="2.1074828538400001"/>
    <n v="4.2515942778400007"/>
    <n v="137"/>
    <x v="3"/>
    <x v="82"/>
    <n v="475.202"/>
  </r>
  <r>
    <x v="239"/>
    <x v="3"/>
    <x v="1"/>
    <s v="avril2022"/>
    <x v="803"/>
    <n v="137"/>
    <n v="0.13700000000000001"/>
    <x v="2"/>
    <n v="0.3"/>
    <n v="0.7"/>
    <n v="0.16"/>
    <n v="3.7835410560000002"/>
    <n v="6.7400000000000002E-2"/>
    <n v="3.7189055629600003"/>
    <n v="7.5024466189600005"/>
    <n v="155"/>
    <x v="3"/>
    <x v="63"/>
    <n v="575.35599999999999"/>
  </r>
  <r>
    <x v="239"/>
    <x v="3"/>
    <x v="1"/>
    <s v="avril2022"/>
    <x v="804"/>
    <n v="150"/>
    <n v="0.15"/>
    <x v="1"/>
    <n v="0.3"/>
    <n v="0.7"/>
    <n v="0.16"/>
    <n v="2.0026439999999996"/>
    <n v="6.7400000000000002E-2"/>
    <n v="1.9684321649999998"/>
    <n v="3.9710761649999995"/>
    <n v="158"/>
    <x v="7"/>
    <x v="1"/>
    <n v="278.14499999999998"/>
  </r>
  <r>
    <x v="239"/>
    <x v="3"/>
    <x v="1"/>
    <s v="avril2022"/>
    <x v="805"/>
    <n v="150"/>
    <n v="0.15"/>
    <x v="2"/>
    <n v="0.3"/>
    <n v="0.7"/>
    <n v="0.16"/>
    <n v="1.9177416"/>
    <n v="6.7400000000000002E-2"/>
    <n v="1.884980181"/>
    <n v="3.8027217809999998"/>
    <n v="158"/>
    <x v="8"/>
    <x v="1"/>
    <n v="266.35300000000001"/>
  </r>
  <r>
    <x v="239"/>
    <x v="3"/>
    <x v="1"/>
    <s v="avril2022"/>
    <x v="806"/>
    <n v="50"/>
    <n v="0.05"/>
    <x v="2"/>
    <n v="0.3"/>
    <n v="0.7"/>
    <n v="0.16"/>
    <n v="1.7473464000000003"/>
    <n v="6.7400000000000002E-2"/>
    <n v="1.717495899"/>
    <n v="3.4648422990000003"/>
    <n v="159"/>
    <x v="3"/>
    <x v="72"/>
    <n v="728.06100000000004"/>
  </r>
  <r>
    <x v="239"/>
    <x v="3"/>
    <x v="1"/>
    <s v="avril2022"/>
    <x v="807"/>
    <n v="150"/>
    <n v="0.15"/>
    <x v="2"/>
    <n v="0.3"/>
    <n v="0.7"/>
    <n v="0.16"/>
    <n v="5.1263063999999998"/>
    <n v="6.7400000000000002E-2"/>
    <n v="5.0387319989999995"/>
    <n v="10.165038399"/>
    <n v="220"/>
    <x v="32"/>
    <x v="1"/>
    <n v="711.98699999999997"/>
  </r>
  <r>
    <x v="239"/>
    <x v="3"/>
    <x v="1"/>
    <s v="avril2022"/>
    <x v="808"/>
    <n v="318"/>
    <n v="0.318"/>
    <x v="2"/>
    <n v="0.3"/>
    <n v="0.7"/>
    <n v="0.16"/>
    <n v="2.6520589440000002"/>
    <n v="6.7400000000000002E-2"/>
    <n v="2.60675293704"/>
    <n v="5.2588118810399997"/>
    <n v="240"/>
    <x v="3"/>
    <x v="62"/>
    <n v="173.74600000000001"/>
  </r>
  <r>
    <x v="240"/>
    <x v="3"/>
    <x v="1"/>
    <s v="avril2022"/>
    <x v="809"/>
    <n v="104"/>
    <n v="0.104"/>
    <x v="1"/>
    <n v="0.3"/>
    <n v="0.7"/>
    <n v="0.16"/>
    <n v="0.27647692800000001"/>
    <n v="6.7400000000000002E-2"/>
    <n v="0.27175378047999998"/>
    <n v="0.54823070848"/>
    <n v="80"/>
    <x v="3"/>
    <x v="83"/>
    <n v="55.384"/>
  </r>
  <r>
    <x v="240"/>
    <x v="3"/>
    <x v="1"/>
    <s v="avril2022"/>
    <x v="810"/>
    <n v="174"/>
    <n v="0.17399999999999999"/>
    <x v="2"/>
    <n v="0.3"/>
    <n v="0.7"/>
    <n v="0.16"/>
    <n v="2.2178318400000001"/>
    <n v="6.7400000000000002E-2"/>
    <n v="2.1799438794000001"/>
    <n v="4.3977757194000002"/>
    <n v="100"/>
    <x v="3"/>
    <x v="11"/>
    <n v="265.54500000000002"/>
  </r>
  <r>
    <x v="240"/>
    <x v="3"/>
    <x v="1"/>
    <s v="avril2022"/>
    <x v="811"/>
    <n v="100"/>
    <n v="0.1"/>
    <x v="2"/>
    <n v="0.3"/>
    <n v="0.7"/>
    <n v="0.16"/>
    <n v="3.5541360000000006"/>
    <n v="6.7400000000000002E-2"/>
    <n v="3.4934195100000003"/>
    <n v="7.0475555100000005"/>
    <n v="159"/>
    <x v="3"/>
    <x v="3"/>
    <n v="740.44500000000005"/>
  </r>
  <r>
    <x v="240"/>
    <x v="3"/>
    <x v="1"/>
    <s v="avril2022"/>
    <x v="812"/>
    <n v="150"/>
    <n v="0.15"/>
    <x v="2"/>
    <n v="0.3"/>
    <n v="0.7"/>
    <n v="0.16"/>
    <n v="1.8579095999999999"/>
    <n v="6.7400000000000002E-2"/>
    <n v="1.826170311"/>
    <n v="3.684079911"/>
    <n v="200"/>
    <x v="14"/>
    <x v="1"/>
    <n v="258.04300000000001"/>
  </r>
  <r>
    <x v="240"/>
    <x v="3"/>
    <x v="1"/>
    <s v="avril2022"/>
    <x v="813"/>
    <n v="1000"/>
    <n v="1"/>
    <x v="0"/>
    <n v="1"/>
    <n v="0"/>
    <n v="6.7400000000000002E-2"/>
    <n v="3.6908914000000004"/>
    <n v="0"/>
    <n v="0"/>
    <n v="3.6908914000000004"/>
    <n v="220"/>
    <x v="2"/>
    <x v="1"/>
    <n v="54.761000000000003"/>
  </r>
  <r>
    <x v="240"/>
    <x v="3"/>
    <x v="1"/>
    <s v="avril2022"/>
    <x v="814"/>
    <n v="300"/>
    <n v="0.3"/>
    <x v="2"/>
    <n v="0.3"/>
    <n v="0.7"/>
    <n v="0.16"/>
    <n v="7.7979743999999993"/>
    <n v="6.7400000000000002E-2"/>
    <n v="7.6647590039999995"/>
    <n v="15.462733403999998"/>
    <n v="239"/>
    <x v="4"/>
    <x v="1"/>
    <n v="541.52599999999995"/>
  </r>
  <r>
    <x v="240"/>
    <x v="3"/>
    <x v="1"/>
    <s v="avril2022"/>
    <x v="815"/>
    <n v="800"/>
    <n v="0.8"/>
    <x v="1"/>
    <n v="0.3"/>
    <n v="0.7"/>
    <n v="0.16"/>
    <n v="9.6106752000000011"/>
    <n v="6.7400000000000002E-2"/>
    <n v="9.4464928319999988"/>
    <n v="19.057168032"/>
    <n v="294"/>
    <x v="10"/>
    <x v="1"/>
    <n v="250.27799999999999"/>
  </r>
  <r>
    <x v="241"/>
    <x v="3"/>
    <x v="1"/>
    <s v="avril2022"/>
    <x v="816"/>
    <n v="139"/>
    <n v="0.13900000000000001"/>
    <x v="3"/>
    <n v="1"/>
    <n v="0"/>
    <n v="0.24099999999999999"/>
    <n v="1.141846914"/>
    <n v="0"/>
    <n v="0"/>
    <n v="1.141846914"/>
    <n v="80"/>
    <x v="3"/>
    <x v="27"/>
    <n v="34.085999999999999"/>
  </r>
  <r>
    <x v="241"/>
    <x v="3"/>
    <x v="1"/>
    <s v="avril2022"/>
    <x v="817"/>
    <n v="218"/>
    <n v="0.218"/>
    <x v="2"/>
    <n v="0.3"/>
    <n v="0.7"/>
    <n v="0.16"/>
    <n v="5.6402424959999999"/>
    <n v="6.7400000000000002E-2"/>
    <n v="5.5438883533599999"/>
    <n v="11.184130849359999"/>
    <n v="133"/>
    <x v="3"/>
    <x v="59"/>
    <n v="539.01400000000001"/>
  </r>
  <r>
    <x v="241"/>
    <x v="3"/>
    <x v="1"/>
    <s v="avril2022"/>
    <x v="818"/>
    <n v="150"/>
    <n v="0.15"/>
    <x v="1"/>
    <n v="0.3"/>
    <n v="0.7"/>
    <n v="0.16"/>
    <n v="1.9215215999999999"/>
    <n v="6.7400000000000002E-2"/>
    <n v="1.888695606"/>
    <n v="3.8102172059999999"/>
    <n v="135"/>
    <x v="31"/>
    <x v="1"/>
    <n v="266.87799999999999"/>
  </r>
  <r>
    <x v="241"/>
    <x v="3"/>
    <x v="1"/>
    <s v="avril2022"/>
    <x v="819"/>
    <n v="150"/>
    <n v="0.15"/>
    <x v="2"/>
    <n v="0.3"/>
    <n v="0.7"/>
    <n v="0.16"/>
    <n v="1.2471839999999998"/>
    <n v="6.7400000000000002E-2"/>
    <n v="1.2258779399999999"/>
    <n v="2.47306194"/>
    <n v="140"/>
    <x v="30"/>
    <x v="1"/>
    <n v="173.22"/>
  </r>
  <r>
    <x v="241"/>
    <x v="3"/>
    <x v="1"/>
    <s v="avril2022"/>
    <x v="820"/>
    <n v="150"/>
    <n v="0.15"/>
    <x v="2"/>
    <n v="0.3"/>
    <n v="0.7"/>
    <n v="0.16"/>
    <n v="1.3450607999999999"/>
    <n v="6.7400000000000002E-2"/>
    <n v="1.3220826779999999"/>
    <n v="2.6671434779999998"/>
    <n v="140"/>
    <x v="29"/>
    <x v="1"/>
    <n v="186.81399999999999"/>
  </r>
  <r>
    <x v="241"/>
    <x v="3"/>
    <x v="1"/>
    <s v="avril2022"/>
    <x v="821"/>
    <n v="140"/>
    <n v="0.14000000000000001"/>
    <x v="2"/>
    <n v="0.3"/>
    <n v="0.7"/>
    <n v="0.16"/>
    <n v="2.9920934400000005"/>
    <n v="6.7400000000000002E-2"/>
    <n v="2.9409785104000004"/>
    <n v="5.9330719504000005"/>
    <n v="145"/>
    <x v="3"/>
    <x v="78"/>
    <n v="445.25200000000001"/>
  </r>
  <r>
    <x v="241"/>
    <x v="3"/>
    <x v="1"/>
    <s v="avril2022"/>
    <x v="822"/>
    <n v="56"/>
    <n v="5.6000000000000001E-2"/>
    <x v="2"/>
    <n v="0.3"/>
    <n v="0.7"/>
    <n v="0.16"/>
    <n v="1.2078259200000001"/>
    <n v="6.7400000000000002E-2"/>
    <n v="1.1871922271999999"/>
    <n v="2.3950181472000001"/>
    <n v="154"/>
    <x v="3"/>
    <x v="84"/>
    <n v="449.34"/>
  </r>
  <r>
    <x v="241"/>
    <x v="3"/>
    <x v="1"/>
    <s v="avril2022"/>
    <x v="823"/>
    <n v="385"/>
    <n v="0.38500000000000001"/>
    <x v="2"/>
    <n v="0.3"/>
    <n v="0.7"/>
    <n v="0.16"/>
    <n v="4.5977685599999996"/>
    <n v="6.7400000000000002E-2"/>
    <n v="4.5192233471000005"/>
    <n v="9.116991907100001"/>
    <n v="178"/>
    <x v="3"/>
    <x v="19"/>
    <n v="248.797"/>
  </r>
  <r>
    <x v="242"/>
    <x v="4"/>
    <x v="1"/>
    <s v="mai2022"/>
    <x v="824"/>
    <n v="150"/>
    <n v="0.15"/>
    <x v="3"/>
    <n v="1"/>
    <n v="0"/>
    <n v="0.24099999999999999"/>
    <n v="1.2287746499999999"/>
    <n v="0"/>
    <n v="0"/>
    <n v="1.2287746499999999"/>
    <n v="80"/>
    <x v="5"/>
    <x v="1"/>
    <n v="33.991"/>
  </r>
  <r>
    <x v="242"/>
    <x v="4"/>
    <x v="1"/>
    <s v="mai2022"/>
    <x v="825"/>
    <n v="105"/>
    <n v="0.105"/>
    <x v="2"/>
    <n v="0.3"/>
    <n v="0.7"/>
    <n v="0.16"/>
    <n v="1.2629181600000001"/>
    <n v="6.7400000000000002E-2"/>
    <n v="1.2413433081"/>
    <n v="2.5042614681000002"/>
    <n v="100"/>
    <x v="3"/>
    <x v="16"/>
    <n v="250.57900000000001"/>
  </r>
  <r>
    <x v="242"/>
    <x v="4"/>
    <x v="1"/>
    <s v="mai2022"/>
    <x v="826"/>
    <n v="182"/>
    <n v="0.182"/>
    <x v="2"/>
    <n v="0.3"/>
    <n v="0.7"/>
    <n v="0.16"/>
    <n v="1.4621443200000002"/>
    <n v="6.7400000000000002E-2"/>
    <n v="1.4371660212000001"/>
    <n v="2.8993103412000005"/>
    <n v="108"/>
    <x v="3"/>
    <x v="37"/>
    <n v="167.37"/>
  </r>
  <r>
    <x v="242"/>
    <x v="4"/>
    <x v="1"/>
    <s v="mai2022"/>
    <x v="827"/>
    <n v="218"/>
    <n v="0.218"/>
    <x v="2"/>
    <n v="0.3"/>
    <n v="0.7"/>
    <n v="0.16"/>
    <n v="5.6402424959999999"/>
    <n v="6.7400000000000002E-2"/>
    <n v="5.5438883533599999"/>
    <n v="11.184130849359999"/>
    <n v="133"/>
    <x v="3"/>
    <x v="59"/>
    <n v="539.01400000000001"/>
  </r>
  <r>
    <x v="242"/>
    <x v="4"/>
    <x v="1"/>
    <s v="mai2022"/>
    <x v="828"/>
    <n v="291"/>
    <n v="0.29099999999999998"/>
    <x v="2"/>
    <n v="0.3"/>
    <n v="0.7"/>
    <n v="0.16"/>
    <n v="2.6341273439999999"/>
    <n v="6.7400000000000002E-2"/>
    <n v="2.5891276685399998"/>
    <n v="5.2232550125399992"/>
    <n v="200"/>
    <x v="3"/>
    <x v="68"/>
    <n v="188.583"/>
  </r>
  <r>
    <x v="242"/>
    <x v="4"/>
    <x v="1"/>
    <s v="mai2022"/>
    <x v="829"/>
    <n v="318"/>
    <n v="0.318"/>
    <x v="2"/>
    <n v="0.3"/>
    <n v="0.7"/>
    <n v="0.16"/>
    <n v="3.7976374079999999"/>
    <n v="6.7400000000000002E-2"/>
    <n v="3.7327611022799996"/>
    <n v="7.5303985102799995"/>
    <n v="234"/>
    <x v="3"/>
    <x v="19"/>
    <n v="248.797"/>
  </r>
  <r>
    <x v="242"/>
    <x v="4"/>
    <x v="1"/>
    <s v="mai2022"/>
    <x v="830"/>
    <n v="1000"/>
    <n v="1"/>
    <x v="2"/>
    <n v="0.3"/>
    <n v="0.7"/>
    <n v="0.16"/>
    <n v="18.268128000000001"/>
    <n v="6.7400000000000002E-2"/>
    <n v="17.956047479999999"/>
    <n v="36.22417548"/>
    <n v="450"/>
    <x v="12"/>
    <x v="1"/>
    <n v="380.58600000000001"/>
  </r>
  <r>
    <x v="242"/>
    <x v="4"/>
    <x v="1"/>
    <s v="mai2022"/>
    <x v="831"/>
    <n v="5000"/>
    <n v="5"/>
    <x v="5"/>
    <n v="1"/>
    <n v="0"/>
    <n v="0.16"/>
    <n v="198.03280000000001"/>
    <n v="0"/>
    <n v="0"/>
    <n v="198.03280000000001"/>
    <n v="550"/>
    <x v="16"/>
    <x v="1"/>
    <n v="247.541"/>
  </r>
  <r>
    <x v="243"/>
    <x v="4"/>
    <x v="1"/>
    <s v="mai2022"/>
    <x v="832"/>
    <n v="100"/>
    <n v="0.1"/>
    <x v="2"/>
    <n v="0.3"/>
    <n v="0.7"/>
    <n v="0.16"/>
    <n v="1.2200400000000002"/>
    <n v="6.7400000000000002E-2"/>
    <n v="1.1991976500000001"/>
    <n v="2.4192376500000004"/>
    <n v="100"/>
    <x v="3"/>
    <x v="25"/>
    <n v="254.17500000000001"/>
  </r>
  <r>
    <x v="244"/>
    <x v="4"/>
    <x v="1"/>
    <s v="mai2022"/>
    <x v="833"/>
    <n v="150"/>
    <n v="0.15"/>
    <x v="1"/>
    <n v="0.3"/>
    <n v="0.7"/>
    <n v="0.16"/>
    <n v="2.0026439999999996"/>
    <n v="6.7400000000000002E-2"/>
    <n v="1.9684321649999998"/>
    <n v="3.9710761649999995"/>
    <n v="158"/>
    <x v="7"/>
    <x v="1"/>
    <n v="278.14499999999998"/>
  </r>
  <r>
    <x v="244"/>
    <x v="4"/>
    <x v="1"/>
    <s v="mai2022"/>
    <x v="834"/>
    <n v="150"/>
    <n v="0.15"/>
    <x v="1"/>
    <n v="0.3"/>
    <n v="0.7"/>
    <n v="0.16"/>
    <n v="3.8714975999999997"/>
    <n v="6.7400000000000002E-2"/>
    <n v="3.8053595159999998"/>
    <n v="7.676857115999999"/>
    <n v="160"/>
    <x v="27"/>
    <x v="1"/>
    <n v="537.70799999999997"/>
  </r>
  <r>
    <x v="244"/>
    <x v="4"/>
    <x v="1"/>
    <s v="mai2022"/>
    <x v="835"/>
    <n v="150"/>
    <n v="0.15"/>
    <x v="1"/>
    <n v="0.3"/>
    <n v="0.7"/>
    <n v="0.16"/>
    <n v="5.4150624000000001"/>
    <n v="6.7400000000000002E-2"/>
    <n v="5.3225550840000002"/>
    <n v="10.737617484000001"/>
    <n v="175"/>
    <x v="6"/>
    <x v="1"/>
    <n v="752.09199999999998"/>
  </r>
  <r>
    <x v="245"/>
    <x v="4"/>
    <x v="1"/>
    <s v="mai2022"/>
    <x v="836"/>
    <n v="150"/>
    <n v="0.15"/>
    <x v="2"/>
    <n v="0.3"/>
    <n v="0.7"/>
    <n v="0.16"/>
    <n v="3.8989871999999997"/>
    <n v="6.7400000000000002E-2"/>
    <n v="3.8323795019999998"/>
    <n v="7.731366701999999"/>
    <n v="156"/>
    <x v="4"/>
    <x v="1"/>
    <n v="541.52599999999995"/>
  </r>
  <r>
    <x v="245"/>
    <x v="4"/>
    <x v="1"/>
    <s v="mai2022"/>
    <x v="837"/>
    <n v="1000"/>
    <n v="1"/>
    <x v="3"/>
    <n v="1"/>
    <n v="0"/>
    <n v="0.24099999999999999"/>
    <n v="13.197401000000001"/>
    <n v="0"/>
    <n v="0"/>
    <n v="13.197401000000001"/>
    <n v="170"/>
    <x v="2"/>
    <x v="1"/>
    <n v="54.761000000000003"/>
  </r>
  <r>
    <x v="245"/>
    <x v="4"/>
    <x v="1"/>
    <s v="mai2022"/>
    <x v="838"/>
    <n v="150"/>
    <n v="0.15"/>
    <x v="1"/>
    <n v="0.3"/>
    <n v="0.7"/>
    <n v="0.16"/>
    <n v="1.8020015999999999"/>
    <n v="6.7400000000000002E-2"/>
    <n v="1.7712174059999999"/>
    <n v="3.5732190059999995"/>
    <n v="200"/>
    <x v="10"/>
    <x v="1"/>
    <n v="250.27799999999999"/>
  </r>
  <r>
    <x v="245"/>
    <x v="4"/>
    <x v="1"/>
    <s v="mai2022"/>
    <x v="839"/>
    <n v="225"/>
    <n v="0.22500000000000001"/>
    <x v="2"/>
    <n v="0.3"/>
    <n v="0.7"/>
    <n v="0.16"/>
    <n v="2.7450900000000003"/>
    <n v="6.7400000000000002E-2"/>
    <n v="2.6981947125000003"/>
    <n v="5.4432847125000006"/>
    <n v="200"/>
    <x v="3"/>
    <x v="25"/>
    <n v="254.17500000000001"/>
  </r>
  <r>
    <x v="245"/>
    <x v="4"/>
    <x v="1"/>
    <s v="mai2022"/>
    <x v="840"/>
    <n v="300"/>
    <n v="0.3"/>
    <x v="1"/>
    <n v="0.3"/>
    <n v="0.7"/>
    <n v="0.16"/>
    <n v="2.9598624"/>
    <n v="6.7400000000000002E-2"/>
    <n v="2.909298084"/>
    <n v="5.869160484"/>
    <n v="202.5"/>
    <x v="10"/>
    <x v="60"/>
    <n v="205.54599999999999"/>
  </r>
  <r>
    <x v="245"/>
    <x v="4"/>
    <x v="1"/>
    <s v="mai2022"/>
    <x v="841"/>
    <n v="132"/>
    <n v="0.13200000000000001"/>
    <x v="2"/>
    <n v="0.3"/>
    <n v="0.7"/>
    <n v="0.16"/>
    <n v="2.4105628800000001"/>
    <n v="6.7400000000000002E-2"/>
    <n v="2.3693824308"/>
    <n v="4.7799453108000005"/>
    <n v="261"/>
    <x v="3"/>
    <x v="20"/>
    <n v="380.45499999999998"/>
  </r>
  <r>
    <x v="245"/>
    <x v="4"/>
    <x v="1"/>
    <s v="mai2022"/>
    <x v="842"/>
    <n v="450"/>
    <n v="0.45"/>
    <x v="2"/>
    <n v="0.3"/>
    <n v="0.7"/>
    <n v="0.16"/>
    <n v="5.3740152000000005"/>
    <n v="6.7400000000000002E-2"/>
    <n v="5.2822091069999999"/>
    <n v="10.656224307"/>
    <n v="270"/>
    <x v="3"/>
    <x v="19"/>
    <n v="248.797"/>
  </r>
  <r>
    <x v="245"/>
    <x v="4"/>
    <x v="1"/>
    <s v="mai2022"/>
    <x v="843"/>
    <n v="450"/>
    <n v="0.45"/>
    <x v="2"/>
    <n v="0.3"/>
    <n v="0.7"/>
    <n v="0.16"/>
    <n v="9.9037512000000003"/>
    <n v="6.7400000000000002E-2"/>
    <n v="9.7345621169999994"/>
    <n v="19.638313316999998"/>
    <n v="280"/>
    <x v="3"/>
    <x v="61"/>
    <n v="458.50700000000001"/>
  </r>
  <r>
    <x v="246"/>
    <x v="4"/>
    <x v="1"/>
    <s v="mai2022"/>
    <x v="844"/>
    <n v="150"/>
    <n v="0.15"/>
    <x v="3"/>
    <n v="1"/>
    <n v="0"/>
    <n v="0.24099999999999999"/>
    <n v="1.2287746499999999"/>
    <n v="0"/>
    <n v="0"/>
    <n v="1.2287746499999999"/>
    <n v="80"/>
    <x v="5"/>
    <x v="1"/>
    <n v="33.991"/>
  </r>
  <r>
    <x v="246"/>
    <x v="4"/>
    <x v="1"/>
    <s v="mai2022"/>
    <x v="845"/>
    <n v="250"/>
    <n v="0.25"/>
    <x v="1"/>
    <n v="0.3"/>
    <n v="0.7"/>
    <n v="0.16"/>
    <n v="0.64771199999999995"/>
    <n v="6.7400000000000002E-2"/>
    <n v="0.63664692000000001"/>
    <n v="1.2843589199999998"/>
    <n v="80"/>
    <x v="3"/>
    <x v="6"/>
    <n v="53.975999999999999"/>
  </r>
  <r>
    <x v="246"/>
    <x v="4"/>
    <x v="1"/>
    <s v="mai2022"/>
    <x v="846"/>
    <n v="293"/>
    <n v="0.29299999999999998"/>
    <x v="1"/>
    <n v="0.3"/>
    <n v="0.7"/>
    <n v="0.16"/>
    <n v="0.71850163200000006"/>
    <n v="6.7400000000000002E-2"/>
    <n v="0.70622722912000002"/>
    <n v="1.4247288611200002"/>
    <n v="100"/>
    <x v="3"/>
    <x v="40"/>
    <n v="51.088000000000001"/>
  </r>
  <r>
    <x v="246"/>
    <x v="4"/>
    <x v="1"/>
    <s v="mai2022"/>
    <x v="847"/>
    <n v="150"/>
    <n v="0.15"/>
    <x v="2"/>
    <n v="0.3"/>
    <n v="0.7"/>
    <n v="0.16"/>
    <n v="0.91074959999999994"/>
    <n v="6.7400000000000002E-2"/>
    <n v="0.89519096099999995"/>
    <n v="1.8059405609999999"/>
    <n v="110"/>
    <x v="3"/>
    <x v="85"/>
    <n v="126.49299999999999"/>
  </r>
  <r>
    <x v="246"/>
    <x v="4"/>
    <x v="1"/>
    <s v="mai2022"/>
    <x v="848"/>
    <n v="106"/>
    <n v="0.106"/>
    <x v="2"/>
    <n v="0.3"/>
    <n v="0.7"/>
    <n v="0.16"/>
    <n v="1.748358912"/>
    <n v="6.7400000000000002E-2"/>
    <n v="1.7184911139200001"/>
    <n v="3.4668500259200004"/>
    <n v="125"/>
    <x v="3"/>
    <x v="65"/>
    <n v="343.62400000000002"/>
  </r>
  <r>
    <x v="246"/>
    <x v="4"/>
    <x v="1"/>
    <s v="mai2022"/>
    <x v="849"/>
    <n v="150"/>
    <n v="0.15"/>
    <x v="2"/>
    <n v="0.3"/>
    <n v="0.7"/>
    <n v="0.16"/>
    <n v="1.8579095999999999"/>
    <n v="6.7400000000000002E-2"/>
    <n v="1.826170311"/>
    <n v="3.684079911"/>
    <n v="131"/>
    <x v="14"/>
    <x v="1"/>
    <n v="258.04300000000001"/>
  </r>
  <r>
    <x v="246"/>
    <x v="4"/>
    <x v="1"/>
    <s v="mai2022"/>
    <x v="850"/>
    <n v="150"/>
    <n v="0.15"/>
    <x v="2"/>
    <n v="0.3"/>
    <n v="0.7"/>
    <n v="0.16"/>
    <n v="1.2471839999999998"/>
    <n v="6.7400000000000002E-2"/>
    <n v="1.2258779399999999"/>
    <n v="2.47306194"/>
    <n v="140"/>
    <x v="30"/>
    <x v="1"/>
    <n v="173.22"/>
  </r>
  <r>
    <x v="246"/>
    <x v="4"/>
    <x v="1"/>
    <s v="mai2022"/>
    <x v="851"/>
    <n v="60"/>
    <n v="0.06"/>
    <x v="2"/>
    <n v="0.3"/>
    <n v="0.7"/>
    <n v="0.16"/>
    <n v="1.5585983999999997"/>
    <n v="6.7400000000000002E-2"/>
    <n v="1.5319723439999999"/>
    <n v="3.0905707439999999"/>
    <n v="165"/>
    <x v="3"/>
    <x v="8"/>
    <n v="541.17999999999995"/>
  </r>
  <r>
    <x v="246"/>
    <x v="4"/>
    <x v="1"/>
    <s v="mai2022"/>
    <x v="852"/>
    <n v="400"/>
    <n v="0.4"/>
    <x v="1"/>
    <n v="0.3"/>
    <n v="0.7"/>
    <n v="0.16"/>
    <n v="5.347142400000001"/>
    <n v="6.7400000000000002E-2"/>
    <n v="5.2557953839999998"/>
    <n v="10.602937784000002"/>
    <n v="180"/>
    <x v="11"/>
    <x v="1"/>
    <n v="278.49700000000001"/>
  </r>
  <r>
    <x v="246"/>
    <x v="4"/>
    <x v="1"/>
    <s v="mai2022"/>
    <x v="853"/>
    <n v="300"/>
    <n v="0.3"/>
    <x v="1"/>
    <n v="0.3"/>
    <n v="0.7"/>
    <n v="0.16"/>
    <n v="0.67008959999999995"/>
    <n v="6.7400000000000002E-2"/>
    <n v="0.65864223599999994"/>
    <n v="1.3287318359999998"/>
    <n v="180"/>
    <x v="33"/>
    <x v="1"/>
    <n v="46.533999999999999"/>
  </r>
  <r>
    <x v="246"/>
    <x v="4"/>
    <x v="1"/>
    <s v="mai2022"/>
    <x v="854"/>
    <n v="225"/>
    <n v="0.22500000000000001"/>
    <x v="2"/>
    <n v="0.3"/>
    <n v="0.7"/>
    <n v="0.16"/>
    <n v="2.7450900000000003"/>
    <n v="6.7400000000000002E-2"/>
    <n v="2.6981947125000003"/>
    <n v="5.4432847125000006"/>
    <n v="200"/>
    <x v="3"/>
    <x v="25"/>
    <n v="254.17500000000001"/>
  </r>
  <r>
    <x v="246"/>
    <x v="4"/>
    <x v="1"/>
    <s v="mai2022"/>
    <x v="855"/>
    <n v="212"/>
    <n v="0.21199999999999999"/>
    <x v="2"/>
    <n v="0.3"/>
    <n v="0.7"/>
    <n v="0.16"/>
    <n v="7.2759214080000003"/>
    <n v="6.7400000000000002E-2"/>
    <n v="7.1516244172799999"/>
    <n v="14.427545825279999"/>
    <n v="270"/>
    <x v="3"/>
    <x v="70"/>
    <n v="715.00800000000004"/>
  </r>
  <r>
    <x v="246"/>
    <x v="4"/>
    <x v="1"/>
    <s v="mai2022"/>
    <x v="856"/>
    <n v="399"/>
    <n v="0.39900000000000002"/>
    <x v="2"/>
    <n v="0.3"/>
    <n v="0.7"/>
    <n v="0.16"/>
    <n v="10.323196128000001"/>
    <n v="6.7400000000000002E-2"/>
    <n v="10.146841527480001"/>
    <n v="20.470037655480002"/>
    <n v="310"/>
    <x v="3"/>
    <x v="59"/>
    <n v="539.01400000000001"/>
  </r>
  <r>
    <x v="247"/>
    <x v="4"/>
    <x v="1"/>
    <s v="mai2022"/>
    <x v="857"/>
    <n v="186"/>
    <n v="0.186"/>
    <x v="2"/>
    <n v="0.3"/>
    <n v="0.7"/>
    <n v="0.16"/>
    <n v="2.3763300479999998"/>
    <n v="6.7400000000000002E-2"/>
    <n v="2.3357344096800001"/>
    <n v="4.7120644576800004"/>
    <n v="100"/>
    <x v="3"/>
    <x v="0"/>
    <n v="266.166"/>
  </r>
  <r>
    <x v="247"/>
    <x v="4"/>
    <x v="1"/>
    <s v="mai2022"/>
    <x v="858"/>
    <n v="56"/>
    <n v="5.6000000000000001E-2"/>
    <x v="2"/>
    <n v="0.3"/>
    <n v="0.7"/>
    <n v="0.16"/>
    <n v="2.2509661440000004"/>
    <n v="6.7400000000000002E-2"/>
    <n v="2.2125121390400002"/>
    <n v="4.4634782830400006"/>
    <n v="180"/>
    <x v="3"/>
    <x v="5"/>
    <n v="837.41300000000001"/>
  </r>
  <r>
    <x v="247"/>
    <x v="4"/>
    <x v="1"/>
    <s v="mai2022"/>
    <x v="859"/>
    <n v="500"/>
    <n v="0.5"/>
    <x v="2"/>
    <n v="0.3"/>
    <n v="0.7"/>
    <n v="0.16"/>
    <n v="19.146576"/>
    <n v="6.7400000000000002E-2"/>
    <n v="18.819488660000001"/>
    <n v="37.966064660000001"/>
    <n v="195"/>
    <x v="10"/>
    <x v="8"/>
    <n v="797.774"/>
  </r>
  <r>
    <x v="247"/>
    <x v="4"/>
    <x v="1"/>
    <s v="mai2022"/>
    <x v="860"/>
    <n v="225"/>
    <n v="0.22500000000000001"/>
    <x v="2"/>
    <n v="0.3"/>
    <n v="0.7"/>
    <n v="0.16"/>
    <n v="2.7746388"/>
    <n v="6.7400000000000002E-2"/>
    <n v="2.7272387204999999"/>
    <n v="5.5018775204999999"/>
    <n v="200"/>
    <x v="3"/>
    <x v="4"/>
    <n v="256.911"/>
  </r>
  <r>
    <x v="247"/>
    <x v="4"/>
    <x v="1"/>
    <s v="mai2022"/>
    <x v="861"/>
    <n v="128"/>
    <n v="0.128"/>
    <x v="2"/>
    <n v="0.3"/>
    <n v="0.7"/>
    <n v="0.16"/>
    <n v="1.7246085119999999"/>
    <n v="6.7400000000000002E-2"/>
    <n v="1.6951464499199997"/>
    <n v="3.4197549619199998"/>
    <n v="234"/>
    <x v="3"/>
    <x v="17"/>
    <n v="280.69799999999998"/>
  </r>
  <r>
    <x v="247"/>
    <x v="4"/>
    <x v="1"/>
    <s v="mai2022"/>
    <x v="862"/>
    <n v="450"/>
    <n v="0.45"/>
    <x v="1"/>
    <n v="0.3"/>
    <n v="0.7"/>
    <n v="0.16"/>
    <n v="11.155838400000002"/>
    <n v="6.7400000000000002E-2"/>
    <n v="10.965259494000001"/>
    <n v="22.121097894000002"/>
    <n v="260"/>
    <x v="0"/>
    <x v="1"/>
    <n v="516.47400000000005"/>
  </r>
  <r>
    <x v="247"/>
    <x v="4"/>
    <x v="1"/>
    <s v="mai2022"/>
    <x v="863"/>
    <n v="1349"/>
    <n v="1.349"/>
    <x v="1"/>
    <n v="0.3"/>
    <n v="0.7"/>
    <n v="0.16"/>
    <n v="3.0191915040000001"/>
    <n v="6.7400000000000002E-2"/>
    <n v="2.9676136491399996"/>
    <n v="5.9868051531399997"/>
    <n v="260"/>
    <x v="3"/>
    <x v="60"/>
    <n v="46.627000000000002"/>
  </r>
  <r>
    <x v="247"/>
    <x v="4"/>
    <x v="1"/>
    <s v="mai2022"/>
    <x v="864"/>
    <n v="318"/>
    <n v="0.318"/>
    <x v="2"/>
    <n v="0.3"/>
    <n v="0.7"/>
    <n v="0.16"/>
    <n v="2.6520589440000002"/>
    <n v="6.7400000000000002E-2"/>
    <n v="2.60675293704"/>
    <n v="5.2588118810399997"/>
    <n v="270"/>
    <x v="3"/>
    <x v="62"/>
    <n v="173.74600000000001"/>
  </r>
  <r>
    <x v="247"/>
    <x v="4"/>
    <x v="1"/>
    <s v="mai2022"/>
    <x v="865"/>
    <n v="450"/>
    <n v="0.45"/>
    <x v="2"/>
    <n v="0.3"/>
    <n v="0.7"/>
    <n v="0.16"/>
    <n v="9.9037512000000003"/>
    <n v="6.7400000000000002E-2"/>
    <n v="9.7345621169999994"/>
    <n v="19.638313316999998"/>
    <n v="280"/>
    <x v="3"/>
    <x v="61"/>
    <n v="458.50700000000001"/>
  </r>
  <r>
    <x v="248"/>
    <x v="4"/>
    <x v="1"/>
    <s v="mai2022"/>
    <x v="866"/>
    <n v="300"/>
    <n v="0.3"/>
    <x v="3"/>
    <n v="1"/>
    <n v="0"/>
    <n v="0.24099999999999999"/>
    <n v="2.4575492999999997"/>
    <n v="0"/>
    <n v="0"/>
    <n v="2.4575492999999997"/>
    <n v="100"/>
    <x v="5"/>
    <x v="1"/>
    <n v="33.991"/>
  </r>
  <r>
    <x v="248"/>
    <x v="4"/>
    <x v="1"/>
    <s v="mai2022"/>
    <x v="867"/>
    <n v="106"/>
    <n v="0.106"/>
    <x v="2"/>
    <n v="0.3"/>
    <n v="0.7"/>
    <n v="0.16"/>
    <n v="2.1048445439999997"/>
    <n v="6.7400000000000002E-2"/>
    <n v="2.06888678304"/>
    <n v="4.1737313270399996"/>
    <n v="126.6"/>
    <x v="3"/>
    <x v="18"/>
    <n v="413.68799999999999"/>
  </r>
  <r>
    <x v="248"/>
    <x v="4"/>
    <x v="1"/>
    <s v="mai2022"/>
    <x v="868"/>
    <n v="106"/>
    <n v="0.106"/>
    <x v="2"/>
    <n v="0.3"/>
    <n v="0.7"/>
    <n v="0.16"/>
    <n v="1.9357550399999999"/>
    <n v="6.7400000000000002E-2"/>
    <n v="1.9026858913999998"/>
    <n v="3.8384409313999996"/>
    <n v="130"/>
    <x v="3"/>
    <x v="20"/>
    <n v="380.45499999999998"/>
  </r>
  <r>
    <x v="248"/>
    <x v="4"/>
    <x v="1"/>
    <s v="mai2022"/>
    <x v="869"/>
    <n v="750"/>
    <n v="0.75"/>
    <x v="1"/>
    <n v="0.3"/>
    <n v="0.7"/>
    <n v="0.16"/>
    <n v="1.8809640000000003"/>
    <n v="6.7400000000000002E-2"/>
    <n v="1.848830865"/>
    <n v="3.7297948650000006"/>
    <n v="150"/>
    <x v="20"/>
    <x v="1"/>
    <n v="52.249000000000002"/>
  </r>
  <r>
    <x v="248"/>
    <x v="4"/>
    <x v="1"/>
    <s v="mai2022"/>
    <x v="870"/>
    <n v="106"/>
    <n v="0.106"/>
    <x v="2"/>
    <n v="0.3"/>
    <n v="0.7"/>
    <n v="0.16"/>
    <n v="2.9274113279999998"/>
    <n v="6.7400000000000002E-2"/>
    <n v="2.8774013844799997"/>
    <n v="5.8048127124799995"/>
    <n v="155"/>
    <x v="3"/>
    <x v="63"/>
    <n v="575.35599999999999"/>
  </r>
  <r>
    <x v="248"/>
    <x v="4"/>
    <x v="1"/>
    <s v="mai2022"/>
    <x v="871"/>
    <n v="225"/>
    <n v="0.22500000000000001"/>
    <x v="2"/>
    <n v="0.3"/>
    <n v="0.7"/>
    <n v="0.16"/>
    <n v="3.4211916000000002"/>
    <n v="6.7400000000000002E-2"/>
    <n v="3.3627462434999997"/>
    <n v="6.7839378435000004"/>
    <n v="210"/>
    <x v="3"/>
    <x v="77"/>
    <n v="316.77699999999999"/>
  </r>
  <r>
    <x v="249"/>
    <x v="4"/>
    <x v="1"/>
    <s v="mai2022"/>
    <x v="872"/>
    <n v="56"/>
    <n v="5.6000000000000001E-2"/>
    <x v="2"/>
    <n v="0.3"/>
    <n v="0.7"/>
    <n v="0.16"/>
    <n v="1.5639375360000001"/>
    <n v="6.7400000000000002E-2"/>
    <n v="1.5372202697600001"/>
    <n v="3.1011578057600002"/>
    <n v="155"/>
    <x v="3"/>
    <x v="57"/>
    <n v="581.822"/>
  </r>
  <r>
    <x v="249"/>
    <x v="4"/>
    <x v="1"/>
    <s v="mai2022"/>
    <x v="873"/>
    <n v="150"/>
    <n v="0.15"/>
    <x v="1"/>
    <n v="0.3"/>
    <n v="0.7"/>
    <n v="0.16"/>
    <n v="2.0026439999999996"/>
    <n v="6.7400000000000002E-2"/>
    <n v="1.9684321649999998"/>
    <n v="3.9710761649999995"/>
    <n v="158"/>
    <x v="7"/>
    <x v="1"/>
    <n v="278.14499999999998"/>
  </r>
  <r>
    <x v="249"/>
    <x v="4"/>
    <x v="1"/>
    <s v="mai2022"/>
    <x v="874"/>
    <n v="300"/>
    <n v="0.3"/>
    <x v="2"/>
    <n v="0.3"/>
    <n v="0.7"/>
    <n v="0.16"/>
    <n v="5.4804383999999997"/>
    <n v="6.7400000000000002E-2"/>
    <n v="5.386814244"/>
    <n v="10.867252644000001"/>
    <n v="200"/>
    <x v="12"/>
    <x v="1"/>
    <n v="380.58600000000001"/>
  </r>
  <r>
    <x v="249"/>
    <x v="4"/>
    <x v="1"/>
    <s v="mai2022"/>
    <x v="875"/>
    <n v="1000"/>
    <n v="1"/>
    <x v="0"/>
    <n v="1"/>
    <n v="0"/>
    <n v="6.7400000000000002E-2"/>
    <n v="3.6908914000000004"/>
    <n v="0"/>
    <n v="0"/>
    <n v="3.6908914000000004"/>
    <n v="250"/>
    <x v="2"/>
    <x v="1"/>
    <n v="54.761000000000003"/>
  </r>
  <r>
    <x v="249"/>
    <x v="4"/>
    <x v="1"/>
    <s v="mai2022"/>
    <x v="876"/>
    <n v="450"/>
    <n v="0.45"/>
    <x v="2"/>
    <n v="0.3"/>
    <n v="0.7"/>
    <n v="0.16"/>
    <n v="11.141236800000001"/>
    <n v="6.7400000000000002E-2"/>
    <n v="10.950907338"/>
    <n v="22.092144138000002"/>
    <n v="360"/>
    <x v="3"/>
    <x v="2"/>
    <n v="515.798"/>
  </r>
  <r>
    <x v="250"/>
    <x v="4"/>
    <x v="1"/>
    <s v="mai2022"/>
    <x v="877"/>
    <n v="300"/>
    <n v="0.3"/>
    <x v="3"/>
    <n v="1"/>
    <n v="0"/>
    <n v="0.24099999999999999"/>
    <n v="53.509085399999989"/>
    <n v="0"/>
    <n v="0"/>
    <n v="53.509085399999989"/>
    <n v="75"/>
    <x v="23"/>
    <x v="1"/>
    <n v="740.09799999999996"/>
  </r>
  <r>
    <x v="250"/>
    <x v="4"/>
    <x v="1"/>
    <s v="mai2022"/>
    <x v="878"/>
    <n v="150"/>
    <n v="0.15"/>
    <x v="1"/>
    <n v="0.3"/>
    <n v="0.7"/>
    <n v="0.16"/>
    <n v="2.8012535999999999"/>
    <n v="6.7400000000000002E-2"/>
    <n v="2.753398851"/>
    <n v="5.5546524509999999"/>
    <n v="125"/>
    <x v="34"/>
    <x v="1"/>
    <n v="389.06299999999999"/>
  </r>
  <r>
    <x v="250"/>
    <x v="4"/>
    <x v="1"/>
    <s v="mai2022"/>
    <x v="879"/>
    <n v="56"/>
    <n v="5.6000000000000001E-2"/>
    <x v="2"/>
    <n v="0.3"/>
    <n v="0.7"/>
    <n v="0.16"/>
    <n v="1.0226630400000001"/>
    <n v="6.7400000000000002E-2"/>
    <n v="1.0051925464"/>
    <n v="2.0278555864000003"/>
    <n v="130"/>
    <x v="3"/>
    <x v="20"/>
    <n v="380.45499999999998"/>
  </r>
  <r>
    <x v="250"/>
    <x v="4"/>
    <x v="1"/>
    <s v="mai2022"/>
    <x v="880"/>
    <n v="56"/>
    <n v="5.6000000000000001E-2"/>
    <x v="2"/>
    <n v="0.3"/>
    <n v="0.7"/>
    <n v="0.16"/>
    <n v="1.4488696320000001"/>
    <n v="6.7400000000000002E-2"/>
    <n v="1.4241181091200001"/>
    <n v="2.8729877411200002"/>
    <n v="133"/>
    <x v="3"/>
    <x v="59"/>
    <n v="539.01400000000001"/>
  </r>
  <r>
    <x v="250"/>
    <x v="4"/>
    <x v="1"/>
    <s v="mai2022"/>
    <x v="881"/>
    <n v="150"/>
    <n v="0.15"/>
    <x v="1"/>
    <n v="0.3"/>
    <n v="0.7"/>
    <n v="0.16"/>
    <n v="1.9177416"/>
    <n v="6.7400000000000002E-2"/>
    <n v="1.884980181"/>
    <n v="3.8027217809999998"/>
    <n v="158"/>
    <x v="8"/>
    <x v="1"/>
    <n v="266.35300000000001"/>
  </r>
  <r>
    <x v="250"/>
    <x v="4"/>
    <x v="1"/>
    <s v="mai2022"/>
    <x v="882"/>
    <n v="56"/>
    <n v="5.6000000000000001E-2"/>
    <x v="2"/>
    <n v="0.3"/>
    <n v="0.7"/>
    <n v="0.16"/>
    <n v="0.75451622400000007"/>
    <n v="6.7400000000000002E-2"/>
    <n v="0.74162657184000003"/>
    <n v="1.49614279584"/>
    <n v="160"/>
    <x v="3"/>
    <x v="17"/>
    <n v="280.69799999999998"/>
  </r>
  <r>
    <x v="250"/>
    <x v="4"/>
    <x v="1"/>
    <s v="mai2022"/>
    <x v="883"/>
    <n v="56"/>
    <n v="5.6000000000000001E-2"/>
    <x v="2"/>
    <n v="0.3"/>
    <n v="0.7"/>
    <n v="0.16"/>
    <n v="1.9219415040000003"/>
    <n v="6.7400000000000002E-2"/>
    <n v="1.8891083366400003"/>
    <n v="3.8110498406400009"/>
    <n v="173"/>
    <x v="3"/>
    <x v="70"/>
    <n v="715.00800000000004"/>
  </r>
  <r>
    <x v="250"/>
    <x v="4"/>
    <x v="1"/>
    <s v="mai2022"/>
    <x v="884"/>
    <n v="300"/>
    <n v="0.3"/>
    <x v="1"/>
    <n v="0.3"/>
    <n v="0.7"/>
    <n v="0.16"/>
    <n v="7.7429951999999993"/>
    <n v="6.7400000000000002E-2"/>
    <n v="7.6107190319999996"/>
    <n v="15.353714231999998"/>
    <n v="195"/>
    <x v="27"/>
    <x v="1"/>
    <n v="537.70799999999997"/>
  </r>
  <r>
    <x v="250"/>
    <x v="4"/>
    <x v="1"/>
    <s v="mai2022"/>
    <x v="885"/>
    <n v="150"/>
    <n v="0.15"/>
    <x v="1"/>
    <n v="0.3"/>
    <n v="0.7"/>
    <n v="0.16"/>
    <n v="1.8020015999999999"/>
    <n v="6.7400000000000002E-2"/>
    <n v="1.7712174059999999"/>
    <n v="3.5732190059999995"/>
    <n v="235"/>
    <x v="10"/>
    <x v="1"/>
    <n v="250.27799999999999"/>
  </r>
  <r>
    <x v="250"/>
    <x v="4"/>
    <x v="1"/>
    <s v="mai2022"/>
    <x v="886"/>
    <n v="300"/>
    <n v="0.3"/>
    <x v="2"/>
    <n v="0.3"/>
    <n v="0.7"/>
    <n v="0.16"/>
    <n v="7.7979743999999993"/>
    <n v="6.7400000000000002E-2"/>
    <n v="7.6647590039999995"/>
    <n v="15.462733403999998"/>
    <n v="239"/>
    <x v="4"/>
    <x v="1"/>
    <n v="541.52599999999995"/>
  </r>
  <r>
    <x v="251"/>
    <x v="4"/>
    <x v="1"/>
    <s v="mai2022"/>
    <x v="887"/>
    <n v="150"/>
    <n v="0.15"/>
    <x v="3"/>
    <n v="1"/>
    <n v="0"/>
    <n v="0.24099999999999999"/>
    <n v="1.2287746499999999"/>
    <n v="0"/>
    <n v="0"/>
    <n v="1.2287746499999999"/>
    <n v="80"/>
    <x v="5"/>
    <x v="1"/>
    <n v="33.991"/>
  </r>
  <r>
    <x v="251"/>
    <x v="4"/>
    <x v="1"/>
    <s v="mai2022"/>
    <x v="888"/>
    <n v="56"/>
    <n v="5.6000000000000001E-2"/>
    <x v="2"/>
    <n v="0.3"/>
    <n v="0.7"/>
    <n v="0.16"/>
    <n v="0.75451622400000007"/>
    <n v="6.7400000000000002E-2"/>
    <n v="0.74162657184000003"/>
    <n v="1.49614279584"/>
    <n v="109"/>
    <x v="3"/>
    <x v="17"/>
    <n v="280.69799999999998"/>
  </r>
  <r>
    <x v="251"/>
    <x v="4"/>
    <x v="1"/>
    <s v="mai2022"/>
    <x v="889"/>
    <n v="450"/>
    <n v="0.45"/>
    <x v="3"/>
    <n v="1"/>
    <n v="0"/>
    <n v="0.24099999999999999"/>
    <n v="3.6966266999999999"/>
    <n v="0"/>
    <n v="0"/>
    <n v="3.6966266999999999"/>
    <n v="125"/>
    <x v="3"/>
    <x v="27"/>
    <n v="34.085999999999999"/>
  </r>
  <r>
    <x v="251"/>
    <x v="4"/>
    <x v="1"/>
    <s v="mai2022"/>
    <x v="890"/>
    <n v="56"/>
    <n v="5.6000000000000001E-2"/>
    <x v="2"/>
    <n v="0.3"/>
    <n v="0.7"/>
    <n v="0.16"/>
    <n v="1.0226630400000001"/>
    <n v="6.7400000000000002E-2"/>
    <n v="1.0051925464"/>
    <n v="2.0278555864000003"/>
    <n v="130"/>
    <x v="3"/>
    <x v="20"/>
    <n v="380.45499999999998"/>
  </r>
  <r>
    <x v="251"/>
    <x v="4"/>
    <x v="1"/>
    <s v="mai2022"/>
    <x v="891"/>
    <n v="150"/>
    <n v="0.15"/>
    <x v="2"/>
    <n v="0.3"/>
    <n v="0.7"/>
    <n v="0.16"/>
    <n v="2.7084023999999998"/>
    <n v="6.7400000000000002E-2"/>
    <n v="2.6621338589999999"/>
    <n v="5.3705362589999996"/>
    <n v="140"/>
    <x v="35"/>
    <x v="1"/>
    <n v="376.16699999999997"/>
  </r>
  <r>
    <x v="251"/>
    <x v="4"/>
    <x v="1"/>
    <s v="mai2022"/>
    <x v="892"/>
    <n v="56"/>
    <n v="5.6000000000000001E-2"/>
    <x v="2"/>
    <n v="0.3"/>
    <n v="0.7"/>
    <n v="0.16"/>
    <n v="1.9219415040000003"/>
    <n v="6.7400000000000002E-2"/>
    <n v="1.8891083366400003"/>
    <n v="3.8110498406400009"/>
    <n v="173"/>
    <x v="3"/>
    <x v="70"/>
    <n v="715.00800000000004"/>
  </r>
  <r>
    <x v="251"/>
    <x v="4"/>
    <x v="1"/>
    <s v="mai2022"/>
    <x v="893"/>
    <n v="300"/>
    <n v="0.3"/>
    <x v="1"/>
    <n v="0.3"/>
    <n v="0.7"/>
    <n v="0.16"/>
    <n v="4.0103568000000003"/>
    <n v="6.7400000000000002E-2"/>
    <n v="3.9418465380000001"/>
    <n v="7.9522033380000003"/>
    <n v="200"/>
    <x v="11"/>
    <x v="1"/>
    <n v="278.49700000000001"/>
  </r>
  <r>
    <x v="251"/>
    <x v="4"/>
    <x v="1"/>
    <s v="mai2022"/>
    <x v="894"/>
    <n v="150"/>
    <n v="0.15"/>
    <x v="2"/>
    <n v="0.3"/>
    <n v="0.7"/>
    <n v="0.16"/>
    <n v="1.8579095999999999"/>
    <n v="6.7400000000000002E-2"/>
    <n v="1.826170311"/>
    <n v="3.684079911"/>
    <n v="200"/>
    <x v="14"/>
    <x v="1"/>
    <n v="258.04300000000001"/>
  </r>
  <r>
    <x v="251"/>
    <x v="4"/>
    <x v="1"/>
    <s v="mai2022"/>
    <x v="895"/>
    <n v="56"/>
    <n v="5.6000000000000001E-2"/>
    <x v="2"/>
    <n v="0.3"/>
    <n v="0.7"/>
    <n v="0.16"/>
    <n v="2.0934681600000005"/>
    <n v="6.7400000000000002E-2"/>
    <n v="2.0577047456000002"/>
    <n v="4.1511729056000011"/>
    <n v="200"/>
    <x v="3"/>
    <x v="81"/>
    <n v="778.82"/>
  </r>
  <r>
    <x v="251"/>
    <x v="4"/>
    <x v="1"/>
    <s v="mai2022"/>
    <x v="896"/>
    <n v="293"/>
    <n v="0.29299999999999998"/>
    <x v="2"/>
    <n v="0.3"/>
    <n v="0.7"/>
    <n v="0.16"/>
    <n v="2.6522313120000001"/>
    <n v="6.7400000000000002E-2"/>
    <n v="2.60692236042"/>
    <n v="5.2591536724200001"/>
    <n v="200"/>
    <x v="3"/>
    <x v="68"/>
    <n v="188.583"/>
  </r>
  <r>
    <x v="251"/>
    <x v="4"/>
    <x v="1"/>
    <s v="mai2022"/>
    <x v="897"/>
    <n v="100"/>
    <n v="0.1"/>
    <x v="2"/>
    <n v="0.3"/>
    <n v="0.7"/>
    <n v="0.16"/>
    <n v="1.2775968000000002"/>
    <n v="6.7400000000000002E-2"/>
    <n v="1.255771188"/>
    <n v="2.5333679880000002"/>
    <n v="215"/>
    <x v="3"/>
    <x v="0"/>
    <n v="266.166"/>
  </r>
  <r>
    <x v="251"/>
    <x v="4"/>
    <x v="1"/>
    <s v="mai2022"/>
    <x v="898"/>
    <n v="300"/>
    <n v="0.3"/>
    <x v="2"/>
    <n v="0.3"/>
    <n v="0.7"/>
    <n v="0.16"/>
    <n v="10.2526128"/>
    <n v="6.7400000000000002E-2"/>
    <n v="10.077463997999999"/>
    <n v="20.330076798"/>
    <n v="260"/>
    <x v="32"/>
    <x v="1"/>
    <n v="711.98699999999997"/>
  </r>
  <r>
    <x v="251"/>
    <x v="4"/>
    <x v="1"/>
    <s v="mai2022"/>
    <x v="899"/>
    <n v="293"/>
    <n v="0.29299999999999998"/>
    <x v="2"/>
    <n v="0.3"/>
    <n v="0.7"/>
    <n v="0.16"/>
    <n v="7.5806928960000004"/>
    <n v="6.7400000000000002E-2"/>
    <n v="7.4511893923599999"/>
    <n v="15.03188228836"/>
    <n v="260"/>
    <x v="3"/>
    <x v="59"/>
    <n v="539.01400000000001"/>
  </r>
  <r>
    <x v="251"/>
    <x v="4"/>
    <x v="1"/>
    <s v="mai2022"/>
    <x v="900"/>
    <n v="224"/>
    <n v="0.224"/>
    <x v="2"/>
    <n v="0.3"/>
    <n v="0.7"/>
    <n v="0.16"/>
    <n v="5.8187673599999998"/>
    <n v="6.7400000000000002E-2"/>
    <n v="5.7193634176000003"/>
    <n v="11.538130777599999"/>
    <n v="325"/>
    <x v="3"/>
    <x v="8"/>
    <n v="541.17999999999995"/>
  </r>
  <r>
    <x v="252"/>
    <x v="4"/>
    <x v="1"/>
    <s v="mai2022"/>
    <x v="901"/>
    <n v="150"/>
    <n v="0.15"/>
    <x v="3"/>
    <n v="1"/>
    <n v="0"/>
    <n v="0.24099999999999999"/>
    <n v="1.2287746499999999"/>
    <n v="0"/>
    <n v="0"/>
    <n v="1.2287746499999999"/>
    <n v="80"/>
    <x v="5"/>
    <x v="1"/>
    <n v="33.991"/>
  </r>
  <r>
    <x v="252"/>
    <x v="4"/>
    <x v="1"/>
    <s v="mai2022"/>
    <x v="902"/>
    <n v="106"/>
    <n v="0.106"/>
    <x v="2"/>
    <n v="0.3"/>
    <n v="0.7"/>
    <n v="0.16"/>
    <n v="1.4236173119999997"/>
    <n v="6.7400000000000002E-2"/>
    <n v="1.3992971829199998"/>
    <n v="2.8229144949199996"/>
    <n v="120"/>
    <x v="3"/>
    <x v="10"/>
    <n v="279.79899999999998"/>
  </r>
  <r>
    <x v="252"/>
    <x v="4"/>
    <x v="1"/>
    <s v="mai2022"/>
    <x v="903"/>
    <n v="106"/>
    <n v="0.106"/>
    <x v="2"/>
    <n v="0.3"/>
    <n v="0.7"/>
    <n v="0.16"/>
    <n v="2.2702198079999998"/>
    <n v="6.7400000000000002E-2"/>
    <n v="2.2314368862799996"/>
    <n v="4.5016566942799994"/>
    <n v="130"/>
    <x v="3"/>
    <x v="67"/>
    <n v="446.19099999999997"/>
  </r>
  <r>
    <x v="252"/>
    <x v="4"/>
    <x v="1"/>
    <s v="mai2022"/>
    <x v="904"/>
    <n v="140"/>
    <n v="0.14000000000000001"/>
    <x v="2"/>
    <n v="0.3"/>
    <n v="0.7"/>
    <n v="0.16"/>
    <n v="2.9920934400000005"/>
    <n v="6.7400000000000002E-2"/>
    <n v="2.9409785104000004"/>
    <n v="5.9330719504000005"/>
    <n v="145"/>
    <x v="3"/>
    <x v="78"/>
    <n v="445.25200000000001"/>
  </r>
  <r>
    <x v="252"/>
    <x v="4"/>
    <x v="1"/>
    <s v="mai2022"/>
    <x v="905"/>
    <n v="150"/>
    <n v="0.15"/>
    <x v="1"/>
    <n v="0.3"/>
    <n v="0.7"/>
    <n v="0.16"/>
    <n v="1.8302616"/>
    <n v="6.7400000000000002E-2"/>
    <n v="1.798994631"/>
    <n v="3.6292562310000003"/>
    <n v="158"/>
    <x v="36"/>
    <x v="1"/>
    <n v="254.203"/>
  </r>
  <r>
    <x v="252"/>
    <x v="4"/>
    <x v="1"/>
    <s v="mai2022"/>
    <x v="906"/>
    <n v="318"/>
    <n v="0.318"/>
    <x v="2"/>
    <n v="0.3"/>
    <n v="0.7"/>
    <n v="0.16"/>
    <n v="4.0627578240000002"/>
    <n v="6.7400000000000002E-2"/>
    <n v="3.99335237784"/>
    <n v="8.0561102018399993"/>
    <n v="220"/>
    <x v="3"/>
    <x v="0"/>
    <n v="266.166"/>
  </r>
  <r>
    <x v="252"/>
    <x v="4"/>
    <x v="1"/>
    <s v="mai2022"/>
    <x v="907"/>
    <n v="318"/>
    <n v="0.318"/>
    <x v="2"/>
    <n v="0.3"/>
    <n v="0.7"/>
    <n v="0.16"/>
    <n v="3.7976374079999999"/>
    <n v="6.7400000000000002E-2"/>
    <n v="3.7327611022799996"/>
    <n v="7.5303985102799995"/>
    <n v="234"/>
    <x v="3"/>
    <x v="19"/>
    <n v="248.797"/>
  </r>
  <r>
    <x v="252"/>
    <x v="4"/>
    <x v="1"/>
    <s v="mai2022"/>
    <x v="908"/>
    <n v="300"/>
    <n v="0.3"/>
    <x v="2"/>
    <n v="0.3"/>
    <n v="0.7"/>
    <n v="0.16"/>
    <n v="5.4804383999999997"/>
    <n v="6.7400000000000002E-2"/>
    <n v="5.386814244"/>
    <n v="10.867252644000001"/>
    <n v="240"/>
    <x v="12"/>
    <x v="1"/>
    <n v="380.58600000000001"/>
  </r>
  <r>
    <x v="252"/>
    <x v="4"/>
    <x v="1"/>
    <s v="mai2022"/>
    <x v="909"/>
    <n v="450"/>
    <n v="0.45"/>
    <x v="1"/>
    <n v="0.3"/>
    <n v="0.7"/>
    <n v="0.16"/>
    <n v="11.155838400000002"/>
    <n v="6.7400000000000002E-2"/>
    <n v="10.965259494000001"/>
    <n v="22.121097894000002"/>
    <n v="320"/>
    <x v="0"/>
    <x v="1"/>
    <n v="516.47400000000005"/>
  </r>
  <r>
    <x v="253"/>
    <x v="4"/>
    <x v="1"/>
    <s v="mai2022"/>
    <x v="910"/>
    <n v="140"/>
    <n v="0.14000000000000001"/>
    <x v="3"/>
    <n v="1"/>
    <n v="0"/>
    <n v="0.24099999999999999"/>
    <n v="1.1500616399999999"/>
    <n v="0"/>
    <n v="0"/>
    <n v="1.1500616399999999"/>
    <n v="80"/>
    <x v="3"/>
    <x v="27"/>
    <n v="34.085999999999999"/>
  </r>
  <r>
    <x v="253"/>
    <x v="4"/>
    <x v="1"/>
    <s v="mai2022"/>
    <x v="911"/>
    <n v="750"/>
    <n v="0.75"/>
    <x v="1"/>
    <n v="0.3"/>
    <n v="0.7"/>
    <n v="0.16"/>
    <n v="1.8809640000000003"/>
    <n v="6.7400000000000002E-2"/>
    <n v="1.848830865"/>
    <n v="3.7297948650000006"/>
    <n v="150"/>
    <x v="20"/>
    <x v="1"/>
    <n v="52.249000000000002"/>
  </r>
  <r>
    <x v="253"/>
    <x v="4"/>
    <x v="1"/>
    <s v="mai2022"/>
    <x v="912"/>
    <n v="227"/>
    <n v="0.22700000000000001"/>
    <x v="2"/>
    <n v="0.3"/>
    <n v="0.7"/>
    <n v="0.16"/>
    <n v="9.124452048000002"/>
    <n v="6.7400000000000002E-2"/>
    <n v="8.9685759921799999"/>
    <n v="18.093028040180002"/>
    <n v="180"/>
    <x v="3"/>
    <x v="5"/>
    <n v="837.41300000000001"/>
  </r>
  <r>
    <x v="253"/>
    <x v="4"/>
    <x v="1"/>
    <s v="mai2022"/>
    <x v="913"/>
    <n v="318"/>
    <n v="0.318"/>
    <x v="2"/>
    <n v="0.3"/>
    <n v="0.7"/>
    <n v="0.16"/>
    <n v="2.6520589440000002"/>
    <n v="6.7400000000000002E-2"/>
    <n v="2.60675293704"/>
    <n v="5.2588118810399997"/>
    <n v="250"/>
    <x v="3"/>
    <x v="62"/>
    <n v="173.74600000000001"/>
  </r>
  <r>
    <x v="253"/>
    <x v="4"/>
    <x v="1"/>
    <s v="mai2022"/>
    <x v="914"/>
    <n v="500"/>
    <n v="0.5"/>
    <x v="2"/>
    <n v="0.3"/>
    <n v="0.7"/>
    <n v="0.16"/>
    <n v="8.6427840000000007"/>
    <n v="6.7400000000000002E-2"/>
    <n v="8.4951364399999996"/>
    <n v="17.137920440000002"/>
    <n v="365"/>
    <x v="3"/>
    <x v="86"/>
    <n v="360.11599999999999"/>
  </r>
  <r>
    <x v="254"/>
    <x v="4"/>
    <x v="1"/>
    <s v="mai2022"/>
    <x v="915"/>
    <n v="150"/>
    <n v="0.15"/>
    <x v="1"/>
    <n v="0.3"/>
    <n v="0.7"/>
    <n v="0.16"/>
    <n v="1.3450607999999999"/>
    <n v="6.7400000000000002E-2"/>
    <n v="1.3220826779999999"/>
    <n v="2.6671434779999998"/>
    <n v="140"/>
    <x v="29"/>
    <x v="1"/>
    <n v="186.81399999999999"/>
  </r>
  <r>
    <x v="254"/>
    <x v="4"/>
    <x v="1"/>
    <s v="mai2022"/>
    <x v="916"/>
    <n v="150"/>
    <n v="0.15"/>
    <x v="1"/>
    <n v="0.3"/>
    <n v="0.7"/>
    <n v="0.16"/>
    <n v="2.0026439999999996"/>
    <n v="6.7400000000000002E-2"/>
    <n v="1.9684321649999998"/>
    <n v="3.9710761649999995"/>
    <n v="158"/>
    <x v="7"/>
    <x v="1"/>
    <n v="278.14499999999998"/>
  </r>
  <r>
    <x v="254"/>
    <x v="4"/>
    <x v="1"/>
    <s v="mai2022"/>
    <x v="917"/>
    <n v="450"/>
    <n v="0.45"/>
    <x v="1"/>
    <n v="0.3"/>
    <n v="0.7"/>
    <n v="0.16"/>
    <n v="1.0071432"/>
    <n v="6.7400000000000002E-2"/>
    <n v="0.98993783700000004"/>
    <n v="1.9970810370000001"/>
    <n v="160"/>
    <x v="3"/>
    <x v="60"/>
    <n v="46.627000000000002"/>
  </r>
  <r>
    <x v="255"/>
    <x v="4"/>
    <x v="1"/>
    <s v="mai2022"/>
    <x v="918"/>
    <n v="104"/>
    <n v="0.104"/>
    <x v="1"/>
    <n v="0.3"/>
    <n v="0.7"/>
    <n v="0.16"/>
    <n v="0.27647692800000001"/>
    <n v="6.7400000000000002E-2"/>
    <n v="0.27175378047999998"/>
    <n v="0.54823070848"/>
    <n v="80"/>
    <x v="3"/>
    <x v="83"/>
    <n v="55.384"/>
  </r>
  <r>
    <x v="255"/>
    <x v="4"/>
    <x v="1"/>
    <s v="mai2022"/>
    <x v="919"/>
    <n v="139"/>
    <n v="0.13900000000000001"/>
    <x v="3"/>
    <n v="1"/>
    <n v="0"/>
    <n v="0.24099999999999999"/>
    <n v="1.141846914"/>
    <n v="0"/>
    <n v="0"/>
    <n v="1.141846914"/>
    <n v="80"/>
    <x v="3"/>
    <x v="27"/>
    <n v="34.085999999999999"/>
  </r>
  <r>
    <x v="255"/>
    <x v="4"/>
    <x v="1"/>
    <s v="mai2022"/>
    <x v="920"/>
    <n v="56"/>
    <n v="5.6000000000000001E-2"/>
    <x v="2"/>
    <n v="0.3"/>
    <n v="0.7"/>
    <n v="0.16"/>
    <n v="1.4488696320000001"/>
    <n v="6.7400000000000002E-2"/>
    <n v="1.4241181091200001"/>
    <n v="2.8729877411200002"/>
    <n v="133"/>
    <x v="3"/>
    <x v="59"/>
    <n v="539.01400000000001"/>
  </r>
  <r>
    <x v="255"/>
    <x v="4"/>
    <x v="1"/>
    <s v="mai2022"/>
    <x v="921"/>
    <n v="139"/>
    <n v="0.13900000000000001"/>
    <x v="2"/>
    <n v="0.3"/>
    <n v="0.7"/>
    <n v="0.16"/>
    <n v="2.9707213440000007"/>
    <n v="6.7400000000000002E-2"/>
    <n v="2.9199715210400004"/>
    <n v="5.890692865040001"/>
    <n v="145"/>
    <x v="3"/>
    <x v="78"/>
    <n v="445.25200000000001"/>
  </r>
  <r>
    <x v="255"/>
    <x v="4"/>
    <x v="1"/>
    <s v="mai2022"/>
    <x v="922"/>
    <n v="150"/>
    <n v="0.15"/>
    <x v="1"/>
    <n v="0.3"/>
    <n v="0.7"/>
    <n v="0.16"/>
    <n v="1.8138168000000001"/>
    <n v="6.7400000000000002E-2"/>
    <n v="1.782830763"/>
    <n v="3.5966475630000003"/>
    <n v="158"/>
    <x v="13"/>
    <x v="1"/>
    <n v="251.91900000000001"/>
  </r>
  <r>
    <x v="255"/>
    <x v="4"/>
    <x v="1"/>
    <s v="mai2022"/>
    <x v="923"/>
    <n v="300"/>
    <n v="0.3"/>
    <x v="1"/>
    <n v="0.3"/>
    <n v="0.7"/>
    <n v="0.16"/>
    <n v="7.7429951999999993"/>
    <n v="6.7400000000000002E-2"/>
    <n v="7.6107190319999996"/>
    <n v="15.353714231999998"/>
    <n v="195"/>
    <x v="27"/>
    <x v="1"/>
    <n v="537.70799999999997"/>
  </r>
  <r>
    <x v="255"/>
    <x v="4"/>
    <x v="1"/>
    <s v="mai2022"/>
    <x v="924"/>
    <n v="150"/>
    <n v="0.15"/>
    <x v="2"/>
    <n v="0.3"/>
    <n v="0.7"/>
    <n v="0.16"/>
    <n v="3.8989871999999997"/>
    <n v="6.7400000000000002E-2"/>
    <n v="3.8323795019999998"/>
    <n v="7.731366701999999"/>
    <n v="239"/>
    <x v="4"/>
    <x v="1"/>
    <n v="541.52599999999995"/>
  </r>
  <r>
    <x v="255"/>
    <x v="4"/>
    <x v="1"/>
    <s v="mai2022"/>
    <x v="925"/>
    <n v="450"/>
    <n v="0.45"/>
    <x v="1"/>
    <n v="0.3"/>
    <n v="0.7"/>
    <n v="0.16"/>
    <n v="5.4060047999999998"/>
    <n v="6.7400000000000002E-2"/>
    <n v="5.3136522179999996"/>
    <n v="10.719657017999999"/>
    <n v="245"/>
    <x v="10"/>
    <x v="1"/>
    <n v="250.27799999999999"/>
  </r>
  <r>
    <x v="255"/>
    <x v="4"/>
    <x v="1"/>
    <s v="mai2022"/>
    <x v="926"/>
    <n v="450"/>
    <n v="0.45"/>
    <x v="2"/>
    <n v="0.3"/>
    <n v="0.7"/>
    <n v="0.16"/>
    <n v="5.5492775999999999"/>
    <n v="6.7400000000000002E-2"/>
    <n v="5.4544774409999999"/>
    <n v="11.003755041"/>
    <n v="270"/>
    <x v="3"/>
    <x v="4"/>
    <n v="256.911"/>
  </r>
  <r>
    <x v="255"/>
    <x v="4"/>
    <x v="1"/>
    <s v="mai2022"/>
    <x v="927"/>
    <n v="450"/>
    <n v="0.45"/>
    <x v="2"/>
    <n v="0.3"/>
    <n v="0.7"/>
    <n v="0.16"/>
    <n v="9.9037512000000003"/>
    <n v="6.7400000000000002E-2"/>
    <n v="9.7345621169999994"/>
    <n v="19.638313316999998"/>
    <n v="280"/>
    <x v="3"/>
    <x v="61"/>
    <n v="458.50700000000001"/>
  </r>
  <r>
    <x v="256"/>
    <x v="4"/>
    <x v="1"/>
    <s v="mai2022"/>
    <x v="928"/>
    <n v="104"/>
    <n v="0.104"/>
    <x v="2"/>
    <n v="0.3"/>
    <n v="0.7"/>
    <n v="0.16"/>
    <n v="1.2508903680000001"/>
    <n v="6.7400000000000002E-2"/>
    <n v="1.22952099088"/>
    <n v="2.4804113588800001"/>
    <n v="100"/>
    <x v="3"/>
    <x v="16"/>
    <n v="250.57900000000001"/>
  </r>
  <r>
    <x v="256"/>
    <x v="4"/>
    <x v="1"/>
    <s v="mai2022"/>
    <x v="929"/>
    <n v="174"/>
    <n v="0.17399999999999999"/>
    <x v="2"/>
    <n v="0.3"/>
    <n v="0.7"/>
    <n v="0.16"/>
    <n v="2.2178318400000001"/>
    <n v="6.7400000000000002E-2"/>
    <n v="2.1799438794000001"/>
    <n v="4.3977757194000002"/>
    <n v="100"/>
    <x v="3"/>
    <x v="11"/>
    <n v="265.54500000000002"/>
  </r>
  <r>
    <x v="256"/>
    <x v="4"/>
    <x v="1"/>
    <s v="mai2022"/>
    <x v="930"/>
    <n v="150"/>
    <n v="0.15"/>
    <x v="2"/>
    <n v="0.3"/>
    <n v="0.7"/>
    <n v="0.16"/>
    <n v="4.1551992000000002"/>
    <n v="6.7400000000000002E-2"/>
    <n v="4.0842145470000002"/>
    <n v="8.2394137470000004"/>
    <n v="195"/>
    <x v="37"/>
    <x v="1"/>
    <n v="577.11099999999999"/>
  </r>
  <r>
    <x v="256"/>
    <x v="4"/>
    <x v="1"/>
    <s v="mai2022"/>
    <x v="931"/>
    <n v="300"/>
    <n v="0.3"/>
    <x v="2"/>
    <n v="0.3"/>
    <n v="0.7"/>
    <n v="0.16"/>
    <n v="2.4943679999999997"/>
    <n v="6.7400000000000002E-2"/>
    <n v="2.4517558799999999"/>
    <n v="4.94612388"/>
    <n v="200"/>
    <x v="30"/>
    <x v="1"/>
    <n v="173.22"/>
  </r>
  <r>
    <x v="256"/>
    <x v="4"/>
    <x v="1"/>
    <s v="mai2022"/>
    <x v="932"/>
    <n v="400"/>
    <n v="0.4"/>
    <x v="1"/>
    <n v="0.3"/>
    <n v="0.7"/>
    <n v="0.16"/>
    <n v="5.347142400000001"/>
    <n v="6.7400000000000002E-2"/>
    <n v="5.2557953839999998"/>
    <n v="10.602937784000002"/>
    <n v="200"/>
    <x v="11"/>
    <x v="1"/>
    <n v="278.49700000000001"/>
  </r>
  <r>
    <x v="256"/>
    <x v="4"/>
    <x v="1"/>
    <s v="mai2022"/>
    <x v="933"/>
    <n v="522"/>
    <n v="0.52200000000000002"/>
    <x v="1"/>
    <n v="0.3"/>
    <n v="0.7"/>
    <n v="0.16"/>
    <n v="1.1682861120000001"/>
    <n v="6.7400000000000002E-2"/>
    <n v="1.1483278909200001"/>
    <n v="2.3166140029200002"/>
    <n v="202.5"/>
    <x v="3"/>
    <x v="60"/>
    <n v="46.627000000000002"/>
  </r>
  <r>
    <x v="256"/>
    <x v="4"/>
    <x v="1"/>
    <s v="mai2022"/>
    <x v="934"/>
    <n v="300"/>
    <n v="0.3"/>
    <x v="2"/>
    <n v="0.3"/>
    <n v="0.7"/>
    <n v="0.16"/>
    <n v="10.657411199999999"/>
    <n v="6.7400000000000002E-2"/>
    <n v="10.475347092"/>
    <n v="21.132758291999998"/>
    <n v="235"/>
    <x v="23"/>
    <x v="1"/>
    <n v="740.09799999999996"/>
  </r>
  <r>
    <x v="256"/>
    <x v="4"/>
    <x v="1"/>
    <s v="mai2022"/>
    <x v="935"/>
    <n v="345"/>
    <n v="0.34499999999999997"/>
    <x v="2"/>
    <n v="0.3"/>
    <n v="0.7"/>
    <n v="0.16"/>
    <n v="12.2617692"/>
    <n v="6.7400000000000002E-2"/>
    <n v="12.0522973095"/>
    <n v="24.314066509500002"/>
    <n v="585"/>
    <x v="3"/>
    <x v="3"/>
    <n v="740.44500000000005"/>
  </r>
  <r>
    <x v="257"/>
    <x v="4"/>
    <x v="1"/>
    <s v="mai2022"/>
    <x v="936"/>
    <n v="300"/>
    <n v="0.3"/>
    <x v="3"/>
    <n v="1"/>
    <n v="0"/>
    <n v="0.24099999999999999"/>
    <n v="2.4575492999999997"/>
    <n v="0"/>
    <n v="0"/>
    <n v="2.4575492999999997"/>
    <n v="100"/>
    <x v="5"/>
    <x v="1"/>
    <n v="33.991"/>
  </r>
  <r>
    <x v="257"/>
    <x v="4"/>
    <x v="1"/>
    <s v="mai2022"/>
    <x v="937"/>
    <n v="150"/>
    <n v="0.15"/>
    <x v="2"/>
    <n v="0.3"/>
    <n v="0.7"/>
    <n v="0.16"/>
    <n v="2.7402191999999999"/>
    <n v="6.7400000000000002E-2"/>
    <n v="2.693407122"/>
    <n v="5.4336263220000003"/>
    <n v="300"/>
    <x v="12"/>
    <x v="1"/>
    <n v="380.58600000000001"/>
  </r>
  <r>
    <x v="257"/>
    <x v="4"/>
    <x v="1"/>
    <s v="mai2022"/>
    <x v="938"/>
    <n v="450"/>
    <n v="0.45"/>
    <x v="1"/>
    <n v="0.3"/>
    <n v="0.7"/>
    <n v="0.16"/>
    <n v="11.155838400000002"/>
    <n v="6.7400000000000002E-2"/>
    <n v="10.965259494000001"/>
    <n v="22.121097894000002"/>
    <n v="390"/>
    <x v="0"/>
    <x v="1"/>
    <n v="516.47400000000005"/>
  </r>
  <r>
    <x v="258"/>
    <x v="4"/>
    <x v="1"/>
    <s v="mai2022"/>
    <x v="939"/>
    <n v="212"/>
    <n v="0.21199999999999999"/>
    <x v="2"/>
    <n v="0.3"/>
    <n v="0.7"/>
    <n v="0.16"/>
    <n v="8.5215146879999999"/>
    <n v="6.7400000000000002E-2"/>
    <n v="8.3759388120799994"/>
    <n v="16.897453500079997"/>
    <n v="210"/>
    <x v="3"/>
    <x v="5"/>
    <n v="837.41300000000001"/>
  </r>
  <r>
    <x v="258"/>
    <x v="4"/>
    <x v="1"/>
    <s v="mai2022"/>
    <x v="940"/>
    <n v="150"/>
    <n v="0.15"/>
    <x v="2"/>
    <n v="0.3"/>
    <n v="0.7"/>
    <n v="0.16"/>
    <n v="5.1263063999999998"/>
    <n v="6.7400000000000002E-2"/>
    <n v="5.0387319989999995"/>
    <n v="10.165038399"/>
    <n v="220"/>
    <x v="32"/>
    <x v="1"/>
    <n v="711.98699999999997"/>
  </r>
  <r>
    <x v="258"/>
    <x v="4"/>
    <x v="1"/>
    <s v="mai2022"/>
    <x v="941"/>
    <n v="100"/>
    <n v="0.1"/>
    <x v="2"/>
    <n v="0.3"/>
    <n v="0.7"/>
    <n v="0.16"/>
    <n v="2.1891216000000004"/>
    <n v="6.7400000000000002E-2"/>
    <n v="2.1517241060000001"/>
    <n v="4.3408457060000005"/>
    <n v="220"/>
    <x v="25"/>
    <x v="1"/>
    <n v="456.06700000000001"/>
  </r>
  <r>
    <x v="258"/>
    <x v="4"/>
    <x v="1"/>
    <s v="mai2022"/>
    <x v="942"/>
    <n v="212"/>
    <n v="0.21199999999999999"/>
    <x v="2"/>
    <n v="0.3"/>
    <n v="0.7"/>
    <n v="0.16"/>
    <n v="5.2487604479999996"/>
    <n v="6.7400000000000002E-2"/>
    <n v="5.1590941236800001"/>
    <n v="10.40785457168"/>
    <n v="225"/>
    <x v="3"/>
    <x v="2"/>
    <n v="515.798"/>
  </r>
  <r>
    <x v="258"/>
    <x v="4"/>
    <x v="1"/>
    <s v="mai2022"/>
    <x v="943"/>
    <n v="212"/>
    <n v="0.21199999999999999"/>
    <x v="2"/>
    <n v="0.3"/>
    <n v="0.7"/>
    <n v="0.16"/>
    <n v="3.6645404159999995"/>
    <n v="6.7400000000000002E-2"/>
    <n v="3.6019378505599997"/>
    <n v="7.2664782665599992"/>
    <n v="250"/>
    <x v="3"/>
    <x v="86"/>
    <n v="360.11599999999999"/>
  </r>
  <r>
    <x v="259"/>
    <x v="4"/>
    <x v="1"/>
    <s v="mai2022"/>
    <x v="944"/>
    <n v="189"/>
    <n v="0.189"/>
    <x v="2"/>
    <n v="0.3"/>
    <n v="0.7"/>
    <n v="0.16"/>
    <n v="2.2732526879999999"/>
    <n v="6.7400000000000002E-2"/>
    <n v="2.23441795458"/>
    <n v="4.5076706425799999"/>
    <n v="100"/>
    <x v="3"/>
    <x v="16"/>
    <n v="250.57900000000001"/>
  </r>
  <r>
    <x v="259"/>
    <x v="4"/>
    <x v="1"/>
    <s v="mai2022"/>
    <x v="945"/>
    <n v="150"/>
    <n v="0.15"/>
    <x v="2"/>
    <n v="0.3"/>
    <n v="0.7"/>
    <n v="0.16"/>
    <n v="3.8989871999999997"/>
    <n v="6.7400000000000002E-2"/>
    <n v="3.8323795019999998"/>
    <n v="7.731366701999999"/>
    <n v="156"/>
    <x v="4"/>
    <x v="1"/>
    <n v="541.52599999999995"/>
  </r>
  <r>
    <x v="259"/>
    <x v="4"/>
    <x v="1"/>
    <s v="mai2022"/>
    <x v="946"/>
    <n v="150"/>
    <n v="0.15"/>
    <x v="1"/>
    <n v="0.3"/>
    <n v="0.7"/>
    <n v="0.16"/>
    <n v="2.0026439999999996"/>
    <n v="6.7400000000000002E-2"/>
    <n v="1.9684321649999998"/>
    <n v="3.9710761649999995"/>
    <n v="158"/>
    <x v="7"/>
    <x v="1"/>
    <n v="278.14499999999998"/>
  </r>
  <r>
    <x v="259"/>
    <x v="4"/>
    <x v="1"/>
    <s v="mai2022"/>
    <x v="947"/>
    <n v="99"/>
    <n v="9.9000000000000005E-2"/>
    <x v="2"/>
    <n v="0.3"/>
    <n v="0.7"/>
    <n v="0.16"/>
    <n v="3.5185946400000003"/>
    <n v="6.7400000000000002E-2"/>
    <n v="3.4584853149000003"/>
    <n v="6.9770799549000007"/>
    <n v="159"/>
    <x v="3"/>
    <x v="3"/>
    <n v="740.44500000000005"/>
  </r>
  <r>
    <x v="259"/>
    <x v="4"/>
    <x v="1"/>
    <s v="mai2022"/>
    <x v="948"/>
    <n v="300"/>
    <n v="0.3"/>
    <x v="1"/>
    <n v="0.3"/>
    <n v="0.7"/>
    <n v="0.16"/>
    <n v="3.8354832000000001"/>
    <n v="6.7400000000000002E-2"/>
    <n v="3.769960362"/>
    <n v="7.6054435619999996"/>
    <n v="260"/>
    <x v="8"/>
    <x v="1"/>
    <n v="266.35300000000001"/>
  </r>
  <r>
    <x v="260"/>
    <x v="4"/>
    <x v="1"/>
    <s v="mai2022"/>
    <x v="949"/>
    <n v="106"/>
    <n v="0.106"/>
    <x v="2"/>
    <n v="0.3"/>
    <n v="0.7"/>
    <n v="0.16"/>
    <n v="0.88401964799999999"/>
    <n v="6.7400000000000002E-2"/>
    <n v="0.86891764567999996"/>
    <n v="1.7529372936800001"/>
    <n v="108"/>
    <x v="3"/>
    <x v="62"/>
    <n v="173.74600000000001"/>
  </r>
  <r>
    <x v="260"/>
    <x v="4"/>
    <x v="1"/>
    <s v="mai2022"/>
    <x v="950"/>
    <n v="106"/>
    <n v="0.106"/>
    <x v="2"/>
    <n v="0.3"/>
    <n v="0.7"/>
    <n v="0.16"/>
    <n v="2.7425032319999998"/>
    <n v="6.7400000000000002E-2"/>
    <n v="2.69565213512"/>
    <n v="5.4381553671200002"/>
    <n v="133"/>
    <x v="3"/>
    <x v="59"/>
    <n v="539.01400000000001"/>
  </r>
  <r>
    <x v="260"/>
    <x v="4"/>
    <x v="1"/>
    <s v="mai2022"/>
    <x v="951"/>
    <n v="378"/>
    <n v="0.378"/>
    <x v="2"/>
    <n v="0.3"/>
    <n v="0.7"/>
    <n v="0.16"/>
    <n v="3.4216499520000001"/>
    <n v="6.7400000000000002E-2"/>
    <n v="3.3631967653199997"/>
    <n v="6.7848467173199998"/>
    <n v="200"/>
    <x v="3"/>
    <x v="68"/>
    <n v="188.583"/>
  </r>
  <r>
    <x v="260"/>
    <x v="4"/>
    <x v="1"/>
    <s v="mai2022"/>
    <x v="952"/>
    <n v="150"/>
    <n v="0.15"/>
    <x v="2"/>
    <n v="0.3"/>
    <n v="0.7"/>
    <n v="0.16"/>
    <n v="1.2471839999999998"/>
    <n v="6.7400000000000002E-2"/>
    <n v="1.2258779399999999"/>
    <n v="2.47306194"/>
    <n v="200"/>
    <x v="30"/>
    <x v="1"/>
    <n v="173.22"/>
  </r>
  <r>
    <x v="260"/>
    <x v="4"/>
    <x v="1"/>
    <s v="mai2022"/>
    <x v="953"/>
    <n v="212"/>
    <n v="0.21199999999999999"/>
    <x v="2"/>
    <n v="0.3"/>
    <n v="0.7"/>
    <n v="0.16"/>
    <n v="8.5215146879999999"/>
    <n v="6.7400000000000002E-2"/>
    <n v="8.3759388120799994"/>
    <n v="16.897453500079997"/>
    <n v="210"/>
    <x v="3"/>
    <x v="5"/>
    <n v="837.41300000000001"/>
  </r>
  <r>
    <x v="260"/>
    <x v="4"/>
    <x v="1"/>
    <s v="mai2022"/>
    <x v="954"/>
    <n v="1000"/>
    <n v="1"/>
    <x v="2"/>
    <n v="0.3"/>
    <n v="0.7"/>
    <n v="0.16"/>
    <n v="12.386064000000001"/>
    <n v="6.7400000000000002E-2"/>
    <n v="12.17446874"/>
    <n v="24.560532739999999"/>
    <n v="300"/>
    <x v="14"/>
    <x v="1"/>
    <n v="258.04300000000001"/>
  </r>
  <r>
    <x v="260"/>
    <x v="4"/>
    <x v="1"/>
    <s v="mai2022"/>
    <x v="955"/>
    <n v="3498"/>
    <n v="3.4980000000000002"/>
    <x v="1"/>
    <n v="0.3"/>
    <n v="0.7"/>
    <n v="0.16"/>
    <n v="7.8288598080000016"/>
    <n v="6.7400000000000002E-2"/>
    <n v="7.6951167862800007"/>
    <n v="15.523976594280002"/>
    <n v="320"/>
    <x v="3"/>
    <x v="60"/>
    <n v="46.627000000000002"/>
  </r>
  <r>
    <x v="260"/>
    <x v="4"/>
    <x v="1"/>
    <s v="mai2022"/>
    <x v="956"/>
    <n v="556"/>
    <n v="0.55600000000000005"/>
    <x v="2"/>
    <n v="0.3"/>
    <n v="0.7"/>
    <n v="0.16"/>
    <n v="10.153583040000001"/>
    <n v="6.7400000000000002E-2"/>
    <n v="9.9801259964"/>
    <n v="20.133709036399999"/>
    <n v="390"/>
    <x v="3"/>
    <x v="20"/>
    <n v="380.45499999999998"/>
  </r>
  <r>
    <x v="261"/>
    <x v="4"/>
    <x v="1"/>
    <s v="mai2022"/>
    <x v="957"/>
    <n v="150"/>
    <n v="0.15"/>
    <x v="1"/>
    <n v="0.3"/>
    <n v="0.7"/>
    <n v="0.16"/>
    <n v="1.8302616"/>
    <n v="6.7400000000000002E-2"/>
    <n v="1.798994631"/>
    <n v="3.6292562310000003"/>
    <n v="158"/>
    <x v="36"/>
    <x v="1"/>
    <n v="254.203"/>
  </r>
  <r>
    <x v="261"/>
    <x v="4"/>
    <x v="1"/>
    <s v="mai2022"/>
    <x v="958"/>
    <n v="400"/>
    <n v="0.4"/>
    <x v="1"/>
    <n v="0.3"/>
    <n v="0.7"/>
    <n v="0.16"/>
    <n v="5.347142400000001"/>
    <n v="6.7400000000000002E-2"/>
    <n v="5.2557953839999998"/>
    <n v="10.602937784000002"/>
    <n v="158"/>
    <x v="11"/>
    <x v="1"/>
    <n v="278.49700000000001"/>
  </r>
  <r>
    <x v="261"/>
    <x v="4"/>
    <x v="1"/>
    <s v="mai2022"/>
    <x v="959"/>
    <n v="300"/>
    <n v="0.3"/>
    <x v="2"/>
    <n v="0.3"/>
    <n v="0.7"/>
    <n v="0.16"/>
    <n v="10.657411199999999"/>
    <n v="6.7400000000000002E-2"/>
    <n v="10.475347092"/>
    <n v="21.132758291999998"/>
    <n v="235"/>
    <x v="23"/>
    <x v="1"/>
    <n v="740.09799999999996"/>
  </r>
  <r>
    <x v="261"/>
    <x v="4"/>
    <x v="1"/>
    <s v="mai2022"/>
    <x v="960"/>
    <n v="300"/>
    <n v="0.3"/>
    <x v="2"/>
    <n v="0.3"/>
    <n v="0.7"/>
    <n v="0.16"/>
    <n v="5.4804383999999997"/>
    <n v="6.7400000000000002E-2"/>
    <n v="5.386814244"/>
    <n v="10.867252644000001"/>
    <n v="240"/>
    <x v="12"/>
    <x v="1"/>
    <n v="380.58600000000001"/>
  </r>
  <r>
    <x v="261"/>
    <x v="4"/>
    <x v="1"/>
    <s v="mai2022"/>
    <x v="961"/>
    <n v="1000"/>
    <n v="1"/>
    <x v="1"/>
    <n v="0.3"/>
    <n v="0.7"/>
    <n v="0.16"/>
    <n v="24.790752000000001"/>
    <n v="6.7400000000000002E-2"/>
    <n v="24.367243320000004"/>
    <n v="49.157995320000005"/>
    <n v="450"/>
    <x v="0"/>
    <x v="1"/>
    <n v="516.47400000000005"/>
  </r>
  <r>
    <x v="262"/>
    <x v="4"/>
    <x v="1"/>
    <s v="mai2022"/>
    <x v="962"/>
    <n v="300"/>
    <n v="0.3"/>
    <x v="3"/>
    <n v="1"/>
    <n v="0"/>
    <n v="0.24099999999999999"/>
    <n v="2.4575492999999997"/>
    <n v="0"/>
    <n v="0"/>
    <n v="2.4575492999999997"/>
    <n v="100"/>
    <x v="5"/>
    <x v="1"/>
    <n v="33.991"/>
  </r>
  <r>
    <x v="262"/>
    <x v="4"/>
    <x v="1"/>
    <s v="mai2022"/>
    <x v="963"/>
    <n v="203"/>
    <n v="0.20300000000000001"/>
    <x v="2"/>
    <n v="0.3"/>
    <n v="0.7"/>
    <n v="0.16"/>
    <n v="1.6308532800000002"/>
    <n v="6.7400000000000002E-2"/>
    <n v="1.6029928698000002"/>
    <n v="3.2338461498000006"/>
    <n v="108"/>
    <x v="3"/>
    <x v="37"/>
    <n v="167.37"/>
  </r>
  <r>
    <x v="262"/>
    <x v="4"/>
    <x v="1"/>
    <s v="mai2022"/>
    <x v="964"/>
    <n v="450"/>
    <n v="0.45"/>
    <x v="3"/>
    <n v="1"/>
    <n v="0"/>
    <n v="0.24099999999999999"/>
    <n v="3.6966266999999999"/>
    <n v="0"/>
    <n v="0"/>
    <n v="3.6966266999999999"/>
    <n v="125"/>
    <x v="3"/>
    <x v="27"/>
    <n v="34.085999999999999"/>
  </r>
  <r>
    <x v="262"/>
    <x v="4"/>
    <x v="1"/>
    <s v="mai2022"/>
    <x v="965"/>
    <n v="400"/>
    <n v="0.4"/>
    <x v="2"/>
    <n v="0.3"/>
    <n v="0.7"/>
    <n v="0.16"/>
    <n v="4.7769024"/>
    <n v="6.7400000000000002E-2"/>
    <n v="4.6952969839999996"/>
    <n v="9.4721993839999996"/>
    <n v="178"/>
    <x v="3"/>
    <x v="19"/>
    <n v="248.797"/>
  </r>
  <r>
    <x v="262"/>
    <x v="4"/>
    <x v="1"/>
    <s v="mai2022"/>
    <x v="966"/>
    <n v="300"/>
    <n v="0.3"/>
    <x v="1"/>
    <n v="0.3"/>
    <n v="0.7"/>
    <n v="0.16"/>
    <n v="7.7429951999999993"/>
    <n v="6.7400000000000002E-2"/>
    <n v="7.6107190319999996"/>
    <n v="15.353714231999998"/>
    <n v="195"/>
    <x v="27"/>
    <x v="1"/>
    <n v="537.70799999999997"/>
  </r>
  <r>
    <x v="262"/>
    <x v="4"/>
    <x v="1"/>
    <s v="mai2022"/>
    <x v="967"/>
    <n v="300"/>
    <n v="0.3"/>
    <x v="2"/>
    <n v="0.3"/>
    <n v="0.7"/>
    <n v="0.16"/>
    <n v="5.1763680000000001"/>
    <n v="6.7400000000000002E-2"/>
    <n v="5.0879383800000006"/>
    <n v="10.264306380000001"/>
    <n v="250"/>
    <x v="38"/>
    <x v="1"/>
    <n v="359.47"/>
  </r>
  <r>
    <x v="262"/>
    <x v="4"/>
    <x v="1"/>
    <s v="mai2022"/>
    <x v="968"/>
    <n v="318"/>
    <n v="0.318"/>
    <x v="2"/>
    <n v="0.3"/>
    <n v="0.7"/>
    <n v="0.16"/>
    <n v="2.6520589440000002"/>
    <n v="6.7400000000000002E-2"/>
    <n v="2.60675293704"/>
    <n v="5.2588118810399997"/>
    <n v="250"/>
    <x v="3"/>
    <x v="62"/>
    <n v="173.74600000000001"/>
  </r>
  <r>
    <x v="263"/>
    <x v="5"/>
    <x v="1"/>
    <s v="juin2022"/>
    <x v="969"/>
    <n v="106"/>
    <n v="0.106"/>
    <x v="2"/>
    <n v="0.3"/>
    <n v="0.7"/>
    <n v="0.16"/>
    <n v="1.2506202239999999"/>
    <n v="6.7400000000000002E-2"/>
    <n v="1.22925546184"/>
    <n v="2.4798756858399997"/>
    <n v="100"/>
    <x v="3"/>
    <x v="33"/>
    <n v="245.798"/>
  </r>
  <r>
    <x v="263"/>
    <x v="5"/>
    <x v="1"/>
    <s v="juin2022"/>
    <x v="970"/>
    <n v="168"/>
    <n v="0.16800000000000001"/>
    <x v="2"/>
    <n v="0.3"/>
    <n v="0.7"/>
    <n v="0.16"/>
    <n v="2.0062990080000001"/>
    <n v="6.7400000000000002E-2"/>
    <n v="1.9720247332800003"/>
    <n v="3.9783237412800005"/>
    <n v="100"/>
    <x v="3"/>
    <x v="19"/>
    <n v="248.797"/>
  </r>
  <r>
    <x v="263"/>
    <x v="5"/>
    <x v="1"/>
    <s v="juin2022"/>
    <x v="971"/>
    <n v="106"/>
    <n v="0.106"/>
    <x v="2"/>
    <n v="0.3"/>
    <n v="0.7"/>
    <n v="0.16"/>
    <n v="1.416173568"/>
    <n v="6.7400000000000002E-2"/>
    <n v="1.3919806028799999"/>
    <n v="2.80815417088"/>
    <n v="100"/>
    <x v="3"/>
    <x v="54"/>
    <n v="278.33600000000001"/>
  </r>
  <r>
    <x v="263"/>
    <x v="5"/>
    <x v="1"/>
    <s v="juin2022"/>
    <x v="972"/>
    <n v="106"/>
    <n v="0.106"/>
    <x v="2"/>
    <n v="0.3"/>
    <n v="0.7"/>
    <n v="0.16"/>
    <n v="1.4236173119999997"/>
    <n v="6.7400000000000002E-2"/>
    <n v="1.3992971829199998"/>
    <n v="2.8229144949199996"/>
    <n v="120"/>
    <x v="3"/>
    <x v="10"/>
    <n v="279.79899999999998"/>
  </r>
  <r>
    <x v="263"/>
    <x v="5"/>
    <x v="1"/>
    <s v="juin2022"/>
    <x v="973"/>
    <n v="150"/>
    <n v="0.15"/>
    <x v="1"/>
    <n v="0.3"/>
    <n v="0.7"/>
    <n v="0.16"/>
    <n v="2.0026439999999996"/>
    <n v="6.7400000000000002E-2"/>
    <n v="1.9684321649999998"/>
    <n v="3.9710761649999995"/>
    <n v="158"/>
    <x v="7"/>
    <x v="1"/>
    <n v="278.14499999999998"/>
  </r>
  <r>
    <x v="263"/>
    <x v="5"/>
    <x v="1"/>
    <s v="juin2022"/>
    <x v="974"/>
    <n v="150"/>
    <n v="0.15"/>
    <x v="1"/>
    <n v="0.3"/>
    <n v="0.7"/>
    <n v="0.16"/>
    <n v="1.8138168000000001"/>
    <n v="6.7400000000000002E-2"/>
    <n v="1.782830763"/>
    <n v="3.5966475630000003"/>
    <n v="158"/>
    <x v="13"/>
    <x v="1"/>
    <n v="251.91900000000001"/>
  </r>
  <r>
    <x v="263"/>
    <x v="5"/>
    <x v="1"/>
    <s v="juin2022"/>
    <x v="975"/>
    <n v="106"/>
    <n v="0.106"/>
    <x v="2"/>
    <n v="0.3"/>
    <n v="0.7"/>
    <n v="0.16"/>
    <n v="3.7043743679999999"/>
    <n v="6.7400000000000002E-2"/>
    <n v="3.6410913058799999"/>
    <n v="7.3454656738799997"/>
    <n v="159"/>
    <x v="3"/>
    <x v="72"/>
    <n v="728.06100000000004"/>
  </r>
  <r>
    <x v="263"/>
    <x v="5"/>
    <x v="1"/>
    <s v="juin2022"/>
    <x v="976"/>
    <n v="300"/>
    <n v="0.3"/>
    <x v="2"/>
    <n v="0.3"/>
    <n v="0.7"/>
    <n v="0.16"/>
    <n v="2.6901215999999999"/>
    <n v="6.7400000000000002E-2"/>
    <n v="2.6441653559999998"/>
    <n v="5.3342869559999997"/>
    <n v="220"/>
    <x v="29"/>
    <x v="1"/>
    <n v="186.81399999999999"/>
  </r>
  <r>
    <x v="263"/>
    <x v="5"/>
    <x v="1"/>
    <s v="juin2022"/>
    <x v="977"/>
    <n v="321"/>
    <n v="0.32100000000000001"/>
    <x v="2"/>
    <n v="0.3"/>
    <n v="0.7"/>
    <n v="0.16"/>
    <n v="8.3051277120000009"/>
    <n v="6.7400000000000002E-2"/>
    <n v="8.1632484469200008"/>
    <n v="16.468376158920002"/>
    <n v="260"/>
    <x v="3"/>
    <x v="59"/>
    <n v="539.01400000000001"/>
  </r>
  <r>
    <x v="263"/>
    <x v="5"/>
    <x v="1"/>
    <s v="juin2022"/>
    <x v="978"/>
    <n v="750"/>
    <n v="0.75"/>
    <x v="2"/>
    <n v="0.3"/>
    <n v="0.7"/>
    <n v="0.16"/>
    <n v="26.643528"/>
    <n v="6.7400000000000002E-2"/>
    <n v="26.18836773"/>
    <n v="52.831895729999999"/>
    <n v="551"/>
    <x v="23"/>
    <x v="1"/>
    <n v="740.09799999999996"/>
  </r>
  <r>
    <x v="264"/>
    <x v="5"/>
    <x v="1"/>
    <s v="juin2022"/>
    <x v="979"/>
    <n v="150"/>
    <n v="0.15"/>
    <x v="1"/>
    <n v="0.3"/>
    <n v="0.7"/>
    <n v="0.16"/>
    <n v="0.33504479999999998"/>
    <n v="6.7400000000000002E-2"/>
    <n v="0.32932111799999997"/>
    <n v="0.66436591799999989"/>
    <n v="90"/>
    <x v="33"/>
    <x v="1"/>
    <n v="46.533999999999999"/>
  </r>
  <r>
    <x v="264"/>
    <x v="5"/>
    <x v="1"/>
    <s v="juin2022"/>
    <x v="980"/>
    <n v="300"/>
    <n v="0.3"/>
    <x v="2"/>
    <n v="0.3"/>
    <n v="0.7"/>
    <n v="0.16"/>
    <n v="7.7979743999999993"/>
    <n v="6.7400000000000002E-2"/>
    <n v="7.6647590039999995"/>
    <n v="15.462733403999998"/>
    <n v="239"/>
    <x v="4"/>
    <x v="1"/>
    <n v="541.52599999999995"/>
  </r>
  <r>
    <x v="265"/>
    <x v="5"/>
    <x v="1"/>
    <s v="juin2022"/>
    <x v="981"/>
    <n v="174"/>
    <n v="0.17399999999999999"/>
    <x v="2"/>
    <n v="0.3"/>
    <n v="0.7"/>
    <n v="0.16"/>
    <n v="2.0928358080000002"/>
    <n v="6.7400000000000002E-2"/>
    <n v="2.0570831962799998"/>
    <n v="4.14991900428"/>
    <n v="100"/>
    <x v="3"/>
    <x v="16"/>
    <n v="250.57900000000001"/>
  </r>
  <r>
    <x v="265"/>
    <x v="5"/>
    <x v="1"/>
    <s v="juin2022"/>
    <x v="982"/>
    <n v="106"/>
    <n v="0.106"/>
    <x v="2"/>
    <n v="0.3"/>
    <n v="0.7"/>
    <n v="0.16"/>
    <n v="1.748358912"/>
    <n v="6.7400000000000002E-2"/>
    <n v="1.7184911139200001"/>
    <n v="3.4668500259200004"/>
    <n v="125"/>
    <x v="3"/>
    <x v="65"/>
    <n v="343.62400000000002"/>
  </r>
  <r>
    <x v="265"/>
    <x v="5"/>
    <x v="1"/>
    <s v="juin2022"/>
    <x v="983"/>
    <n v="174"/>
    <n v="0.17399999999999999"/>
    <x v="2"/>
    <n v="0.3"/>
    <n v="0.7"/>
    <n v="0.16"/>
    <n v="2.1555676799999999"/>
    <n v="6.7400000000000002E-2"/>
    <n v="2.1187433987999995"/>
    <n v="4.2743110787999994"/>
    <n v="130"/>
    <x v="3"/>
    <x v="87"/>
    <n v="258.08999999999997"/>
  </r>
  <r>
    <x v="265"/>
    <x v="5"/>
    <x v="1"/>
    <s v="juin2022"/>
    <x v="984"/>
    <n v="150"/>
    <n v="0.15"/>
    <x v="1"/>
    <n v="0.3"/>
    <n v="0.7"/>
    <n v="0.16"/>
    <n v="1.9215215999999999"/>
    <n v="6.7400000000000002E-2"/>
    <n v="1.888695606"/>
    <n v="3.8102172059999999"/>
    <n v="135"/>
    <x v="31"/>
    <x v="1"/>
    <n v="266.87799999999999"/>
  </r>
  <r>
    <x v="265"/>
    <x v="5"/>
    <x v="1"/>
    <s v="juin2022"/>
    <x v="985"/>
    <n v="106"/>
    <n v="0.106"/>
    <x v="2"/>
    <n v="0.3"/>
    <n v="0.7"/>
    <n v="0.16"/>
    <n v="2.201674272"/>
    <n v="6.7400000000000002E-2"/>
    <n v="2.1640623365199998"/>
    <n v="4.3657366085199998"/>
    <n v="154"/>
    <x v="3"/>
    <x v="66"/>
    <n v="432.71899999999999"/>
  </r>
  <r>
    <x v="265"/>
    <x v="5"/>
    <x v="1"/>
    <s v="juin2022"/>
    <x v="986"/>
    <n v="150"/>
    <n v="0.15"/>
    <x v="1"/>
    <n v="0.3"/>
    <n v="0.7"/>
    <n v="0.16"/>
    <n v="1.8302616"/>
    <n v="6.7400000000000002E-2"/>
    <n v="1.798994631"/>
    <n v="3.6292562310000003"/>
    <n v="158"/>
    <x v="36"/>
    <x v="1"/>
    <n v="254.203"/>
  </r>
  <r>
    <x v="265"/>
    <x v="5"/>
    <x v="1"/>
    <s v="juin2022"/>
    <x v="987"/>
    <n v="70"/>
    <n v="7.0000000000000007E-2"/>
    <x v="2"/>
    <n v="0.3"/>
    <n v="0.7"/>
    <n v="0.16"/>
    <n v="2.5389302400000004"/>
    <n v="6.7400000000000002E-2"/>
    <n v="2.4955568484000001"/>
    <n v="5.0344870884000006"/>
    <n v="168"/>
    <x v="3"/>
    <x v="35"/>
    <n v="755.63400000000001"/>
  </r>
  <r>
    <x v="265"/>
    <x v="5"/>
    <x v="1"/>
    <s v="juin2022"/>
    <x v="988"/>
    <n v="300"/>
    <n v="0.3"/>
    <x v="2"/>
    <n v="0.3"/>
    <n v="0.7"/>
    <n v="0.16"/>
    <n v="2.4943679999999997"/>
    <n v="6.7400000000000002E-2"/>
    <n v="2.4517558799999999"/>
    <n v="4.94612388"/>
    <n v="200"/>
    <x v="30"/>
    <x v="1"/>
    <n v="173.22"/>
  </r>
  <r>
    <x v="265"/>
    <x v="5"/>
    <x v="1"/>
    <s v="juin2022"/>
    <x v="989"/>
    <n v="400"/>
    <n v="0.4"/>
    <x v="1"/>
    <n v="0.3"/>
    <n v="0.7"/>
    <n v="0.16"/>
    <n v="5.347142400000001"/>
    <n v="6.7400000000000002E-2"/>
    <n v="5.2557953839999998"/>
    <n v="10.602937784000002"/>
    <n v="200"/>
    <x v="11"/>
    <x v="1"/>
    <n v="278.49700000000001"/>
  </r>
  <r>
    <x v="265"/>
    <x v="5"/>
    <x v="1"/>
    <s v="juin2022"/>
    <x v="990"/>
    <n v="212"/>
    <n v="0.21199999999999999"/>
    <x v="2"/>
    <n v="0.3"/>
    <n v="0.7"/>
    <n v="0.16"/>
    <n v="2.8472346239999995"/>
    <n v="6.7400000000000002E-2"/>
    <n v="2.7985943658399997"/>
    <n v="5.6458289898399991"/>
    <n v="205"/>
    <x v="3"/>
    <x v="10"/>
    <n v="279.79899999999998"/>
  </r>
  <r>
    <x v="265"/>
    <x v="5"/>
    <x v="1"/>
    <s v="juin2022"/>
    <x v="991"/>
    <n v="212"/>
    <n v="0.21199999999999999"/>
    <x v="2"/>
    <n v="0.3"/>
    <n v="0.7"/>
    <n v="0.16"/>
    <n v="5.4850064639999996"/>
    <n v="6.7400000000000002E-2"/>
    <n v="5.39130427024"/>
    <n v="10.87631073424"/>
    <n v="260"/>
    <x v="3"/>
    <x v="59"/>
    <n v="539.01400000000001"/>
  </r>
  <r>
    <x v="265"/>
    <x v="5"/>
    <x v="1"/>
    <s v="juin2022"/>
    <x v="992"/>
    <n v="450"/>
    <n v="0.45"/>
    <x v="2"/>
    <n v="0.3"/>
    <n v="0.7"/>
    <n v="0.16"/>
    <n v="9.8510472"/>
    <n v="6.7400000000000002E-2"/>
    <n v="9.6827584770000001"/>
    <n v="19.533805677"/>
    <n v="280"/>
    <x v="25"/>
    <x v="1"/>
    <n v="456.06700000000001"/>
  </r>
  <r>
    <x v="266"/>
    <x v="5"/>
    <x v="1"/>
    <s v="juin2022"/>
    <x v="993"/>
    <n v="300"/>
    <n v="0.3"/>
    <x v="2"/>
    <n v="0.3"/>
    <n v="0.7"/>
    <n v="0.16"/>
    <n v="3.7158191999999999"/>
    <n v="6.7400000000000002E-2"/>
    <n v="3.6523406220000001"/>
    <n v="7.368159822"/>
    <n v="200"/>
    <x v="14"/>
    <x v="1"/>
    <n v="258.04300000000001"/>
  </r>
  <r>
    <x v="267"/>
    <x v="5"/>
    <x v="1"/>
    <s v="juin2022"/>
    <x v="994"/>
    <n v="224"/>
    <n v="0.224"/>
    <x v="2"/>
    <n v="0.3"/>
    <n v="0.7"/>
    <n v="0.16"/>
    <n v="3.4059863040000002"/>
    <n v="6.7400000000000002E-2"/>
    <n v="3.34780070464"/>
    <n v="6.7537870086399998"/>
    <n v="210"/>
    <x v="3"/>
    <x v="77"/>
    <n v="316.77699999999999"/>
  </r>
  <r>
    <x v="267"/>
    <x v="5"/>
    <x v="1"/>
    <s v="juin2022"/>
    <x v="995"/>
    <n v="348"/>
    <n v="0.34799999999999998"/>
    <x v="2"/>
    <n v="0.3"/>
    <n v="0.7"/>
    <n v="0.16"/>
    <n v="4.4356636800000002"/>
    <n v="6.7400000000000002E-2"/>
    <n v="4.3598877588000002"/>
    <n v="8.7955514388000005"/>
    <n v="215"/>
    <x v="3"/>
    <x v="11"/>
    <n v="265.54500000000002"/>
  </r>
  <r>
    <x v="267"/>
    <x v="5"/>
    <x v="1"/>
    <s v="juin2022"/>
    <x v="996"/>
    <n v="750"/>
    <n v="0.75"/>
    <x v="1"/>
    <n v="0.3"/>
    <n v="0.7"/>
    <n v="0.16"/>
    <n v="1.8809640000000003"/>
    <n v="6.7400000000000002E-2"/>
    <n v="1.848830865"/>
    <n v="3.7297948650000006"/>
    <n v="280"/>
    <x v="20"/>
    <x v="1"/>
    <n v="52.249000000000002"/>
  </r>
  <r>
    <x v="267"/>
    <x v="5"/>
    <x v="1"/>
    <s v="juin2022"/>
    <x v="997"/>
    <n v="300"/>
    <n v="0.3"/>
    <x v="2"/>
    <n v="0.3"/>
    <n v="0.7"/>
    <n v="0.16"/>
    <n v="5.4804383999999997"/>
    <n v="6.7400000000000002E-2"/>
    <n v="5.386814244"/>
    <n v="10.867252644000001"/>
    <n v="300"/>
    <x v="12"/>
    <x v="1"/>
    <n v="380.58600000000001"/>
  </r>
  <r>
    <x v="268"/>
    <x v="5"/>
    <x v="1"/>
    <s v="juin2022"/>
    <x v="998"/>
    <n v="300"/>
    <n v="0.3"/>
    <x v="3"/>
    <n v="1"/>
    <n v="0"/>
    <n v="0.24099999999999999"/>
    <n v="2.4575492999999997"/>
    <n v="0"/>
    <n v="0"/>
    <n v="2.4575492999999997"/>
    <n v="100"/>
    <x v="5"/>
    <x v="1"/>
    <n v="33.991"/>
  </r>
  <r>
    <x v="268"/>
    <x v="5"/>
    <x v="1"/>
    <s v="juin2022"/>
    <x v="999"/>
    <n v="106"/>
    <n v="0.106"/>
    <x v="2"/>
    <n v="0.3"/>
    <n v="0.7"/>
    <n v="0.16"/>
    <n v="1.416173568"/>
    <n v="6.7400000000000002E-2"/>
    <n v="1.3919806028799999"/>
    <n v="2.80815417088"/>
    <n v="100"/>
    <x v="3"/>
    <x v="54"/>
    <n v="278.33600000000001"/>
  </r>
  <r>
    <x v="268"/>
    <x v="5"/>
    <x v="1"/>
    <s v="juin2022"/>
    <x v="1000"/>
    <n v="150"/>
    <n v="0.15"/>
    <x v="1"/>
    <n v="0.3"/>
    <n v="0.7"/>
    <n v="0.16"/>
    <n v="1.3450607999999999"/>
    <n v="6.7400000000000002E-2"/>
    <n v="1.3220826779999999"/>
    <n v="2.6671434779999998"/>
    <n v="140"/>
    <x v="29"/>
    <x v="1"/>
    <n v="186.81399999999999"/>
  </r>
  <r>
    <x v="268"/>
    <x v="5"/>
    <x v="1"/>
    <s v="juin2022"/>
    <x v="1001"/>
    <n v="150"/>
    <n v="0.15"/>
    <x v="1"/>
    <n v="0.3"/>
    <n v="0.7"/>
    <n v="0.16"/>
    <n v="2.0026439999999996"/>
    <n v="6.7400000000000002E-2"/>
    <n v="1.9684321649999998"/>
    <n v="3.9710761649999995"/>
    <n v="158"/>
    <x v="7"/>
    <x v="1"/>
    <n v="278.14499999999998"/>
  </r>
  <r>
    <x v="268"/>
    <x v="5"/>
    <x v="1"/>
    <s v="juin2022"/>
    <x v="1002"/>
    <n v="150"/>
    <n v="0.15"/>
    <x v="1"/>
    <n v="0.3"/>
    <n v="0.7"/>
    <n v="0.16"/>
    <n v="1.8302616"/>
    <n v="6.7400000000000002E-2"/>
    <n v="1.798994631"/>
    <n v="3.6292562310000003"/>
    <n v="158"/>
    <x v="36"/>
    <x v="1"/>
    <n v="254.203"/>
  </r>
  <r>
    <x v="268"/>
    <x v="5"/>
    <x v="1"/>
    <s v="juin2022"/>
    <x v="1003"/>
    <n v="300"/>
    <n v="0.3"/>
    <x v="1"/>
    <n v="0.3"/>
    <n v="0.7"/>
    <n v="0.16"/>
    <n v="7.7429951999999993"/>
    <n v="6.7400000000000002E-2"/>
    <n v="7.6107190319999996"/>
    <n v="15.353714231999998"/>
    <n v="195"/>
    <x v="27"/>
    <x v="1"/>
    <n v="537.70799999999997"/>
  </r>
  <r>
    <x v="268"/>
    <x v="5"/>
    <x v="1"/>
    <s v="juin2022"/>
    <x v="1004"/>
    <n v="424"/>
    <n v="0.42399999999999999"/>
    <x v="2"/>
    <n v="0.3"/>
    <n v="0.7"/>
    <n v="0.16"/>
    <n v="3.536078592"/>
    <n v="6.7400000000000002E-2"/>
    <n v="3.4756705827199998"/>
    <n v="7.0117491747200003"/>
    <n v="250"/>
    <x v="3"/>
    <x v="62"/>
    <n v="173.74600000000001"/>
  </r>
  <r>
    <x v="268"/>
    <x v="5"/>
    <x v="1"/>
    <s v="juin2022"/>
    <x v="1005"/>
    <n v="1196"/>
    <n v="1.196"/>
    <x v="5"/>
    <n v="1"/>
    <n v="0"/>
    <n v="0.16"/>
    <n v="50.933525760000002"/>
    <n v="0"/>
    <n v="0"/>
    <n v="50.933525760000002"/>
    <n v="450"/>
    <x v="3"/>
    <x v="0"/>
    <n v="266.166"/>
  </r>
  <r>
    <x v="269"/>
    <x v="5"/>
    <x v="1"/>
    <s v="juin2022"/>
    <x v="1006"/>
    <n v="622"/>
    <n v="0.622"/>
    <x v="2"/>
    <n v="0.3"/>
    <n v="0.7"/>
    <n v="0.16"/>
    <n v="7.4280832319999996"/>
    <n v="6.7400000000000002E-2"/>
    <n v="7.3011868101199999"/>
    <n v="14.72927004212"/>
    <n v="234"/>
    <x v="3"/>
    <x v="19"/>
    <n v="248.797"/>
  </r>
  <r>
    <x v="269"/>
    <x v="5"/>
    <x v="1"/>
    <s v="juin2022"/>
    <x v="1007"/>
    <n v="300"/>
    <n v="0.3"/>
    <x v="2"/>
    <n v="0.3"/>
    <n v="0.7"/>
    <n v="0.16"/>
    <n v="7.7979743999999993"/>
    <n v="6.7400000000000002E-2"/>
    <n v="7.6647590039999995"/>
    <n v="15.462733403999998"/>
    <n v="239"/>
    <x v="4"/>
    <x v="1"/>
    <n v="541.52599999999995"/>
  </r>
  <r>
    <x v="270"/>
    <x v="5"/>
    <x v="1"/>
    <s v="juin2022"/>
    <x v="1008"/>
    <n v="113"/>
    <n v="0.113"/>
    <x v="2"/>
    <n v="0.3"/>
    <n v="0.7"/>
    <n v="0.16"/>
    <n v="1.541679792"/>
    <n v="6.7400000000000002E-2"/>
    <n v="1.5153427622200002"/>
    <n v="3.0570225542200005"/>
    <n v="120"/>
    <x v="3"/>
    <x v="29"/>
    <n v="284.233"/>
  </r>
  <r>
    <x v="270"/>
    <x v="5"/>
    <x v="1"/>
    <s v="juin2022"/>
    <x v="1009"/>
    <n v="150"/>
    <n v="0.15"/>
    <x v="1"/>
    <n v="0.3"/>
    <n v="0.7"/>
    <n v="0.16"/>
    <n v="2.8012535999999999"/>
    <n v="6.7400000000000002E-2"/>
    <n v="2.753398851"/>
    <n v="5.5546524509999999"/>
    <n v="125"/>
    <x v="34"/>
    <x v="1"/>
    <n v="389.06299999999999"/>
  </r>
  <r>
    <x v="270"/>
    <x v="5"/>
    <x v="1"/>
    <s v="juin2022"/>
    <x v="1010"/>
    <n v="106"/>
    <n v="0.106"/>
    <x v="2"/>
    <n v="0.3"/>
    <n v="0.7"/>
    <n v="0.16"/>
    <n v="2.2702198079999998"/>
    <n v="6.7400000000000002E-2"/>
    <n v="2.2314368862799996"/>
    <n v="4.5016566942799994"/>
    <n v="130"/>
    <x v="3"/>
    <x v="67"/>
    <n v="446.19099999999997"/>
  </r>
  <r>
    <x v="270"/>
    <x v="5"/>
    <x v="1"/>
    <s v="juin2022"/>
    <x v="1011"/>
    <n v="400"/>
    <n v="0.4"/>
    <x v="1"/>
    <n v="0.3"/>
    <n v="0.7"/>
    <n v="0.16"/>
    <n v="5.347142400000001"/>
    <n v="6.7400000000000002E-2"/>
    <n v="5.2557953839999998"/>
    <n v="10.602937784000002"/>
    <n v="200"/>
    <x v="11"/>
    <x v="1"/>
    <n v="278.49700000000001"/>
  </r>
  <r>
    <x v="270"/>
    <x v="5"/>
    <x v="1"/>
    <s v="juin2022"/>
    <x v="1012"/>
    <n v="300"/>
    <n v="0.3"/>
    <x v="2"/>
    <n v="0.3"/>
    <n v="0.7"/>
    <n v="0.16"/>
    <n v="3.7158191999999999"/>
    <n v="6.7400000000000002E-2"/>
    <n v="3.6523406220000001"/>
    <n v="7.368159822"/>
    <n v="200"/>
    <x v="14"/>
    <x v="1"/>
    <n v="258.04300000000001"/>
  </r>
  <r>
    <x v="270"/>
    <x v="5"/>
    <x v="1"/>
    <s v="juin2022"/>
    <x v="1013"/>
    <n v="212"/>
    <n v="0.21199999999999999"/>
    <x v="2"/>
    <n v="0.3"/>
    <n v="0.7"/>
    <n v="0.16"/>
    <n v="5.5070476799999994"/>
    <n v="6.7400000000000002E-2"/>
    <n v="5.4129689487999997"/>
    <n v="10.920016628799999"/>
    <n v="225"/>
    <x v="3"/>
    <x v="8"/>
    <n v="541.17999999999995"/>
  </r>
  <r>
    <x v="270"/>
    <x v="5"/>
    <x v="1"/>
    <s v="juin2022"/>
    <x v="1014"/>
    <n v="450"/>
    <n v="0.45"/>
    <x v="2"/>
    <n v="0.3"/>
    <n v="0.7"/>
    <n v="0.16"/>
    <n v="5.5492775999999999"/>
    <n v="6.7400000000000002E-2"/>
    <n v="5.4544774409999999"/>
    <n v="11.003755041"/>
    <n v="270"/>
    <x v="3"/>
    <x v="4"/>
    <n v="256.911"/>
  </r>
  <r>
    <x v="270"/>
    <x v="5"/>
    <x v="1"/>
    <s v="juin2022"/>
    <x v="1015"/>
    <n v="300"/>
    <n v="0.3"/>
    <x v="1"/>
    <n v="0.3"/>
    <n v="0.7"/>
    <n v="0.16"/>
    <n v="7.4861712000000002"/>
    <n v="6.7400000000000002E-2"/>
    <n v="7.358282442000001"/>
    <n v="14.844453642000001"/>
    <n v="320"/>
    <x v="8"/>
    <x v="10"/>
    <n v="519.87300000000005"/>
  </r>
  <r>
    <x v="270"/>
    <x v="5"/>
    <x v="1"/>
    <s v="juin2022"/>
    <x v="1016"/>
    <n v="900"/>
    <n v="0.9"/>
    <x v="2"/>
    <n v="0.3"/>
    <n v="0.7"/>
    <n v="0.16"/>
    <n v="19.807502400000001"/>
    <n v="6.7400000000000002E-2"/>
    <n v="19.469124233999999"/>
    <n v="39.276626633999996"/>
    <n v="400"/>
    <x v="3"/>
    <x v="61"/>
    <n v="458.50700000000001"/>
  </r>
  <r>
    <x v="270"/>
    <x v="5"/>
    <x v="1"/>
    <s v="juin2022"/>
    <x v="1017"/>
    <n v="1200"/>
    <n v="1.2"/>
    <x v="5"/>
    <n v="1"/>
    <n v="0"/>
    <n v="0.16"/>
    <n v="51.139776000000005"/>
    <n v="0"/>
    <n v="0"/>
    <n v="51.139776000000005"/>
    <n v="450"/>
    <x v="8"/>
    <x v="1"/>
    <n v="266.35300000000001"/>
  </r>
  <r>
    <x v="270"/>
    <x v="5"/>
    <x v="1"/>
    <s v="juin2022"/>
    <x v="1018"/>
    <n v="1000"/>
    <n v="1"/>
    <x v="2"/>
    <n v="0.3"/>
    <n v="0.7"/>
    <n v="0.16"/>
    <n v="35.524704"/>
    <n v="6.7400000000000002E-2"/>
    <n v="34.917823639999995"/>
    <n v="70.442527639999994"/>
    <n v="470"/>
    <x v="23"/>
    <x v="1"/>
    <n v="740.09799999999996"/>
  </r>
  <r>
    <x v="271"/>
    <x v="5"/>
    <x v="1"/>
    <s v="juin2022"/>
    <x v="1019"/>
    <n v="450"/>
    <n v="0.45"/>
    <x v="3"/>
    <n v="1"/>
    <n v="0"/>
    <n v="0.24099999999999999"/>
    <n v="3.6966266999999999"/>
    <n v="0"/>
    <n v="0"/>
    <n v="3.6966266999999999"/>
    <n v="125"/>
    <x v="3"/>
    <x v="27"/>
    <n v="34.085999999999999"/>
  </r>
  <r>
    <x v="271"/>
    <x v="5"/>
    <x v="1"/>
    <s v="juin2022"/>
    <x v="1020"/>
    <n v="300"/>
    <n v="0.3"/>
    <x v="1"/>
    <n v="0.3"/>
    <n v="0.7"/>
    <n v="0.16"/>
    <n v="11.0469168"/>
    <n v="6.7400000000000002E-2"/>
    <n v="10.858198638000001"/>
    <n v="21.905115438000003"/>
    <n v="250"/>
    <x v="28"/>
    <x v="1"/>
    <n v="767.14700000000005"/>
  </r>
  <r>
    <x v="271"/>
    <x v="5"/>
    <x v="1"/>
    <s v="juin2022"/>
    <x v="1021"/>
    <n v="450"/>
    <n v="0.45"/>
    <x v="2"/>
    <n v="0.3"/>
    <n v="0.7"/>
    <n v="0.16"/>
    <n v="8.2206576000000009"/>
    <n v="6.7400000000000002E-2"/>
    <n v="8.080221366"/>
    <n v="16.300878965999999"/>
    <n v="300"/>
    <x v="12"/>
    <x v="1"/>
    <n v="380.58600000000001"/>
  </r>
  <r>
    <x v="271"/>
    <x v="5"/>
    <x v="1"/>
    <s v="juin2022"/>
    <x v="1022"/>
    <n v="450"/>
    <n v="0.45"/>
    <x v="2"/>
    <n v="0.3"/>
    <n v="0.7"/>
    <n v="0.16"/>
    <n v="11.141236800000001"/>
    <n v="6.7400000000000002E-2"/>
    <n v="10.950907338"/>
    <n v="22.092144138000002"/>
    <n v="306"/>
    <x v="3"/>
    <x v="2"/>
    <n v="515.798"/>
  </r>
  <r>
    <x v="271"/>
    <x v="5"/>
    <x v="1"/>
    <s v="juin2022"/>
    <x v="1023"/>
    <n v="1000"/>
    <n v="1"/>
    <x v="1"/>
    <n v="0.3"/>
    <n v="0.7"/>
    <n v="0.16"/>
    <n v="24.790752000000001"/>
    <n v="6.7400000000000002E-2"/>
    <n v="24.367243320000004"/>
    <n v="49.157995320000005"/>
    <n v="507"/>
    <x v="0"/>
    <x v="1"/>
    <n v="516.47400000000005"/>
  </r>
  <r>
    <x v="272"/>
    <x v="5"/>
    <x v="1"/>
    <s v="juin2022"/>
    <x v="1024"/>
    <n v="189"/>
    <n v="0.189"/>
    <x v="2"/>
    <n v="0.3"/>
    <n v="0.7"/>
    <n v="0.16"/>
    <n v="2.2732526879999999"/>
    <n v="6.7400000000000002E-2"/>
    <n v="2.23441795458"/>
    <n v="4.5076706425799999"/>
    <n v="100"/>
    <x v="3"/>
    <x v="16"/>
    <n v="250.57900000000001"/>
  </r>
  <r>
    <x v="272"/>
    <x v="5"/>
    <x v="1"/>
    <s v="juin2022"/>
    <x v="1025"/>
    <n v="76"/>
    <n v="7.5999999999999998E-2"/>
    <x v="2"/>
    <n v="0.3"/>
    <n v="0.7"/>
    <n v="0.16"/>
    <n v="3.2259264000000001"/>
    <n v="6.7400000000000002E-2"/>
    <n v="3.1708168239999996"/>
    <n v="6.3967432239999997"/>
    <n v="196"/>
    <x v="3"/>
    <x v="79"/>
    <n v="884.3"/>
  </r>
  <r>
    <x v="272"/>
    <x v="5"/>
    <x v="1"/>
    <s v="juin2022"/>
    <x v="1026"/>
    <n v="219"/>
    <n v="0.219"/>
    <x v="2"/>
    <n v="0.3"/>
    <n v="0.7"/>
    <n v="0.16"/>
    <n v="3.3299598239999999"/>
    <n v="6.7400000000000002E-2"/>
    <n v="3.2730730103400001"/>
    <n v="6.6030328343400004"/>
    <n v="210"/>
    <x v="3"/>
    <x v="77"/>
    <n v="316.77699999999999"/>
  </r>
  <r>
    <x v="272"/>
    <x v="5"/>
    <x v="1"/>
    <s v="juin2022"/>
    <x v="1027"/>
    <n v="203"/>
    <n v="0.20300000000000001"/>
    <x v="2"/>
    <n v="0.3"/>
    <n v="0.7"/>
    <n v="0.16"/>
    <n v="8.1597522720000004"/>
    <n v="6.7400000000000002E-2"/>
    <n v="8.0203565040200004"/>
    <n v="16.180108776019999"/>
    <n v="210"/>
    <x v="3"/>
    <x v="5"/>
    <n v="837.41300000000001"/>
  </r>
  <r>
    <x v="272"/>
    <x v="5"/>
    <x v="1"/>
    <s v="juin2022"/>
    <x v="1028"/>
    <n v="750"/>
    <n v="0.75"/>
    <x v="1"/>
    <n v="0.3"/>
    <n v="0.7"/>
    <n v="0.16"/>
    <n v="1.8809640000000003"/>
    <n v="6.7400000000000002E-2"/>
    <n v="1.848830865"/>
    <n v="3.7297948650000006"/>
    <n v="220"/>
    <x v="20"/>
    <x v="1"/>
    <n v="52.249000000000002"/>
  </r>
  <r>
    <x v="272"/>
    <x v="5"/>
    <x v="1"/>
    <s v="juin2022"/>
    <x v="1029"/>
    <n v="441"/>
    <n v="0.441"/>
    <x v="2"/>
    <n v="0.3"/>
    <n v="0.7"/>
    <n v="0.16"/>
    <n v="5.6210565600000004"/>
    <n v="6.7400000000000002E-2"/>
    <n v="5.5250301771000006"/>
    <n v="11.146086737100001"/>
    <n v="234"/>
    <x v="3"/>
    <x v="11"/>
    <n v="265.54500000000002"/>
  </r>
  <r>
    <x v="272"/>
    <x v="5"/>
    <x v="1"/>
    <s v="juin2022"/>
    <x v="1030"/>
    <n v="384"/>
    <n v="0.38400000000000001"/>
    <x v="2"/>
    <n v="0.3"/>
    <n v="0.7"/>
    <n v="0.16"/>
    <n v="9.9351060479999997"/>
    <n v="6.7400000000000002E-2"/>
    <n v="9.7653813196800012"/>
    <n v="19.700487367680001"/>
    <n v="260"/>
    <x v="3"/>
    <x v="59"/>
    <n v="539.01400000000001"/>
  </r>
  <r>
    <x v="272"/>
    <x v="5"/>
    <x v="1"/>
    <s v="juin2022"/>
    <x v="1031"/>
    <n v="450"/>
    <n v="0.45"/>
    <x v="2"/>
    <n v="0.3"/>
    <n v="0.7"/>
    <n v="0.16"/>
    <n v="9.8510472"/>
    <n v="6.7400000000000002E-2"/>
    <n v="9.6827584770000001"/>
    <n v="19.533805677"/>
    <n v="280"/>
    <x v="25"/>
    <x v="1"/>
    <n v="456.06700000000001"/>
  </r>
  <r>
    <x v="272"/>
    <x v="5"/>
    <x v="1"/>
    <s v="juin2022"/>
    <x v="1032"/>
    <n v="644"/>
    <n v="0.64400000000000002"/>
    <x v="2"/>
    <n v="0.3"/>
    <n v="0.7"/>
    <n v="0.16"/>
    <n v="11.760624959999999"/>
    <n v="6.7400000000000002E-2"/>
    <n v="11.5597142836"/>
    <n v="23.320339243599999"/>
    <n v="510"/>
    <x v="3"/>
    <x v="20"/>
    <n v="380.45499999999998"/>
  </r>
  <r>
    <x v="273"/>
    <x v="5"/>
    <x v="1"/>
    <s v="juin2022"/>
    <x v="1033"/>
    <n v="150"/>
    <n v="0.15"/>
    <x v="1"/>
    <n v="0.3"/>
    <n v="0.7"/>
    <n v="0.16"/>
    <n v="0.4008024"/>
    <n v="6.7400000000000002E-2"/>
    <n v="0.393955359"/>
    <n v="0.79475775900000001"/>
    <n v="80"/>
    <x v="39"/>
    <x v="1"/>
    <n v="55.667000000000002"/>
  </r>
  <r>
    <x v="273"/>
    <x v="5"/>
    <x v="1"/>
    <s v="juin2022"/>
    <x v="1034"/>
    <n v="182"/>
    <n v="0.182"/>
    <x v="1"/>
    <n v="0.3"/>
    <n v="0.7"/>
    <n v="0.16"/>
    <n v="0.44630476800000002"/>
    <n v="6.7400000000000002E-2"/>
    <n v="0.43868039488000005"/>
    <n v="0.88498516288000006"/>
    <n v="80"/>
    <x v="3"/>
    <x v="40"/>
    <n v="51.088000000000001"/>
  </r>
  <r>
    <x v="273"/>
    <x v="5"/>
    <x v="1"/>
    <s v="juin2022"/>
    <x v="1035"/>
    <n v="300"/>
    <n v="0.3"/>
    <x v="3"/>
    <n v="1"/>
    <n v="0"/>
    <n v="0.24099999999999999"/>
    <n v="2.4575492999999997"/>
    <n v="0"/>
    <n v="0"/>
    <n v="2.4575492999999997"/>
    <n v="100"/>
    <x v="5"/>
    <x v="1"/>
    <n v="33.991"/>
  </r>
  <r>
    <x v="273"/>
    <x v="5"/>
    <x v="1"/>
    <s v="juin2022"/>
    <x v="1036"/>
    <n v="152"/>
    <n v="0.152"/>
    <x v="1"/>
    <n v="0.3"/>
    <n v="0.7"/>
    <n v="0.16"/>
    <n v="1.8282243840000001"/>
    <n v="6.7400000000000002E-2"/>
    <n v="1.7969922174399999"/>
    <n v="3.62521660144"/>
    <n v="100"/>
    <x v="3"/>
    <x v="16"/>
    <n v="250.57900000000001"/>
  </r>
  <r>
    <x v="273"/>
    <x v="5"/>
    <x v="1"/>
    <s v="juin2022"/>
    <x v="1037"/>
    <n v="47"/>
    <n v="4.7E-2"/>
    <x v="1"/>
    <n v="0.3"/>
    <n v="0.7"/>
    <n v="0.16"/>
    <n v="0.57959121600000008"/>
    <n v="6.7400000000000002E-2"/>
    <n v="0.56968986606000005"/>
    <n v="1.1492810820600001"/>
    <n v="100"/>
    <x v="3"/>
    <x v="4"/>
    <n v="256.911"/>
  </r>
  <r>
    <x v="273"/>
    <x v="5"/>
    <x v="1"/>
    <s v="juin2022"/>
    <x v="1038"/>
    <n v="300"/>
    <n v="0.3"/>
    <x v="1"/>
    <n v="0.3"/>
    <n v="0.7"/>
    <n v="0.16"/>
    <n v="0.67008959999999995"/>
    <n v="6.7400000000000002E-2"/>
    <n v="0.65864223599999994"/>
    <n v="1.3287318359999998"/>
    <n v="120"/>
    <x v="33"/>
    <x v="1"/>
    <n v="46.533999999999999"/>
  </r>
  <r>
    <x v="273"/>
    <x v="5"/>
    <x v="1"/>
    <s v="juin2022"/>
    <x v="1039"/>
    <n v="150"/>
    <n v="0.15"/>
    <x v="1"/>
    <n v="0.3"/>
    <n v="0.7"/>
    <n v="0.16"/>
    <n v="2.0026439999999996"/>
    <n v="6.7400000000000002E-2"/>
    <n v="1.9684321649999998"/>
    <n v="3.9710761649999995"/>
    <n v="158"/>
    <x v="7"/>
    <x v="1"/>
    <n v="278.14499999999998"/>
  </r>
  <r>
    <x v="273"/>
    <x v="5"/>
    <x v="1"/>
    <s v="juin2022"/>
    <x v="1040"/>
    <n v="150"/>
    <n v="0.15"/>
    <x v="1"/>
    <n v="0.3"/>
    <n v="0.7"/>
    <n v="0.16"/>
    <n v="3.7013975999999995"/>
    <n v="6.7400000000000002E-2"/>
    <n v="3.6381653909999998"/>
    <n v="7.3395629909999993"/>
    <n v="165"/>
    <x v="40"/>
    <x v="1"/>
    <n v="514.08299999999997"/>
  </r>
  <r>
    <x v="273"/>
    <x v="5"/>
    <x v="1"/>
    <s v="juin2022"/>
    <x v="1041"/>
    <n v="300"/>
    <n v="0.3"/>
    <x v="2"/>
    <n v="0.3"/>
    <n v="0.7"/>
    <n v="0.16"/>
    <n v="2.4943679999999997"/>
    <n v="6.7400000000000002E-2"/>
    <n v="2.4517558799999999"/>
    <n v="4.94612388"/>
    <n v="200"/>
    <x v="30"/>
    <x v="1"/>
    <n v="173.22"/>
  </r>
  <r>
    <x v="273"/>
    <x v="5"/>
    <x v="1"/>
    <s v="juin2022"/>
    <x v="1042"/>
    <n v="203"/>
    <n v="0.20300000000000001"/>
    <x v="2"/>
    <n v="0.3"/>
    <n v="0.7"/>
    <n v="0.16"/>
    <n v="2.7263614560000002"/>
    <n v="6.7400000000000002E-2"/>
    <n v="2.6797861144600001"/>
    <n v="5.4061475704599999"/>
    <n v="205"/>
    <x v="3"/>
    <x v="10"/>
    <n v="279.79899999999998"/>
  </r>
  <r>
    <x v="273"/>
    <x v="5"/>
    <x v="1"/>
    <s v="juin2022"/>
    <x v="1043"/>
    <n v="203"/>
    <n v="0.20300000000000001"/>
    <x v="2"/>
    <n v="0.3"/>
    <n v="0.7"/>
    <n v="0.16"/>
    <n v="4.347685104"/>
    <n v="6.7400000000000002E-2"/>
    <n v="4.2734121501400004"/>
    <n v="8.6210972541400004"/>
    <n v="225"/>
    <x v="3"/>
    <x v="67"/>
    <n v="446.19099999999997"/>
  </r>
  <r>
    <x v="273"/>
    <x v="5"/>
    <x v="1"/>
    <s v="juin2022"/>
    <x v="1044"/>
    <n v="401"/>
    <n v="0.40100000000000002"/>
    <x v="1"/>
    <n v="0.3"/>
    <n v="0.7"/>
    <n v="0.16"/>
    <n v="4.8923604000000003"/>
    <n v="6.7400000000000002E-2"/>
    <n v="4.8087825765000005"/>
    <n v="9.7011429765000017"/>
    <n v="234"/>
    <x v="3"/>
    <x v="25"/>
    <n v="254.17500000000001"/>
  </r>
  <r>
    <x v="273"/>
    <x v="5"/>
    <x v="1"/>
    <s v="juin2022"/>
    <x v="1045"/>
    <n v="604"/>
    <n v="0.60399999999999998"/>
    <x v="1"/>
    <n v="0.3"/>
    <n v="0.7"/>
    <n v="0.16"/>
    <n v="5.4673983360000005"/>
    <n v="6.7400000000000002E-2"/>
    <n v="5.3739969477600003"/>
    <n v="10.841395283760001"/>
    <n v="250"/>
    <x v="3"/>
    <x v="68"/>
    <n v="188.583"/>
  </r>
  <r>
    <x v="273"/>
    <x v="5"/>
    <x v="1"/>
    <s v="juin2022"/>
    <x v="1046"/>
    <n v="401"/>
    <n v="0.40100000000000002"/>
    <x v="2"/>
    <n v="0.3"/>
    <n v="0.7"/>
    <n v="0.16"/>
    <n v="8.8253427360000014"/>
    <n v="6.7400000000000002E-2"/>
    <n v="8.6745764642600012"/>
    <n v="17.499919200260003"/>
    <n v="280"/>
    <x v="3"/>
    <x v="61"/>
    <n v="458.50700000000001"/>
  </r>
  <r>
    <x v="273"/>
    <x v="5"/>
    <x v="1"/>
    <s v="juin2022"/>
    <x v="1047"/>
    <n v="709"/>
    <n v="0.70899999999999996"/>
    <x v="1"/>
    <n v="0.3"/>
    <n v="0.7"/>
    <n v="0.16"/>
    <n v="9.0581613119999993"/>
    <n v="6.7400000000000002E-2"/>
    <n v="8.9034177229200004"/>
    <n v="17.96157903492"/>
    <n v="310"/>
    <x v="3"/>
    <x v="0"/>
    <n v="266.166"/>
  </r>
  <r>
    <x v="273"/>
    <x v="5"/>
    <x v="1"/>
    <s v="juin2022"/>
    <x v="1048"/>
    <n v="406"/>
    <n v="0.40600000000000003"/>
    <x v="2"/>
    <n v="0.3"/>
    <n v="0.7"/>
    <n v="0.16"/>
    <n v="10.54651584"/>
    <n v="6.7400000000000002E-2"/>
    <n v="10.3663461944"/>
    <n v="20.9128620344"/>
    <n v="325"/>
    <x v="3"/>
    <x v="8"/>
    <n v="541.17999999999995"/>
  </r>
  <r>
    <x v="274"/>
    <x v="5"/>
    <x v="1"/>
    <s v="juin2022"/>
    <x v="1049"/>
    <n v="150"/>
    <n v="0.15"/>
    <x v="1"/>
    <n v="0.3"/>
    <n v="0.7"/>
    <n v="0.16"/>
    <n v="0.28478880000000001"/>
    <n v="6.7400000000000002E-2"/>
    <n v="0.27992365800000002"/>
    <n v="0.56471245800000003"/>
    <n v="80"/>
    <x v="3"/>
    <x v="88"/>
    <n v="39.554000000000002"/>
  </r>
  <r>
    <x v="274"/>
    <x v="5"/>
    <x v="1"/>
    <s v="juin2022"/>
    <x v="1050"/>
    <n v="102"/>
    <n v="0.10199999999999999"/>
    <x v="2"/>
    <n v="0.3"/>
    <n v="0.7"/>
    <n v="0.16"/>
    <n v="1.3698959040000001"/>
    <n v="6.7400000000000002E-2"/>
    <n v="1.34649351564"/>
    <n v="2.71638941964"/>
    <n v="120"/>
    <x v="3"/>
    <x v="10"/>
    <n v="279.79899999999998"/>
  </r>
  <r>
    <x v="274"/>
    <x v="5"/>
    <x v="1"/>
    <s v="juin2022"/>
    <x v="1051"/>
    <n v="150"/>
    <n v="0.15"/>
    <x v="1"/>
    <n v="0.3"/>
    <n v="0.7"/>
    <n v="0.16"/>
    <n v="3.2002847999999999"/>
    <n v="6.7400000000000002E-2"/>
    <n v="3.145613268"/>
    <n v="6.3458980680000003"/>
    <n v="130"/>
    <x v="41"/>
    <x v="1"/>
    <n v="444.48399999999998"/>
  </r>
  <r>
    <x v="274"/>
    <x v="5"/>
    <x v="1"/>
    <s v="juin2022"/>
    <x v="1052"/>
    <n v="150"/>
    <n v="0.15"/>
    <x v="1"/>
    <n v="0.3"/>
    <n v="0.7"/>
    <n v="0.16"/>
    <n v="1.3450607999999999"/>
    <n v="6.7400000000000002E-2"/>
    <n v="1.3220826779999999"/>
    <n v="2.6671434779999998"/>
    <n v="140"/>
    <x v="29"/>
    <x v="1"/>
    <n v="186.81399999999999"/>
  </r>
  <r>
    <x v="274"/>
    <x v="5"/>
    <x v="1"/>
    <s v="juin2022"/>
    <x v="1053"/>
    <n v="150"/>
    <n v="0.15"/>
    <x v="1"/>
    <n v="0.3"/>
    <n v="0.7"/>
    <n v="0.16"/>
    <n v="1.8138168000000001"/>
    <n v="6.7400000000000002E-2"/>
    <n v="1.782830763"/>
    <n v="3.5966475630000003"/>
    <n v="158"/>
    <x v="13"/>
    <x v="1"/>
    <n v="251.91900000000001"/>
  </r>
  <r>
    <x v="274"/>
    <x v="5"/>
    <x v="1"/>
    <s v="juin2022"/>
    <x v="1054"/>
    <n v="150"/>
    <n v="0.15"/>
    <x v="1"/>
    <n v="0.3"/>
    <n v="0.7"/>
    <n v="0.16"/>
    <n v="2.2767263999999998"/>
    <n v="6.7400000000000002E-2"/>
    <n v="2.2378323239999998"/>
    <n v="4.5145587239999996"/>
    <n v="158"/>
    <x v="42"/>
    <x v="1"/>
    <n v="316.21199999999999"/>
  </r>
  <r>
    <x v="274"/>
    <x v="5"/>
    <x v="1"/>
    <s v="juin2022"/>
    <x v="1055"/>
    <n v="150"/>
    <n v="0.15"/>
    <x v="1"/>
    <n v="0.3"/>
    <n v="0.7"/>
    <n v="0.16"/>
    <n v="1.8302616"/>
    <n v="6.7400000000000002E-2"/>
    <n v="1.798994631"/>
    <n v="3.6292562310000003"/>
    <n v="158"/>
    <x v="36"/>
    <x v="1"/>
    <n v="254.203"/>
  </r>
  <r>
    <x v="274"/>
    <x v="5"/>
    <x v="1"/>
    <s v="juin2022"/>
    <x v="1056"/>
    <n v="150"/>
    <n v="0.15"/>
    <x v="1"/>
    <n v="0.3"/>
    <n v="0.7"/>
    <n v="0.16"/>
    <n v="5.4150624000000001"/>
    <n v="6.7400000000000002E-2"/>
    <n v="5.3225550840000002"/>
    <n v="10.737617484000001"/>
    <n v="165"/>
    <x v="6"/>
    <x v="1"/>
    <n v="752.09199999999998"/>
  </r>
  <r>
    <x v="274"/>
    <x v="5"/>
    <x v="1"/>
    <s v="juin2022"/>
    <x v="1057"/>
    <n v="300"/>
    <n v="0.3"/>
    <x v="1"/>
    <n v="0.3"/>
    <n v="0.7"/>
    <n v="0.16"/>
    <n v="7.7429951999999993"/>
    <n v="6.7400000000000002E-2"/>
    <n v="7.6107190319999996"/>
    <n v="15.353714231999998"/>
    <n v="195"/>
    <x v="27"/>
    <x v="1"/>
    <n v="537.70799999999997"/>
  </r>
  <r>
    <x v="274"/>
    <x v="5"/>
    <x v="1"/>
    <s v="juin2022"/>
    <x v="1058"/>
    <n v="150"/>
    <n v="0.15"/>
    <x v="2"/>
    <n v="0.3"/>
    <n v="0.7"/>
    <n v="0.16"/>
    <n v="3.8989871999999997"/>
    <n v="6.7400000000000002E-2"/>
    <n v="3.8323795019999998"/>
    <n v="7.731366701999999"/>
    <n v="239"/>
    <x v="4"/>
    <x v="1"/>
    <n v="541.52599999999995"/>
  </r>
  <r>
    <x v="275"/>
    <x v="5"/>
    <x v="1"/>
    <s v="juin2022"/>
    <x v="1059"/>
    <n v="150"/>
    <n v="0.15"/>
    <x v="1"/>
    <n v="0.3"/>
    <n v="0.7"/>
    <n v="0.16"/>
    <n v="2.8012535999999999"/>
    <n v="6.7400000000000002E-2"/>
    <n v="2.753398851"/>
    <n v="5.5546524509999999"/>
    <n v="125"/>
    <x v="34"/>
    <x v="1"/>
    <n v="389.06299999999999"/>
  </r>
  <r>
    <x v="275"/>
    <x v="5"/>
    <x v="1"/>
    <s v="juin2022"/>
    <x v="1060"/>
    <n v="150"/>
    <n v="0.15"/>
    <x v="1"/>
    <n v="0.3"/>
    <n v="0.7"/>
    <n v="0.16"/>
    <n v="1.9215215999999999"/>
    <n v="6.7400000000000002E-2"/>
    <n v="1.888695606"/>
    <n v="3.8102172059999999"/>
    <n v="158"/>
    <x v="31"/>
    <x v="1"/>
    <n v="266.87799999999999"/>
  </r>
  <r>
    <x v="275"/>
    <x v="5"/>
    <x v="1"/>
    <s v="juin2022"/>
    <x v="1061"/>
    <n v="300"/>
    <n v="0.3"/>
    <x v="2"/>
    <n v="0.3"/>
    <n v="0.7"/>
    <n v="0.16"/>
    <n v="2.4943679999999997"/>
    <n v="6.7400000000000002E-2"/>
    <n v="2.4517558799999999"/>
    <n v="4.94612388"/>
    <n v="200"/>
    <x v="30"/>
    <x v="1"/>
    <n v="173.22"/>
  </r>
  <r>
    <x v="275"/>
    <x v="5"/>
    <x v="1"/>
    <s v="juin2022"/>
    <x v="1062"/>
    <n v="400"/>
    <n v="0.4"/>
    <x v="1"/>
    <n v="0.3"/>
    <n v="0.7"/>
    <n v="0.16"/>
    <n v="5.347142400000001"/>
    <n v="6.7400000000000002E-2"/>
    <n v="5.2557953839999998"/>
    <n v="10.602937784000002"/>
    <n v="200"/>
    <x v="11"/>
    <x v="1"/>
    <n v="278.49700000000001"/>
  </r>
  <r>
    <x v="275"/>
    <x v="5"/>
    <x v="1"/>
    <s v="juin2022"/>
    <x v="1063"/>
    <n v="31"/>
    <n v="3.1E-2"/>
    <x v="2"/>
    <n v="0.3"/>
    <n v="0.7"/>
    <n v="0.16"/>
    <n v="1.1588841599999999"/>
    <n v="6.7400000000000002E-2"/>
    <n v="1.1390865556000001"/>
    <n v="2.2979707156"/>
    <n v="200"/>
    <x v="3"/>
    <x v="81"/>
    <n v="778.82"/>
  </r>
  <r>
    <x v="275"/>
    <x v="5"/>
    <x v="1"/>
    <s v="juin2022"/>
    <x v="1064"/>
    <n v="300"/>
    <n v="0.3"/>
    <x v="2"/>
    <n v="0.3"/>
    <n v="0.7"/>
    <n v="0.16"/>
    <n v="6.5673648"/>
    <n v="6.7400000000000002E-2"/>
    <n v="6.4551723179999998"/>
    <n v="13.022537117999999"/>
    <n v="210"/>
    <x v="25"/>
    <x v="1"/>
    <n v="456.06700000000001"/>
  </r>
  <r>
    <x v="275"/>
    <x v="5"/>
    <x v="1"/>
    <s v="juin2022"/>
    <x v="1065"/>
    <n v="300"/>
    <n v="0.3"/>
    <x v="2"/>
    <n v="0.3"/>
    <n v="0.7"/>
    <n v="0.16"/>
    <n v="3.7158191999999999"/>
    <n v="6.7400000000000002E-2"/>
    <n v="3.6523406220000001"/>
    <n v="7.368159822"/>
    <n v="260"/>
    <x v="14"/>
    <x v="1"/>
    <n v="258.04300000000001"/>
  </r>
  <r>
    <x v="275"/>
    <x v="5"/>
    <x v="1"/>
    <s v="juin2022"/>
    <x v="1066"/>
    <n v="1000"/>
    <n v="1"/>
    <x v="2"/>
    <n v="0.3"/>
    <n v="0.7"/>
    <n v="0.16"/>
    <n v="35.524704"/>
    <n v="6.7400000000000002E-2"/>
    <n v="34.917823639999995"/>
    <n v="70.442527639999994"/>
    <n v="470"/>
    <x v="23"/>
    <x v="1"/>
    <n v="740.09799999999996"/>
  </r>
  <r>
    <x v="276"/>
    <x v="5"/>
    <x v="1"/>
    <s v="juin2022"/>
    <x v="1067"/>
    <n v="121"/>
    <n v="0.121"/>
    <x v="2"/>
    <n v="0.3"/>
    <n v="0.7"/>
    <n v="0.16"/>
    <n v="1.545892128"/>
    <n v="6.7400000000000002E-2"/>
    <n v="1.51948313748"/>
    <n v="3.0653752654800002"/>
    <n v="100"/>
    <x v="3"/>
    <x v="0"/>
    <n v="266.166"/>
  </r>
  <r>
    <x v="276"/>
    <x v="5"/>
    <x v="1"/>
    <s v="juin2022"/>
    <x v="1068"/>
    <n v="278"/>
    <n v="0.27800000000000002"/>
    <x v="2"/>
    <n v="0.3"/>
    <n v="0.7"/>
    <n v="0.16"/>
    <n v="5.2046403840000011"/>
    <n v="6.7400000000000002E-2"/>
    <n v="5.1157277774400001"/>
    <n v="10.320368161440001"/>
    <n v="210"/>
    <x v="3"/>
    <x v="76"/>
    <n v="390.036"/>
  </r>
  <r>
    <x v="276"/>
    <x v="5"/>
    <x v="1"/>
    <s v="juin2022"/>
    <x v="1069"/>
    <n v="450"/>
    <n v="0.45"/>
    <x v="2"/>
    <n v="0.3"/>
    <n v="0.7"/>
    <n v="0.16"/>
    <n v="8.2206576000000009"/>
    <n v="6.7400000000000002E-2"/>
    <n v="8.080221366"/>
    <n v="16.300878965999999"/>
    <n v="300"/>
    <x v="12"/>
    <x v="1"/>
    <n v="380.58600000000001"/>
  </r>
  <r>
    <x v="276"/>
    <x v="5"/>
    <x v="1"/>
    <s v="juin2022"/>
    <x v="1070"/>
    <n v="450"/>
    <n v="0.45"/>
    <x v="1"/>
    <n v="0.3"/>
    <n v="0.7"/>
    <n v="0.16"/>
    <n v="16.570375200000001"/>
    <n v="6.7400000000000002E-2"/>
    <n v="16.287297957"/>
    <n v="32.857673157000001"/>
    <n v="400"/>
    <x v="28"/>
    <x v="1"/>
    <n v="767.14700000000005"/>
  </r>
  <r>
    <x v="277"/>
    <x v="5"/>
    <x v="1"/>
    <s v="juin2022"/>
    <x v="1071"/>
    <n v="450"/>
    <n v="0.45"/>
    <x v="2"/>
    <n v="0.3"/>
    <n v="0.7"/>
    <n v="0.16"/>
    <n v="15.9861168"/>
    <n v="6.7400000000000002E-2"/>
    <n v="15.713020638"/>
    <n v="31.699137438000001"/>
    <n v="280"/>
    <x v="23"/>
    <x v="1"/>
    <n v="740.09799999999996"/>
  </r>
  <r>
    <x v="278"/>
    <x v="5"/>
    <x v="1"/>
    <s v="juin2022"/>
    <x v="1072"/>
    <n v="300"/>
    <n v="0.3"/>
    <x v="3"/>
    <n v="1"/>
    <n v="0"/>
    <n v="0.24099999999999999"/>
    <n v="2.4575492999999997"/>
    <n v="0"/>
    <n v="0"/>
    <n v="2.4575492999999997"/>
    <n v="100"/>
    <x v="5"/>
    <x v="1"/>
    <n v="33.991"/>
  </r>
  <r>
    <x v="278"/>
    <x v="5"/>
    <x v="1"/>
    <s v="juin2022"/>
    <x v="1073"/>
    <n v="101"/>
    <n v="0.10100000000000001"/>
    <x v="2"/>
    <n v="0.3"/>
    <n v="0.7"/>
    <n v="0.16"/>
    <n v="1.2061678560000002"/>
    <n v="6.7400000000000002E-2"/>
    <n v="1.18556248846"/>
    <n v="2.39173034446"/>
    <n v="100"/>
    <x v="3"/>
    <x v="19"/>
    <n v="248.797"/>
  </r>
  <r>
    <x v="278"/>
    <x v="5"/>
    <x v="1"/>
    <s v="juin2022"/>
    <x v="1074"/>
    <n v="413"/>
    <n v="0.41299999999999998"/>
    <x v="3"/>
    <n v="1"/>
    <n v="0"/>
    <n v="0.24099999999999999"/>
    <n v="3.3926818379999997"/>
    <n v="0"/>
    <n v="0"/>
    <n v="3.3926818379999997"/>
    <n v="140"/>
    <x v="3"/>
    <x v="27"/>
    <n v="34.085999999999999"/>
  </r>
  <r>
    <x v="278"/>
    <x v="5"/>
    <x v="1"/>
    <s v="juin2022"/>
    <x v="1075"/>
    <n v="150"/>
    <n v="0.15"/>
    <x v="1"/>
    <n v="0.3"/>
    <n v="0.7"/>
    <n v="0.16"/>
    <n v="2.0026439999999996"/>
    <n v="6.7400000000000002E-2"/>
    <n v="1.9684321649999998"/>
    <n v="3.9710761649999995"/>
    <n v="158"/>
    <x v="7"/>
    <x v="1"/>
    <n v="278.14499999999998"/>
  </r>
  <r>
    <x v="278"/>
    <x v="5"/>
    <x v="1"/>
    <s v="juin2022"/>
    <x v="1076"/>
    <n v="800"/>
    <n v="0.8"/>
    <x v="1"/>
    <n v="0.3"/>
    <n v="0.7"/>
    <n v="0.16"/>
    <n v="9.8653824000000014"/>
    <n v="6.7400000000000002E-2"/>
    <n v="9.6968487840000002"/>
    <n v="19.562231184000002"/>
    <n v="399"/>
    <x v="3"/>
    <x v="4"/>
    <n v="256.911"/>
  </r>
  <r>
    <x v="278"/>
    <x v="5"/>
    <x v="1"/>
    <s v="juin2022"/>
    <x v="1077"/>
    <n v="450"/>
    <n v="0.45"/>
    <x v="1"/>
    <n v="0.3"/>
    <n v="0.7"/>
    <n v="0.16"/>
    <n v="16.570375200000001"/>
    <n v="6.7400000000000002E-2"/>
    <n v="16.287297957"/>
    <n v="32.857673157000001"/>
    <n v="400"/>
    <x v="28"/>
    <x v="1"/>
    <n v="767.14700000000005"/>
  </r>
  <r>
    <x v="279"/>
    <x v="5"/>
    <x v="1"/>
    <s v="juin2022"/>
    <x v="1078"/>
    <n v="102"/>
    <n v="0.10199999999999999"/>
    <x v="2"/>
    <n v="0.3"/>
    <n v="0.7"/>
    <n v="0.16"/>
    <n v="1.203427008"/>
    <n v="6.7400000000000002E-2"/>
    <n v="1.1828684632799999"/>
    <n v="2.38629547128"/>
    <n v="100"/>
    <x v="3"/>
    <x v="33"/>
    <n v="245.798"/>
  </r>
  <r>
    <x v="279"/>
    <x v="5"/>
    <x v="1"/>
    <s v="juin2022"/>
    <x v="1079"/>
    <n v="150"/>
    <n v="0.15"/>
    <x v="2"/>
    <n v="0.3"/>
    <n v="0.7"/>
    <n v="0.16"/>
    <n v="1.3450607999999999"/>
    <n v="6.7400000000000002E-2"/>
    <n v="1.3220826779999999"/>
    <n v="2.6671434779999998"/>
    <n v="140"/>
    <x v="29"/>
    <x v="1"/>
    <n v="186.81399999999999"/>
  </r>
  <r>
    <x v="279"/>
    <x v="5"/>
    <x v="1"/>
    <s v="juin2022"/>
    <x v="1080"/>
    <n v="150"/>
    <n v="0.15"/>
    <x v="1"/>
    <n v="0.3"/>
    <n v="0.7"/>
    <n v="0.16"/>
    <n v="2.2767263999999998"/>
    <n v="6.7400000000000002E-2"/>
    <n v="2.2378323239999998"/>
    <n v="4.5145587239999996"/>
    <n v="158"/>
    <x v="42"/>
    <x v="1"/>
    <n v="316.21199999999999"/>
  </r>
  <r>
    <x v="279"/>
    <x v="5"/>
    <x v="1"/>
    <s v="juin2022"/>
    <x v="1081"/>
    <n v="300"/>
    <n v="0.3"/>
    <x v="1"/>
    <n v="0.3"/>
    <n v="0.7"/>
    <n v="0.16"/>
    <n v="7.7429951999999993"/>
    <n v="6.7400000000000002E-2"/>
    <n v="7.6107190319999996"/>
    <n v="15.353714231999998"/>
    <n v="195"/>
    <x v="27"/>
    <x v="1"/>
    <n v="537.70799999999997"/>
  </r>
  <r>
    <x v="279"/>
    <x v="5"/>
    <x v="1"/>
    <s v="juin2022"/>
    <x v="1082"/>
    <n v="220"/>
    <n v="0.22"/>
    <x v="2"/>
    <n v="0.3"/>
    <n v="0.7"/>
    <n v="0.16"/>
    <n v="3.3451651199999999"/>
    <n v="6.7400000000000002E-2"/>
    <n v="3.2880185491999998"/>
    <n v="6.6331836691999992"/>
    <n v="230"/>
    <x v="3"/>
    <x v="77"/>
    <n v="316.77699999999999"/>
  </r>
  <r>
    <x v="279"/>
    <x v="5"/>
    <x v="1"/>
    <s v="juin2022"/>
    <x v="1083"/>
    <n v="300"/>
    <n v="0.3"/>
    <x v="2"/>
    <n v="0.3"/>
    <n v="0.7"/>
    <n v="0.16"/>
    <n v="7.7979743999999993"/>
    <n v="6.7400000000000002E-2"/>
    <n v="7.6647590039999995"/>
    <n v="15.462733403999998"/>
    <n v="239"/>
    <x v="4"/>
    <x v="1"/>
    <n v="541.52599999999995"/>
  </r>
  <r>
    <x v="279"/>
    <x v="5"/>
    <x v="1"/>
    <s v="juin2022"/>
    <x v="1084"/>
    <n v="194"/>
    <n v="0.19400000000000001"/>
    <x v="2"/>
    <n v="0.3"/>
    <n v="0.7"/>
    <n v="0.16"/>
    <n v="7.0057621440000002"/>
    <n v="6.7400000000000002E-2"/>
    <n v="6.8860803740399996"/>
    <n v="13.891842518040001"/>
    <n v="250"/>
    <x v="3"/>
    <x v="22"/>
    <n v="752.33699999999999"/>
  </r>
  <r>
    <x v="279"/>
    <x v="5"/>
    <x v="1"/>
    <s v="juin2022"/>
    <x v="1085"/>
    <n v="406"/>
    <n v="0.40600000000000003"/>
    <x v="2"/>
    <n v="0.3"/>
    <n v="0.7"/>
    <n v="0.16"/>
    <n v="16.319504544000001"/>
    <n v="6.7400000000000002E-2"/>
    <n v="16.040713008040001"/>
    <n v="32.360217552039998"/>
    <n v="470"/>
    <x v="3"/>
    <x v="5"/>
    <n v="837.41300000000001"/>
  </r>
  <r>
    <x v="279"/>
    <x v="5"/>
    <x v="1"/>
    <s v="juin2022"/>
    <x v="1086"/>
    <n v="1115"/>
    <n v="1.115"/>
    <x v="2"/>
    <n v="0.3"/>
    <n v="0.7"/>
    <n v="0.16"/>
    <n v="39.628616399999999"/>
    <n v="6.7400000000000002E-2"/>
    <n v="38.951627536499998"/>
    <n v="78.580243936499997"/>
    <n v="615"/>
    <x v="3"/>
    <x v="3"/>
    <n v="740.44500000000005"/>
  </r>
  <r>
    <x v="280"/>
    <x v="5"/>
    <x v="1"/>
    <s v="juin2022"/>
    <x v="1087"/>
    <n v="150"/>
    <n v="0.15"/>
    <x v="1"/>
    <n v="0.3"/>
    <n v="0.7"/>
    <n v="0.16"/>
    <n v="0.4008024"/>
    <n v="6.7400000000000002E-2"/>
    <n v="0.393955359"/>
    <n v="0.79475775900000001"/>
    <n v="80"/>
    <x v="39"/>
    <x v="1"/>
    <n v="55.667000000000002"/>
  </r>
  <r>
    <x v="280"/>
    <x v="5"/>
    <x v="1"/>
    <s v="juin2022"/>
    <x v="1088"/>
    <n v="30"/>
    <n v="0.03"/>
    <x v="1"/>
    <n v="0.3"/>
    <n v="0.7"/>
    <n v="0.16"/>
    <n v="0.38327903999999996"/>
    <n v="6.7400000000000002E-2"/>
    <n v="0.37673135639999999"/>
    <n v="0.76001039640000001"/>
    <n v="100"/>
    <x v="3"/>
    <x v="0"/>
    <n v="266.166"/>
  </r>
  <r>
    <x v="280"/>
    <x v="5"/>
    <x v="1"/>
    <s v="juin2022"/>
    <x v="1089"/>
    <n v="150"/>
    <n v="0.15"/>
    <x v="1"/>
    <n v="0.3"/>
    <n v="0.7"/>
    <n v="0.16"/>
    <n v="2.8012535999999999"/>
    <n v="6.7400000000000002E-2"/>
    <n v="2.753398851"/>
    <n v="5.5546524509999999"/>
    <n v="125"/>
    <x v="34"/>
    <x v="1"/>
    <n v="389.06299999999999"/>
  </r>
  <r>
    <x v="280"/>
    <x v="5"/>
    <x v="1"/>
    <s v="juin2022"/>
    <x v="1090"/>
    <n v="300"/>
    <n v="0.3"/>
    <x v="2"/>
    <n v="0.3"/>
    <n v="0.7"/>
    <n v="0.16"/>
    <n v="2.4943679999999997"/>
    <n v="6.7400000000000002E-2"/>
    <n v="2.4517558799999999"/>
    <n v="4.94612388"/>
    <n v="200"/>
    <x v="30"/>
    <x v="1"/>
    <n v="173.22"/>
  </r>
  <r>
    <x v="280"/>
    <x v="5"/>
    <x v="1"/>
    <s v="juin2022"/>
    <x v="1091"/>
    <n v="400"/>
    <n v="0.4"/>
    <x v="1"/>
    <n v="0.3"/>
    <n v="0.7"/>
    <n v="0.16"/>
    <n v="5.347142400000001"/>
    <n v="6.7400000000000002E-2"/>
    <n v="5.2557953839999998"/>
    <n v="10.602937784000002"/>
    <n v="200"/>
    <x v="11"/>
    <x v="1"/>
    <n v="278.49700000000001"/>
  </r>
  <r>
    <x v="280"/>
    <x v="5"/>
    <x v="1"/>
    <s v="juin2022"/>
    <x v="1092"/>
    <n v="300"/>
    <n v="0.3"/>
    <x v="2"/>
    <n v="0.3"/>
    <n v="0.7"/>
    <n v="0.16"/>
    <n v="3.7158191999999999"/>
    <n v="6.7400000000000002E-2"/>
    <n v="3.6523406220000001"/>
    <n v="7.368159822"/>
    <n v="270"/>
    <x v="14"/>
    <x v="1"/>
    <n v="258.04300000000001"/>
  </r>
  <r>
    <x v="280"/>
    <x v="5"/>
    <x v="1"/>
    <s v="juin2022"/>
    <x v="1093"/>
    <n v="203"/>
    <n v="0.20300000000000001"/>
    <x v="2"/>
    <n v="0.3"/>
    <n v="0.7"/>
    <n v="0.16"/>
    <n v="6.967037952000001"/>
    <n v="6.7400000000000002E-2"/>
    <n v="6.8480177203200006"/>
    <n v="13.815055672320002"/>
    <n v="270"/>
    <x v="3"/>
    <x v="70"/>
    <n v="715.00800000000004"/>
  </r>
  <r>
    <x v="280"/>
    <x v="5"/>
    <x v="1"/>
    <s v="juin2022"/>
    <x v="1094"/>
    <n v="550"/>
    <n v="0.55000000000000004"/>
    <x v="2"/>
    <n v="0.3"/>
    <n v="0.7"/>
    <n v="0.16"/>
    <n v="13.617067200000001"/>
    <n v="6.7400000000000002E-2"/>
    <n v="13.384442302000002"/>
    <n v="27.001509502000005"/>
    <n v="450"/>
    <x v="3"/>
    <x v="2"/>
    <n v="515.798"/>
  </r>
  <r>
    <x v="281"/>
    <x v="5"/>
    <x v="1"/>
    <s v="juin2022"/>
    <x v="1095"/>
    <n v="102"/>
    <n v="0.10199999999999999"/>
    <x v="2"/>
    <n v="0.3"/>
    <n v="0.7"/>
    <n v="0.16"/>
    <n v="2.0254164480000001"/>
    <n v="6.7400000000000002E-2"/>
    <n v="1.9908155836799999"/>
    <n v="4.0162320316799995"/>
    <n v="126.6"/>
    <x v="3"/>
    <x v="18"/>
    <n v="413.68799999999999"/>
  </r>
  <r>
    <x v="281"/>
    <x v="5"/>
    <x v="1"/>
    <s v="juin2022"/>
    <x v="1096"/>
    <n v="52"/>
    <n v="5.1999999999999998E-2"/>
    <x v="2"/>
    <n v="0.3"/>
    <n v="0.7"/>
    <n v="0.16"/>
    <n v="1.436088576"/>
    <n v="6.7400000000000002E-2"/>
    <n v="1.41155539616"/>
    <n v="2.8476439721600002"/>
    <n v="155"/>
    <x v="3"/>
    <x v="63"/>
    <n v="575.35599999999999"/>
  </r>
  <r>
    <x v="281"/>
    <x v="5"/>
    <x v="1"/>
    <s v="juin2022"/>
    <x v="1097"/>
    <n v="150"/>
    <n v="0.15"/>
    <x v="1"/>
    <n v="0.3"/>
    <n v="0.7"/>
    <n v="0.16"/>
    <n v="1.8302616"/>
    <n v="6.7400000000000002E-2"/>
    <n v="1.798994631"/>
    <n v="3.6292562310000003"/>
    <n v="158"/>
    <x v="36"/>
    <x v="1"/>
    <n v="254.203"/>
  </r>
  <r>
    <x v="281"/>
    <x v="5"/>
    <x v="1"/>
    <s v="juin2022"/>
    <x v="1098"/>
    <n v="227"/>
    <n v="0.22700000000000001"/>
    <x v="2"/>
    <n v="0.3"/>
    <n v="0.7"/>
    <n v="0.16"/>
    <n v="3.9238239360000002"/>
    <n v="6.7400000000000002E-2"/>
    <n v="3.8567919437599998"/>
    <n v="7.78061587976"/>
    <n v="250"/>
    <x v="3"/>
    <x v="86"/>
    <n v="360.11599999999999"/>
  </r>
  <r>
    <x v="281"/>
    <x v="5"/>
    <x v="1"/>
    <s v="juin2022"/>
    <x v="1099"/>
    <n v="300"/>
    <n v="0.3"/>
    <x v="1"/>
    <n v="0.3"/>
    <n v="0.7"/>
    <n v="0.16"/>
    <n v="11.0469168"/>
    <n v="6.7400000000000002E-2"/>
    <n v="10.858198638000001"/>
    <n v="21.905115438000003"/>
    <n v="250"/>
    <x v="28"/>
    <x v="1"/>
    <n v="767.14700000000005"/>
  </r>
  <r>
    <x v="281"/>
    <x v="5"/>
    <x v="1"/>
    <s v="juin2022"/>
    <x v="1100"/>
    <n v="201"/>
    <n v="0.20100000000000001"/>
    <x v="2"/>
    <n v="0.3"/>
    <n v="0.7"/>
    <n v="0.16"/>
    <n v="3.6706298400000001"/>
    <n v="6.7400000000000002E-2"/>
    <n v="3.6079232469"/>
    <n v="7.2785530869000006"/>
    <n v="261"/>
    <x v="3"/>
    <x v="20"/>
    <n v="380.45499999999998"/>
  </r>
  <r>
    <x v="281"/>
    <x v="5"/>
    <x v="1"/>
    <s v="juin2022"/>
    <x v="1101"/>
    <n v="450"/>
    <n v="0.45"/>
    <x v="2"/>
    <n v="0.3"/>
    <n v="0.7"/>
    <n v="0.16"/>
    <n v="9.8510472"/>
    <n v="6.7400000000000002E-2"/>
    <n v="9.6827584770000001"/>
    <n v="19.533805677"/>
    <n v="280"/>
    <x v="25"/>
    <x v="1"/>
    <n v="456.06700000000001"/>
  </r>
  <r>
    <x v="281"/>
    <x v="5"/>
    <x v="1"/>
    <s v="juin2022"/>
    <x v="1102"/>
    <n v="450"/>
    <n v="0.45"/>
    <x v="2"/>
    <n v="0.3"/>
    <n v="0.7"/>
    <n v="0.16"/>
    <n v="8.2206576000000009"/>
    <n v="6.7400000000000002E-2"/>
    <n v="8.080221366"/>
    <n v="16.300878965999999"/>
    <n v="300"/>
    <x v="12"/>
    <x v="1"/>
    <n v="380.58600000000001"/>
  </r>
  <r>
    <x v="281"/>
    <x v="5"/>
    <x v="1"/>
    <s v="juin2022"/>
    <x v="1103"/>
    <n v="264"/>
    <n v="0.26400000000000001"/>
    <x v="2"/>
    <n v="0.3"/>
    <n v="0.7"/>
    <n v="0.16"/>
    <n v="6.8303854080000006"/>
    <n v="6.7400000000000002E-2"/>
    <n v="6.7136996572800012"/>
    <n v="13.544085065280001"/>
    <n v="320"/>
    <x v="3"/>
    <x v="59"/>
    <n v="539.01400000000001"/>
  </r>
  <r>
    <x v="281"/>
    <x v="5"/>
    <x v="1"/>
    <s v="juin2022"/>
    <x v="1104"/>
    <n v="750"/>
    <n v="0.75"/>
    <x v="1"/>
    <n v="0.3"/>
    <n v="0.7"/>
    <n v="0.16"/>
    <n v="18.593064000000005"/>
    <n v="6.7400000000000002E-2"/>
    <n v="18.27543249"/>
    <n v="36.868496490000005"/>
    <n v="450"/>
    <x v="0"/>
    <x v="1"/>
    <n v="516.47400000000005"/>
  </r>
  <r>
    <x v="281"/>
    <x v="5"/>
    <x v="1"/>
    <s v="juin2022"/>
    <x v="1105"/>
    <n v="750"/>
    <n v="0.75"/>
    <x v="2"/>
    <n v="0.3"/>
    <n v="0.7"/>
    <n v="0.16"/>
    <n v="26.643528"/>
    <n v="6.7400000000000002E-2"/>
    <n v="26.18836773"/>
    <n v="52.831895729999999"/>
    <n v="470"/>
    <x v="23"/>
    <x v="1"/>
    <n v="740.09799999999996"/>
  </r>
  <r>
    <x v="282"/>
    <x v="5"/>
    <x v="1"/>
    <s v="juin2022"/>
    <x v="1106"/>
    <n v="151"/>
    <n v="0.151"/>
    <x v="3"/>
    <n v="1"/>
    <n v="0"/>
    <n v="0.24099999999999999"/>
    <n v="1.2404236259999999"/>
    <n v="0"/>
    <n v="0"/>
    <n v="1.2404236259999999"/>
    <n v="80"/>
    <x v="3"/>
    <x v="27"/>
    <n v="34.085999999999999"/>
  </r>
  <r>
    <x v="282"/>
    <x v="5"/>
    <x v="1"/>
    <s v="juin2022"/>
    <x v="1107"/>
    <n v="150"/>
    <n v="0.15"/>
    <x v="1"/>
    <n v="0.3"/>
    <n v="0.7"/>
    <n v="0.16"/>
    <n v="0.33504479999999998"/>
    <n v="6.7400000000000002E-2"/>
    <n v="0.32932111799999997"/>
    <n v="0.66436591799999989"/>
    <n v="90"/>
    <x v="33"/>
    <x v="1"/>
    <n v="46.533999999999999"/>
  </r>
  <r>
    <x v="282"/>
    <x v="5"/>
    <x v="1"/>
    <s v="juin2022"/>
    <x v="1108"/>
    <n v="300"/>
    <n v="0.3"/>
    <x v="3"/>
    <n v="1"/>
    <n v="0"/>
    <n v="0.24099999999999999"/>
    <n v="2.4575492999999997"/>
    <n v="0"/>
    <n v="0"/>
    <n v="2.4575492999999997"/>
    <n v="100"/>
    <x v="5"/>
    <x v="1"/>
    <n v="33.991"/>
  </r>
  <r>
    <x v="282"/>
    <x v="5"/>
    <x v="1"/>
    <s v="juin2022"/>
    <x v="1109"/>
    <n v="152"/>
    <n v="0.152"/>
    <x v="1"/>
    <n v="0.3"/>
    <n v="0.7"/>
    <n v="0.16"/>
    <n v="1.8282243840000001"/>
    <n v="6.7400000000000002E-2"/>
    <n v="1.7969922174399999"/>
    <n v="3.62521660144"/>
    <n v="100"/>
    <x v="3"/>
    <x v="16"/>
    <n v="250.57900000000001"/>
  </r>
  <r>
    <x v="282"/>
    <x v="5"/>
    <x v="1"/>
    <s v="juin2022"/>
    <x v="1110"/>
    <n v="187"/>
    <n v="0.187"/>
    <x v="2"/>
    <n v="0.3"/>
    <n v="0.7"/>
    <n v="0.16"/>
    <n v="1.5023131199999999"/>
    <n v="6.7400000000000002E-2"/>
    <n v="1.4766486042"/>
    <n v="2.9789617241999999"/>
    <n v="108"/>
    <x v="3"/>
    <x v="37"/>
    <n v="167.37"/>
  </r>
  <r>
    <x v="282"/>
    <x v="5"/>
    <x v="1"/>
    <s v="juin2022"/>
    <x v="1111"/>
    <n v="150"/>
    <n v="0.15"/>
    <x v="1"/>
    <n v="0.3"/>
    <n v="0.7"/>
    <n v="0.16"/>
    <n v="5.4150624000000001"/>
    <n v="6.7400000000000002E-2"/>
    <n v="5.3225550840000002"/>
    <n v="10.737617484000001"/>
    <n v="165"/>
    <x v="6"/>
    <x v="1"/>
    <n v="752.09199999999998"/>
  </r>
  <r>
    <x v="282"/>
    <x v="5"/>
    <x v="1"/>
    <s v="juin2022"/>
    <x v="1112"/>
    <n v="604"/>
    <n v="0.60399999999999998"/>
    <x v="1"/>
    <n v="0.3"/>
    <n v="0.7"/>
    <n v="0.16"/>
    <n v="5.4673983360000005"/>
    <n v="6.7400000000000002E-2"/>
    <n v="5.3739969477600003"/>
    <n v="10.841395283760001"/>
    <n v="250"/>
    <x v="3"/>
    <x v="68"/>
    <n v="188.583"/>
  </r>
  <r>
    <x v="282"/>
    <x v="5"/>
    <x v="1"/>
    <s v="juin2022"/>
    <x v="1113"/>
    <n v="406"/>
    <n v="0.40600000000000003"/>
    <x v="2"/>
    <n v="0.3"/>
    <n v="0.7"/>
    <n v="0.16"/>
    <n v="10.54651584"/>
    <n v="6.7400000000000002E-2"/>
    <n v="10.3663461944"/>
    <n v="20.9128620344"/>
    <n v="350"/>
    <x v="3"/>
    <x v="8"/>
    <n v="541.17999999999995"/>
  </r>
  <r>
    <x v="283"/>
    <x v="5"/>
    <x v="1"/>
    <s v="juin2022"/>
    <x v="1114"/>
    <n v="150"/>
    <n v="0.15"/>
    <x v="1"/>
    <n v="0.3"/>
    <n v="0.7"/>
    <n v="0.16"/>
    <n v="1.9215215999999999"/>
    <n v="6.7400000000000002E-2"/>
    <n v="1.888695606"/>
    <n v="3.8102172059999999"/>
    <n v="158"/>
    <x v="31"/>
    <x v="1"/>
    <n v="266.87799999999999"/>
  </r>
  <r>
    <x v="283"/>
    <x v="5"/>
    <x v="1"/>
    <s v="juin2022"/>
    <x v="1115"/>
    <n v="150"/>
    <n v="0.15"/>
    <x v="1"/>
    <n v="0.3"/>
    <n v="0.7"/>
    <n v="0.16"/>
    <n v="1.8138168000000001"/>
    <n v="6.7400000000000002E-2"/>
    <n v="1.782830763"/>
    <n v="3.5966475630000003"/>
    <n v="158"/>
    <x v="13"/>
    <x v="1"/>
    <n v="251.91900000000001"/>
  </r>
  <r>
    <x v="283"/>
    <x v="5"/>
    <x v="1"/>
    <s v="juin2022"/>
    <x v="1116"/>
    <n v="300"/>
    <n v="0.3"/>
    <x v="1"/>
    <n v="0.3"/>
    <n v="0.7"/>
    <n v="0.16"/>
    <n v="4.0052879999999993"/>
    <n v="6.7400000000000002E-2"/>
    <n v="3.9368643299999997"/>
    <n v="7.942152329999999"/>
    <n v="188"/>
    <x v="7"/>
    <x v="1"/>
    <n v="278.14499999999998"/>
  </r>
  <r>
    <x v="283"/>
    <x v="5"/>
    <x v="1"/>
    <s v="juin2022"/>
    <x v="1117"/>
    <n v="300"/>
    <n v="0.3"/>
    <x v="2"/>
    <n v="0.3"/>
    <n v="0.7"/>
    <n v="0.16"/>
    <n v="2.4943679999999997"/>
    <n v="6.7400000000000002E-2"/>
    <n v="2.4517558799999999"/>
    <n v="4.94612388"/>
    <n v="200"/>
    <x v="30"/>
    <x v="1"/>
    <n v="173.22"/>
  </r>
  <r>
    <x v="283"/>
    <x v="5"/>
    <x v="1"/>
    <s v="juin2022"/>
    <x v="1118"/>
    <n v="378"/>
    <n v="0.378"/>
    <x v="1"/>
    <n v="0.3"/>
    <n v="0.7"/>
    <n v="0.16"/>
    <n v="5.0929845120000001"/>
    <n v="6.7400000000000002E-2"/>
    <n v="5.0059793599199995"/>
    <n v="10.098963871919999"/>
    <n v="234"/>
    <x v="3"/>
    <x v="17"/>
    <n v="280.69799999999998"/>
  </r>
  <r>
    <x v="283"/>
    <x v="5"/>
    <x v="1"/>
    <s v="juin2022"/>
    <x v="1119"/>
    <n v="1620"/>
    <n v="1.62"/>
    <x v="5"/>
    <n v="1"/>
    <n v="0"/>
    <n v="0.16"/>
    <n v="68.990227200000007"/>
    <n v="0"/>
    <n v="0"/>
    <n v="68.990227200000007"/>
    <n v="550"/>
    <x v="3"/>
    <x v="0"/>
    <n v="266.166"/>
  </r>
  <r>
    <x v="284"/>
    <x v="5"/>
    <x v="1"/>
    <s v="juin2022"/>
    <x v="1120"/>
    <n v="150"/>
    <n v="0.15"/>
    <x v="1"/>
    <n v="0.3"/>
    <n v="0.7"/>
    <n v="0.16"/>
    <n v="3.2002847999999999"/>
    <n v="6.7400000000000002E-2"/>
    <n v="3.145613268"/>
    <n v="6.3458980680000003"/>
    <n v="130"/>
    <x v="41"/>
    <x v="1"/>
    <n v="444.48399999999998"/>
  </r>
  <r>
    <x v="284"/>
    <x v="5"/>
    <x v="1"/>
    <s v="juin2022"/>
    <x v="1121"/>
    <n v="150"/>
    <n v="0.15"/>
    <x v="1"/>
    <n v="0.3"/>
    <n v="0.7"/>
    <n v="0.16"/>
    <n v="2.9440008"/>
    <n v="6.7400000000000002E-2"/>
    <n v="2.8937074530000002"/>
    <n v="5.8377082530000006"/>
    <n v="130"/>
    <x v="43"/>
    <x v="1"/>
    <n v="408.88900000000001"/>
  </r>
  <r>
    <x v="284"/>
    <x v="5"/>
    <x v="1"/>
    <s v="juin2022"/>
    <x v="1122"/>
    <n v="150"/>
    <n v="0.15"/>
    <x v="1"/>
    <n v="0.3"/>
    <n v="0.7"/>
    <n v="0.16"/>
    <n v="1.3450607999999999"/>
    <n v="6.7400000000000002E-2"/>
    <n v="1.3220826779999999"/>
    <n v="2.6671434779999998"/>
    <n v="140"/>
    <x v="29"/>
    <x v="1"/>
    <n v="186.81399999999999"/>
  </r>
  <r>
    <x v="284"/>
    <x v="5"/>
    <x v="1"/>
    <s v="juin2022"/>
    <x v="1123"/>
    <n v="150"/>
    <n v="0.15"/>
    <x v="1"/>
    <n v="0.3"/>
    <n v="0.7"/>
    <n v="0.16"/>
    <n v="1.8302616"/>
    <n v="6.7400000000000002E-2"/>
    <n v="1.798994631"/>
    <n v="3.6292562310000003"/>
    <n v="158"/>
    <x v="36"/>
    <x v="1"/>
    <n v="254.203"/>
  </r>
  <r>
    <x v="284"/>
    <x v="5"/>
    <x v="1"/>
    <s v="juin2022"/>
    <x v="1124"/>
    <n v="227"/>
    <n v="0.22700000000000001"/>
    <x v="2"/>
    <n v="0.3"/>
    <n v="0.7"/>
    <n v="0.16"/>
    <n v="5.8966972799999997"/>
    <n v="6.7400000000000002E-2"/>
    <n v="5.7959620347999996"/>
    <n v="11.6926593148"/>
    <n v="165"/>
    <x v="3"/>
    <x v="8"/>
    <n v="541.17999999999995"/>
  </r>
  <r>
    <x v="284"/>
    <x v="5"/>
    <x v="1"/>
    <s v="juin2022"/>
    <x v="1125"/>
    <n v="52"/>
    <n v="5.1999999999999998E-2"/>
    <x v="2"/>
    <n v="0.3"/>
    <n v="0.7"/>
    <n v="0.16"/>
    <n v="1.8860624640000001"/>
    <n v="6.7400000000000002E-2"/>
    <n v="1.8538422302399999"/>
    <n v="3.7399046942399998"/>
    <n v="168"/>
    <x v="3"/>
    <x v="35"/>
    <n v="755.63400000000001"/>
  </r>
  <r>
    <x v="284"/>
    <x v="5"/>
    <x v="1"/>
    <s v="juin2022"/>
    <x v="1126"/>
    <n v="310"/>
    <n v="0.31"/>
    <x v="2"/>
    <n v="0.3"/>
    <n v="0.7"/>
    <n v="0.16"/>
    <n v="3.7020993600000001"/>
    <n v="6.7400000000000002E-2"/>
    <n v="3.6388551625999996"/>
    <n v="7.3409545225999997"/>
    <n v="178"/>
    <x v="3"/>
    <x v="19"/>
    <n v="248.797"/>
  </r>
  <r>
    <x v="284"/>
    <x v="5"/>
    <x v="1"/>
    <s v="juin2022"/>
    <x v="1127"/>
    <n v="300"/>
    <n v="0.3"/>
    <x v="1"/>
    <n v="0.3"/>
    <n v="0.7"/>
    <n v="0.16"/>
    <n v="7.7429951999999993"/>
    <n v="6.7400000000000002E-2"/>
    <n v="7.6107190319999996"/>
    <n v="15.353714231999998"/>
    <n v="195"/>
    <x v="27"/>
    <x v="1"/>
    <n v="537.70799999999997"/>
  </r>
  <r>
    <x v="284"/>
    <x v="5"/>
    <x v="1"/>
    <s v="juin2022"/>
    <x v="1128"/>
    <n v="302"/>
    <n v="0.30199999999999999"/>
    <x v="2"/>
    <n v="0.3"/>
    <n v="0.7"/>
    <n v="0.16"/>
    <n v="4.055966304"/>
    <n v="6.7400000000000002E-2"/>
    <n v="3.9866768796399996"/>
    <n v="8.0426431836399992"/>
    <n v="205"/>
    <x v="3"/>
    <x v="10"/>
    <n v="279.79899999999998"/>
  </r>
  <r>
    <x v="284"/>
    <x v="5"/>
    <x v="1"/>
    <s v="juin2022"/>
    <x v="1129"/>
    <n v="300"/>
    <n v="0.3"/>
    <x v="2"/>
    <n v="0.3"/>
    <n v="0.7"/>
    <n v="0.16"/>
    <n v="7.7979743999999993"/>
    <n v="6.7400000000000002E-2"/>
    <n v="7.6647590039999995"/>
    <n v="15.462733403999998"/>
    <n v="239"/>
    <x v="4"/>
    <x v="1"/>
    <n v="541.52599999999995"/>
  </r>
  <r>
    <x v="284"/>
    <x v="5"/>
    <x v="1"/>
    <s v="juin2022"/>
    <x v="1130"/>
    <n v="300"/>
    <n v="0.3"/>
    <x v="2"/>
    <n v="0.3"/>
    <n v="0.7"/>
    <n v="0.16"/>
    <n v="5.1763680000000001"/>
    <n v="6.7400000000000002E-2"/>
    <n v="5.0879383800000006"/>
    <n v="10.264306380000001"/>
    <n v="250"/>
    <x v="38"/>
    <x v="1"/>
    <n v="359.47"/>
  </r>
  <r>
    <x v="284"/>
    <x v="5"/>
    <x v="1"/>
    <s v="juin2022"/>
    <x v="1131"/>
    <n v="750"/>
    <n v="0.75"/>
    <x v="1"/>
    <n v="0.3"/>
    <n v="0.7"/>
    <n v="0.16"/>
    <n v="1.8809640000000003"/>
    <n v="6.7400000000000002E-2"/>
    <n v="1.848830865"/>
    <n v="3.7297948650000006"/>
    <n v="280"/>
    <x v="20"/>
    <x v="1"/>
    <n v="52.249000000000002"/>
  </r>
  <r>
    <x v="284"/>
    <x v="5"/>
    <x v="1"/>
    <s v="juin2022"/>
    <x v="1132"/>
    <n v="450"/>
    <n v="0.45"/>
    <x v="2"/>
    <n v="0.3"/>
    <n v="0.7"/>
    <n v="0.16"/>
    <n v="9.8510472"/>
    <n v="6.7400000000000002E-2"/>
    <n v="9.6827584770000001"/>
    <n v="19.533805677"/>
    <n v="280"/>
    <x v="25"/>
    <x v="1"/>
    <n v="456.06700000000001"/>
  </r>
  <r>
    <x v="284"/>
    <x v="5"/>
    <x v="1"/>
    <s v="juin2022"/>
    <x v="1133"/>
    <n v="1184"/>
    <n v="1.1839999999999999"/>
    <x v="1"/>
    <n v="0.3"/>
    <n v="0.7"/>
    <n v="0.16"/>
    <n v="2.6499056640000003"/>
    <n v="6.7400000000000002E-2"/>
    <n v="2.6046364422400003"/>
    <n v="5.2545421062400006"/>
    <n v="290"/>
    <x v="3"/>
    <x v="60"/>
    <n v="46.627000000000002"/>
  </r>
  <r>
    <x v="284"/>
    <x v="5"/>
    <x v="1"/>
    <s v="juin2022"/>
    <x v="1134"/>
    <n v="750"/>
    <n v="0.75"/>
    <x v="1"/>
    <n v="0.3"/>
    <n v="0.7"/>
    <n v="0.16"/>
    <n v="27.617292000000006"/>
    <n v="6.7400000000000002E-2"/>
    <n v="27.145496595000001"/>
    <n v="54.762788595000004"/>
    <n v="480"/>
    <x v="28"/>
    <x v="1"/>
    <n v="767.14700000000005"/>
  </r>
  <r>
    <x v="284"/>
    <x v="5"/>
    <x v="1"/>
    <s v="juin2022"/>
    <x v="1135"/>
    <n v="882"/>
    <n v="0.88200000000000001"/>
    <x v="2"/>
    <n v="0.3"/>
    <n v="0.7"/>
    <n v="0.16"/>
    <n v="31.34747952"/>
    <n v="6.7400000000000002E-2"/>
    <n v="30.811960078200002"/>
    <n v="62.159439598200002"/>
    <n v="585"/>
    <x v="3"/>
    <x v="3"/>
    <n v="740.44500000000005"/>
  </r>
  <r>
    <x v="285"/>
    <x v="6"/>
    <x v="1"/>
    <s v="juillet2022"/>
    <x v="1136"/>
    <n v="102"/>
    <n v="0.10199999999999999"/>
    <x v="2"/>
    <n v="0.3"/>
    <n v="0.7"/>
    <n v="0.16"/>
    <n v="1.3627330560000002"/>
    <n v="6.7400000000000002E-2"/>
    <n v="1.3394530329600001"/>
    <n v="2.7021860889600005"/>
    <n v="100"/>
    <x v="3"/>
    <x v="54"/>
    <n v="278.33600000000001"/>
  </r>
  <r>
    <x v="285"/>
    <x v="6"/>
    <x v="1"/>
    <s v="juillet2022"/>
    <x v="1137"/>
    <n v="150"/>
    <n v="0.15"/>
    <x v="1"/>
    <n v="0.3"/>
    <n v="0.7"/>
    <n v="0.16"/>
    <n v="2.8012535999999999"/>
    <n v="6.7400000000000002E-2"/>
    <n v="2.753398851"/>
    <n v="5.5546524509999999"/>
    <n v="125"/>
    <x v="34"/>
    <x v="1"/>
    <n v="389.06299999999999"/>
  </r>
  <r>
    <x v="285"/>
    <x v="6"/>
    <x v="1"/>
    <s v="juillet2022"/>
    <x v="1138"/>
    <n v="150"/>
    <n v="0.15"/>
    <x v="2"/>
    <n v="0.3"/>
    <n v="0.7"/>
    <n v="0.16"/>
    <n v="2.7084023999999998"/>
    <n v="6.7400000000000002E-2"/>
    <n v="2.6621338589999999"/>
    <n v="5.3705362589999996"/>
    <n v="140"/>
    <x v="35"/>
    <x v="1"/>
    <n v="376.16699999999997"/>
  </r>
  <r>
    <x v="285"/>
    <x v="6"/>
    <x v="1"/>
    <s v="juillet2022"/>
    <x v="1139"/>
    <n v="440"/>
    <n v="0.44"/>
    <x v="3"/>
    <n v="1"/>
    <n v="0"/>
    <n v="0.24099999999999999"/>
    <n v="3.6144794399999998"/>
    <n v="0"/>
    <n v="0"/>
    <n v="3.6144794399999998"/>
    <n v="140"/>
    <x v="3"/>
    <x v="27"/>
    <n v="34.085999999999999"/>
  </r>
  <r>
    <x v="285"/>
    <x v="6"/>
    <x v="1"/>
    <s v="juillet2022"/>
    <x v="1140"/>
    <n v="400"/>
    <n v="0.4"/>
    <x v="1"/>
    <n v="0.3"/>
    <n v="0.7"/>
    <n v="0.16"/>
    <n v="5.347142400000001"/>
    <n v="6.7400000000000002E-2"/>
    <n v="5.2557953839999998"/>
    <n v="10.602937784000002"/>
    <n v="200"/>
    <x v="11"/>
    <x v="1"/>
    <n v="278.49700000000001"/>
  </r>
  <r>
    <x v="285"/>
    <x v="6"/>
    <x v="1"/>
    <s v="juillet2022"/>
    <x v="1141"/>
    <n v="203"/>
    <n v="0.20300000000000001"/>
    <x v="2"/>
    <n v="0.3"/>
    <n v="0.7"/>
    <n v="0.16"/>
    <n v="2.7263614560000002"/>
    <n v="6.7400000000000002E-2"/>
    <n v="2.6797861144600001"/>
    <n v="5.4061475704599999"/>
    <n v="205"/>
    <x v="3"/>
    <x v="10"/>
    <n v="279.79899999999998"/>
  </r>
  <r>
    <x v="285"/>
    <x v="6"/>
    <x v="1"/>
    <s v="juillet2022"/>
    <x v="1142"/>
    <n v="300"/>
    <n v="0.3"/>
    <x v="2"/>
    <n v="0.3"/>
    <n v="0.7"/>
    <n v="0.16"/>
    <n v="3.7158191999999999"/>
    <n v="6.7400000000000002E-2"/>
    <n v="3.6523406220000001"/>
    <n v="7.368159822"/>
    <n v="260"/>
    <x v="14"/>
    <x v="1"/>
    <n v="258.04300000000001"/>
  </r>
  <r>
    <x v="285"/>
    <x v="6"/>
    <x v="1"/>
    <s v="juillet2022"/>
    <x v="1143"/>
    <n v="450"/>
    <n v="0.45"/>
    <x v="2"/>
    <n v="0.3"/>
    <n v="0.7"/>
    <n v="0.16"/>
    <n v="5.3740152000000005"/>
    <n v="6.7400000000000002E-2"/>
    <n v="5.2822091069999999"/>
    <n v="10.656224307"/>
    <n v="270"/>
    <x v="3"/>
    <x v="19"/>
    <n v="248.797"/>
  </r>
  <r>
    <x v="285"/>
    <x v="6"/>
    <x v="1"/>
    <s v="juillet2022"/>
    <x v="1144"/>
    <n v="800"/>
    <n v="0.8"/>
    <x v="1"/>
    <n v="0.3"/>
    <n v="0.7"/>
    <n v="0.16"/>
    <n v="9.8653824000000014"/>
    <n v="6.7400000000000002E-2"/>
    <n v="9.6968487840000002"/>
    <n v="19.562231184000002"/>
    <n v="399"/>
    <x v="3"/>
    <x v="4"/>
    <n v="256.911"/>
  </r>
  <r>
    <x v="285"/>
    <x v="6"/>
    <x v="1"/>
    <s v="juillet2022"/>
    <x v="1145"/>
    <n v="881"/>
    <n v="0.88100000000000001"/>
    <x v="2"/>
    <n v="0.3"/>
    <n v="0.7"/>
    <n v="0.16"/>
    <n v="19.389344015999999"/>
    <n v="6.7400000000000002E-2"/>
    <n v="19.05810938906"/>
    <n v="38.447453405060003"/>
    <n v="435"/>
    <x v="3"/>
    <x v="61"/>
    <n v="458.50700000000001"/>
  </r>
  <r>
    <x v="285"/>
    <x v="6"/>
    <x v="1"/>
    <s v="juillet2022"/>
    <x v="1146"/>
    <n v="600"/>
    <n v="0.6"/>
    <x v="2"/>
    <n v="0.3"/>
    <n v="0.7"/>
    <n v="0.16"/>
    <n v="21.314822399999997"/>
    <n v="6.7400000000000002E-2"/>
    <n v="20.950694184"/>
    <n v="42.265516583999997"/>
    <n v="470"/>
    <x v="23"/>
    <x v="1"/>
    <n v="740.09799999999996"/>
  </r>
  <r>
    <x v="286"/>
    <x v="6"/>
    <x v="1"/>
    <s v="juillet2022"/>
    <x v="1147"/>
    <n v="102"/>
    <n v="0.10199999999999999"/>
    <x v="2"/>
    <n v="0.3"/>
    <n v="0.7"/>
    <n v="0.16"/>
    <n v="1.203427008"/>
    <n v="6.7400000000000002E-2"/>
    <n v="1.1828684632799999"/>
    <n v="2.38629547128"/>
    <n v="100"/>
    <x v="3"/>
    <x v="33"/>
    <n v="245.798"/>
  </r>
  <r>
    <x v="286"/>
    <x v="6"/>
    <x v="1"/>
    <s v="juillet2022"/>
    <x v="1148"/>
    <n v="158"/>
    <n v="0.158"/>
    <x v="2"/>
    <n v="0.3"/>
    <n v="0.7"/>
    <n v="0.16"/>
    <n v="2.9580330240000001"/>
    <n v="6.7400000000000002E-2"/>
    <n v="2.90749995984"/>
    <n v="5.8655329838399997"/>
    <n v="140"/>
    <x v="3"/>
    <x v="76"/>
    <n v="390.036"/>
  </r>
  <r>
    <x v="286"/>
    <x v="6"/>
    <x v="1"/>
    <s v="juillet2022"/>
    <x v="1149"/>
    <n v="450"/>
    <n v="0.45"/>
    <x v="2"/>
    <n v="0.3"/>
    <n v="0.7"/>
    <n v="0.16"/>
    <n v="15.3789192"/>
    <n v="6.7400000000000002E-2"/>
    <n v="15.116195996999998"/>
    <n v="30.495115196999997"/>
    <n v="355"/>
    <x v="32"/>
    <x v="1"/>
    <n v="711.98699999999997"/>
  </r>
  <r>
    <x v="286"/>
    <x v="6"/>
    <x v="1"/>
    <s v="juillet2022"/>
    <x v="1150"/>
    <n v="439"/>
    <n v="0.439"/>
    <x v="2"/>
    <n v="0.3"/>
    <n v="0.7"/>
    <n v="0.16"/>
    <n v="10.868895456000001"/>
    <n v="6.7400000000000002E-2"/>
    <n v="10.68321849196"/>
    <n v="21.552113947960002"/>
    <n v="360"/>
    <x v="3"/>
    <x v="2"/>
    <n v="515.798"/>
  </r>
  <r>
    <x v="286"/>
    <x v="6"/>
    <x v="1"/>
    <s v="juillet2022"/>
    <x v="1151"/>
    <n v="450"/>
    <n v="0.45"/>
    <x v="2"/>
    <n v="0.3"/>
    <n v="0.7"/>
    <n v="0.16"/>
    <n v="8.2206576000000009"/>
    <n v="6.7400000000000002E-2"/>
    <n v="8.080221366"/>
    <n v="16.300878965999999"/>
    <n v="450"/>
    <x v="12"/>
    <x v="1"/>
    <n v="380.58600000000001"/>
  </r>
  <r>
    <x v="286"/>
    <x v="6"/>
    <x v="1"/>
    <s v="juillet2022"/>
    <x v="1152"/>
    <n v="1000"/>
    <n v="1"/>
    <x v="1"/>
    <n v="0.3"/>
    <n v="0.7"/>
    <n v="0.16"/>
    <n v="24.790752000000001"/>
    <n v="6.7400000000000002E-2"/>
    <n v="24.367243320000004"/>
    <n v="49.157995320000005"/>
    <n v="520"/>
    <x v="0"/>
    <x v="1"/>
    <n v="516.47400000000005"/>
  </r>
  <r>
    <x v="287"/>
    <x v="6"/>
    <x v="1"/>
    <s v="juillet2022"/>
    <x v="1153"/>
    <n v="300"/>
    <n v="0.3"/>
    <x v="3"/>
    <n v="1"/>
    <n v="0"/>
    <n v="0.24099999999999999"/>
    <n v="2.4575492999999997"/>
    <n v="0"/>
    <n v="0"/>
    <n v="2.4575492999999997"/>
    <n v="100"/>
    <x v="5"/>
    <x v="1"/>
    <n v="33.991"/>
  </r>
  <r>
    <x v="287"/>
    <x v="6"/>
    <x v="1"/>
    <s v="juillet2022"/>
    <x v="1154"/>
    <n v="189"/>
    <n v="0.189"/>
    <x v="2"/>
    <n v="0.3"/>
    <n v="0.7"/>
    <n v="0.16"/>
    <n v="2.3306965920000002"/>
    <n v="6.7400000000000002E-2"/>
    <n v="2.29088052522"/>
    <n v="4.6215771172200002"/>
    <n v="155"/>
    <x v="3"/>
    <x v="4"/>
    <n v="256.911"/>
  </r>
  <r>
    <x v="287"/>
    <x v="6"/>
    <x v="1"/>
    <s v="juillet2022"/>
    <x v="1155"/>
    <n v="170"/>
    <n v="0.17"/>
    <x v="2"/>
    <n v="0.3"/>
    <n v="0.7"/>
    <n v="0.16"/>
    <n v="6.0420312000000012"/>
    <n v="6.7400000000000002E-2"/>
    <n v="5.9388131670000011"/>
    <n v="11.980844367000003"/>
    <n v="159"/>
    <x v="3"/>
    <x v="3"/>
    <n v="740.44500000000005"/>
  </r>
  <r>
    <x v="287"/>
    <x v="6"/>
    <x v="1"/>
    <s v="juillet2022"/>
    <x v="1156"/>
    <n v="227"/>
    <n v="0.22700000000000001"/>
    <x v="2"/>
    <n v="0.3"/>
    <n v="0.7"/>
    <n v="0.16"/>
    <n v="5.8966972799999997"/>
    <n v="6.7400000000000002E-2"/>
    <n v="5.7959620347999996"/>
    <n v="11.6926593148"/>
    <n v="165"/>
    <x v="3"/>
    <x v="8"/>
    <n v="541.17999999999995"/>
  </r>
  <r>
    <x v="287"/>
    <x v="6"/>
    <x v="1"/>
    <s v="juillet2022"/>
    <x v="1157"/>
    <n v="378"/>
    <n v="0.378"/>
    <x v="1"/>
    <n v="0.3"/>
    <n v="0.7"/>
    <n v="0.16"/>
    <n v="4.5141727679999999"/>
    <n v="6.7400000000000002E-2"/>
    <n v="4.4370556498799996"/>
    <n v="8.9512284178799995"/>
    <n v="178"/>
    <x v="3"/>
    <x v="19"/>
    <n v="248.797"/>
  </r>
  <r>
    <x v="287"/>
    <x v="6"/>
    <x v="1"/>
    <s v="juillet2022"/>
    <x v="1158"/>
    <n v="604"/>
    <n v="0.60399999999999998"/>
    <x v="1"/>
    <n v="0.3"/>
    <n v="0.7"/>
    <n v="0.16"/>
    <n v="7.7166846720000004"/>
    <n v="6.7400000000000002E-2"/>
    <n v="7.5848579755199994"/>
    <n v="15.30154264752"/>
    <n v="220"/>
    <x v="3"/>
    <x v="0"/>
    <n v="266.166"/>
  </r>
  <r>
    <x v="288"/>
    <x v="6"/>
    <x v="1"/>
    <s v="juillet2022"/>
    <x v="1159"/>
    <n v="300"/>
    <n v="0.3"/>
    <x v="1"/>
    <n v="0.3"/>
    <n v="0.7"/>
    <n v="0.16"/>
    <n v="4.0052879999999993"/>
    <n v="6.7400000000000002E-2"/>
    <n v="3.9368643299999997"/>
    <n v="7.942152329999999"/>
    <n v="188"/>
    <x v="7"/>
    <x v="1"/>
    <n v="278.14499999999998"/>
  </r>
  <r>
    <x v="288"/>
    <x v="6"/>
    <x v="1"/>
    <s v="juillet2022"/>
    <x v="1160"/>
    <n v="102"/>
    <n v="0.10199999999999999"/>
    <x v="2"/>
    <n v="0.3"/>
    <n v="0.7"/>
    <n v="0.16"/>
    <n v="3.8131027200000003"/>
    <n v="6.7400000000000002E-2"/>
    <n v="3.7479622152000003"/>
    <n v="7.561064935200001"/>
    <n v="200"/>
    <x v="3"/>
    <x v="81"/>
    <n v="778.82"/>
  </r>
  <r>
    <x v="288"/>
    <x v="6"/>
    <x v="1"/>
    <s v="juillet2022"/>
    <x v="1161"/>
    <n v="203"/>
    <n v="0.20300000000000001"/>
    <x v="2"/>
    <n v="0.3"/>
    <n v="0.7"/>
    <n v="0.16"/>
    <n v="2.7263614560000002"/>
    <n v="6.7400000000000002E-2"/>
    <n v="2.6797861144600001"/>
    <n v="5.4061475704599999"/>
    <n v="205"/>
    <x v="3"/>
    <x v="10"/>
    <n v="279.79899999999998"/>
  </r>
  <r>
    <x v="289"/>
    <x v="6"/>
    <x v="1"/>
    <s v="juillet2022"/>
    <x v="1162"/>
    <n v="150"/>
    <n v="0.15"/>
    <x v="2"/>
    <n v="0.3"/>
    <n v="0.7"/>
    <n v="0.16"/>
    <n v="1.6760231999999999"/>
    <n v="6.7400000000000002E-2"/>
    <n v="1.6473911370000001"/>
    <n v="3.323414337"/>
    <n v="130"/>
    <x v="44"/>
    <x v="1"/>
    <n v="232.78100000000001"/>
  </r>
  <r>
    <x v="289"/>
    <x v="6"/>
    <x v="1"/>
    <s v="juillet2022"/>
    <x v="1163"/>
    <n v="150"/>
    <n v="0.15"/>
    <x v="1"/>
    <n v="0.3"/>
    <n v="0.7"/>
    <n v="0.16"/>
    <n v="3.2002847999999999"/>
    <n v="6.7400000000000002E-2"/>
    <n v="3.145613268"/>
    <n v="6.3458980680000003"/>
    <n v="130"/>
    <x v="41"/>
    <x v="1"/>
    <n v="444.48399999999998"/>
  </r>
  <r>
    <x v="289"/>
    <x v="6"/>
    <x v="1"/>
    <s v="juillet2022"/>
    <x v="1164"/>
    <n v="150"/>
    <n v="0.15"/>
    <x v="1"/>
    <n v="0.3"/>
    <n v="0.7"/>
    <n v="0.16"/>
    <n v="2.0026439999999996"/>
    <n v="6.7400000000000002E-2"/>
    <n v="1.9684321649999998"/>
    <n v="3.9710761649999995"/>
    <n v="158"/>
    <x v="7"/>
    <x v="1"/>
    <n v="278.14499999999998"/>
  </r>
  <r>
    <x v="289"/>
    <x v="6"/>
    <x v="1"/>
    <s v="juillet2022"/>
    <x v="1165"/>
    <n v="300"/>
    <n v="0.3"/>
    <x v="1"/>
    <n v="0.3"/>
    <n v="0.7"/>
    <n v="0.16"/>
    <n v="7.402795199999999"/>
    <n v="6.7400000000000002E-2"/>
    <n v="7.2763307819999996"/>
    <n v="14.679125981999999"/>
    <n v="165"/>
    <x v="40"/>
    <x v="1"/>
    <n v="514.08299999999997"/>
  </r>
  <r>
    <x v="289"/>
    <x v="6"/>
    <x v="1"/>
    <s v="juillet2022"/>
    <x v="1166"/>
    <n v="300"/>
    <n v="0.3"/>
    <x v="1"/>
    <n v="0.3"/>
    <n v="0.7"/>
    <n v="0.16"/>
    <n v="4.5534527999999996"/>
    <n v="6.7400000000000002E-2"/>
    <n v="4.4756646479999995"/>
    <n v="9.0291174479999992"/>
    <n v="175"/>
    <x v="42"/>
    <x v="1"/>
    <n v="316.21199999999999"/>
  </r>
  <r>
    <x v="289"/>
    <x v="6"/>
    <x v="1"/>
    <s v="juillet2022"/>
    <x v="1167"/>
    <n v="300"/>
    <n v="0.3"/>
    <x v="1"/>
    <n v="0.3"/>
    <n v="0.7"/>
    <n v="0.16"/>
    <n v="7.7429951999999993"/>
    <n v="6.7400000000000002E-2"/>
    <n v="7.6107190319999996"/>
    <n v="15.353714231999998"/>
    <n v="195"/>
    <x v="27"/>
    <x v="1"/>
    <n v="537.70799999999997"/>
  </r>
  <r>
    <x v="289"/>
    <x v="6"/>
    <x v="1"/>
    <s v="juillet2022"/>
    <x v="1168"/>
    <n v="152"/>
    <n v="0.152"/>
    <x v="2"/>
    <n v="0.3"/>
    <n v="0.7"/>
    <n v="0.16"/>
    <n v="6.4518528000000002"/>
    <n v="6.7400000000000002E-2"/>
    <n v="6.3416336479999993"/>
    <n v="12.793486447999999"/>
    <n v="196"/>
    <x v="3"/>
    <x v="79"/>
    <n v="884.3"/>
  </r>
  <r>
    <x v="289"/>
    <x v="6"/>
    <x v="1"/>
    <s v="juillet2022"/>
    <x v="1169"/>
    <n v="220"/>
    <n v="0.22"/>
    <x v="2"/>
    <n v="0.3"/>
    <n v="0.7"/>
    <n v="0.16"/>
    <n v="3.3451651199999999"/>
    <n v="6.7400000000000002E-2"/>
    <n v="3.2880185491999998"/>
    <n v="6.6331836691999992"/>
    <n v="210"/>
    <x v="3"/>
    <x v="77"/>
    <n v="316.77699999999999"/>
  </r>
  <r>
    <x v="289"/>
    <x v="6"/>
    <x v="1"/>
    <s v="juillet2022"/>
    <x v="1170"/>
    <n v="303"/>
    <n v="0.30299999999999999"/>
    <x v="2"/>
    <n v="0.3"/>
    <n v="0.7"/>
    <n v="0.16"/>
    <n v="3.8620864800000003"/>
    <n v="6.7400000000000002E-2"/>
    <n v="3.7961091692999998"/>
    <n v="7.6581956492999996"/>
    <n v="215"/>
    <x v="3"/>
    <x v="11"/>
    <n v="265.54500000000002"/>
  </r>
  <r>
    <x v="289"/>
    <x v="6"/>
    <x v="1"/>
    <s v="juillet2022"/>
    <x v="1171"/>
    <n v="303"/>
    <n v="0.30299999999999999"/>
    <x v="2"/>
    <n v="0.3"/>
    <n v="0.7"/>
    <n v="0.16"/>
    <n v="3.6185035679999999"/>
    <n v="6.7400000000000002E-2"/>
    <n v="3.5566874653799996"/>
    <n v="7.1751910333799991"/>
    <n v="215"/>
    <x v="3"/>
    <x v="19"/>
    <n v="248.797"/>
  </r>
  <r>
    <x v="289"/>
    <x v="6"/>
    <x v="1"/>
    <s v="juillet2022"/>
    <x v="1172"/>
    <n v="300"/>
    <n v="0.3"/>
    <x v="2"/>
    <n v="0.3"/>
    <n v="0.7"/>
    <n v="0.16"/>
    <n v="7.7979743999999993"/>
    <n v="6.7400000000000002E-2"/>
    <n v="7.6647590039999995"/>
    <n v="15.462733403999998"/>
    <n v="239"/>
    <x v="4"/>
    <x v="1"/>
    <n v="541.52599999999995"/>
  </r>
  <r>
    <x v="289"/>
    <x v="6"/>
    <x v="1"/>
    <s v="juillet2022"/>
    <x v="1173"/>
    <n v="150"/>
    <n v="0.15"/>
    <x v="2"/>
    <n v="0.3"/>
    <n v="0.7"/>
    <n v="0.16"/>
    <n v="3.2836824"/>
    <n v="6.7400000000000002E-2"/>
    <n v="3.2275861589999999"/>
    <n v="6.5112685589999995"/>
    <n v="280"/>
    <x v="25"/>
    <x v="1"/>
    <n v="456.06700000000001"/>
  </r>
  <r>
    <x v="289"/>
    <x v="6"/>
    <x v="1"/>
    <s v="juillet2022"/>
    <x v="1174"/>
    <n v="300"/>
    <n v="0.3"/>
    <x v="2"/>
    <n v="0.3"/>
    <n v="0.7"/>
    <n v="0.16"/>
    <n v="10.662408000000001"/>
    <n v="6.7400000000000002E-2"/>
    <n v="10.48025853"/>
    <n v="21.14266653"/>
    <n v="340"/>
    <x v="3"/>
    <x v="3"/>
    <n v="740.44500000000005"/>
  </r>
  <r>
    <x v="290"/>
    <x v="6"/>
    <x v="1"/>
    <s v="juillet2022"/>
    <x v="1175"/>
    <n v="152"/>
    <n v="0.152"/>
    <x v="2"/>
    <n v="0.3"/>
    <n v="0.7"/>
    <n v="0.16"/>
    <n v="1.8152229120000001"/>
    <n v="6.7400000000000002E-2"/>
    <n v="1.78421285392"/>
    <n v="3.59943576592"/>
    <n v="100"/>
    <x v="3"/>
    <x v="19"/>
    <n v="248.797"/>
  </r>
  <r>
    <x v="290"/>
    <x v="6"/>
    <x v="1"/>
    <s v="juillet2022"/>
    <x v="1176"/>
    <n v="150"/>
    <n v="0.15"/>
    <x v="1"/>
    <n v="0.3"/>
    <n v="0.7"/>
    <n v="0.16"/>
    <n v="2.8012535999999999"/>
    <n v="6.7400000000000002E-2"/>
    <n v="2.753398851"/>
    <n v="5.5546524509999999"/>
    <n v="125"/>
    <x v="34"/>
    <x v="1"/>
    <n v="389.06299999999999"/>
  </r>
  <r>
    <x v="290"/>
    <x v="6"/>
    <x v="1"/>
    <s v="juillet2022"/>
    <x v="1177"/>
    <n v="150"/>
    <n v="0.15"/>
    <x v="1"/>
    <n v="0.3"/>
    <n v="0.7"/>
    <n v="0.16"/>
    <n v="1.3450607999999999"/>
    <n v="6.7400000000000002E-2"/>
    <n v="1.3220826779999999"/>
    <n v="2.6671434779999998"/>
    <n v="140"/>
    <x v="29"/>
    <x v="1"/>
    <n v="186.81399999999999"/>
  </r>
  <r>
    <x v="290"/>
    <x v="6"/>
    <x v="1"/>
    <s v="juillet2022"/>
    <x v="1178"/>
    <n v="121"/>
    <n v="0.121"/>
    <x v="2"/>
    <n v="0.3"/>
    <n v="0.7"/>
    <n v="0.16"/>
    <n v="2.5860236159999999"/>
    <n v="6.7400000000000002E-2"/>
    <n v="2.5418457125600002"/>
    <n v="5.1278693285600001"/>
    <n v="145"/>
    <x v="3"/>
    <x v="78"/>
    <n v="445.25200000000001"/>
  </r>
  <r>
    <x v="290"/>
    <x v="6"/>
    <x v="1"/>
    <s v="juillet2022"/>
    <x v="1179"/>
    <n v="150"/>
    <n v="0.15"/>
    <x v="1"/>
    <n v="0.3"/>
    <n v="0.7"/>
    <n v="0.16"/>
    <n v="2.0051784000000001"/>
    <n v="6.7400000000000002E-2"/>
    <n v="1.970923269"/>
    <n v="3.9761016690000002"/>
    <n v="158"/>
    <x v="11"/>
    <x v="1"/>
    <n v="278.49700000000001"/>
  </r>
  <r>
    <x v="290"/>
    <x v="6"/>
    <x v="1"/>
    <s v="juillet2022"/>
    <x v="1180"/>
    <n v="150"/>
    <n v="0.15"/>
    <x v="2"/>
    <n v="0.3"/>
    <n v="0.7"/>
    <n v="0.16"/>
    <n v="4.1551992000000002"/>
    <n v="6.7400000000000002E-2"/>
    <n v="4.0842145470000002"/>
    <n v="8.2394137470000004"/>
    <n v="195"/>
    <x v="37"/>
    <x v="1"/>
    <n v="577.11099999999999"/>
  </r>
  <r>
    <x v="290"/>
    <x v="6"/>
    <x v="1"/>
    <s v="juillet2022"/>
    <x v="1181"/>
    <n v="300"/>
    <n v="0.3"/>
    <x v="2"/>
    <n v="0.3"/>
    <n v="0.7"/>
    <n v="0.16"/>
    <n v="2.4943679999999997"/>
    <n v="6.7400000000000002E-2"/>
    <n v="2.4517558799999999"/>
    <n v="4.94612388"/>
    <n v="200"/>
    <x v="30"/>
    <x v="1"/>
    <n v="173.22"/>
  </r>
  <r>
    <x v="290"/>
    <x v="6"/>
    <x v="1"/>
    <s v="juillet2022"/>
    <x v="1182"/>
    <n v="300"/>
    <n v="0.3"/>
    <x v="2"/>
    <n v="0.3"/>
    <n v="0.7"/>
    <n v="0.16"/>
    <n v="3.7158191999999999"/>
    <n v="6.7400000000000002E-2"/>
    <n v="3.6523406220000001"/>
    <n v="7.368159822"/>
    <n v="200"/>
    <x v="14"/>
    <x v="1"/>
    <n v="258.04300000000001"/>
  </r>
  <r>
    <x v="290"/>
    <x v="6"/>
    <x v="1"/>
    <s v="juillet2022"/>
    <x v="1183"/>
    <n v="385"/>
    <n v="0.38500000000000001"/>
    <x v="2"/>
    <n v="0.3"/>
    <n v="0.7"/>
    <n v="0.16"/>
    <n v="13.683423600000001"/>
    <n v="6.7400000000000002E-2"/>
    <n v="13.449665113500002"/>
    <n v="27.133088713500001"/>
    <n v="444.15"/>
    <x v="3"/>
    <x v="3"/>
    <n v="740.44500000000005"/>
  </r>
  <r>
    <x v="290"/>
    <x v="6"/>
    <x v="1"/>
    <s v="juillet2022"/>
    <x v="1184"/>
    <n v="385"/>
    <n v="0.38500000000000001"/>
    <x v="2"/>
    <n v="0.3"/>
    <n v="0.7"/>
    <n v="0.16"/>
    <n v="13.683423600000001"/>
    <n v="6.7400000000000002E-2"/>
    <n v="13.449665113500002"/>
    <n v="27.133088713500001"/>
    <n v="444.15"/>
    <x v="3"/>
    <x v="3"/>
    <n v="740.44500000000005"/>
  </r>
  <r>
    <x v="290"/>
    <x v="6"/>
    <x v="1"/>
    <s v="juillet2022"/>
    <x v="1185"/>
    <n v="750"/>
    <n v="0.75"/>
    <x v="2"/>
    <n v="0.3"/>
    <n v="0.7"/>
    <n v="0.16"/>
    <n v="26.643528"/>
    <n v="6.7400000000000002E-2"/>
    <n v="26.18836773"/>
    <n v="52.831895729999999"/>
    <n v="470"/>
    <x v="23"/>
    <x v="1"/>
    <n v="740.09799999999996"/>
  </r>
  <r>
    <x v="291"/>
    <x v="6"/>
    <x v="1"/>
    <s v="juillet2022"/>
    <x v="1186"/>
    <n v="150"/>
    <n v="0.15"/>
    <x v="1"/>
    <n v="0.3"/>
    <n v="0.7"/>
    <n v="0.16"/>
    <n v="1.9215215999999999"/>
    <n v="6.7400000000000002E-2"/>
    <n v="1.888695606"/>
    <n v="3.8102172059999999"/>
    <n v="158"/>
    <x v="31"/>
    <x v="1"/>
    <n v="266.87799999999999"/>
  </r>
  <r>
    <x v="291"/>
    <x v="6"/>
    <x v="1"/>
    <s v="juillet2022"/>
    <x v="1187"/>
    <n v="300"/>
    <n v="0.3"/>
    <x v="2"/>
    <n v="0.3"/>
    <n v="0.7"/>
    <n v="0.16"/>
    <n v="5.4168047999999995"/>
    <n v="6.7400000000000002E-2"/>
    <n v="5.3242677179999998"/>
    <n v="10.741072517999999"/>
    <n v="210"/>
    <x v="35"/>
    <x v="1"/>
    <n v="376.16699999999997"/>
  </r>
  <r>
    <x v="291"/>
    <x v="6"/>
    <x v="1"/>
    <s v="juillet2022"/>
    <x v="1188"/>
    <n v="450"/>
    <n v="0.45"/>
    <x v="2"/>
    <n v="0.3"/>
    <n v="0.7"/>
    <n v="0.16"/>
    <n v="9.8510472"/>
    <n v="6.7400000000000002E-2"/>
    <n v="9.6827584770000001"/>
    <n v="19.533805677"/>
    <n v="280"/>
    <x v="25"/>
    <x v="1"/>
    <n v="456.06700000000001"/>
  </r>
  <r>
    <x v="291"/>
    <x v="6"/>
    <x v="1"/>
    <s v="juillet2022"/>
    <x v="1189"/>
    <n v="1000"/>
    <n v="1"/>
    <x v="1"/>
    <n v="0.3"/>
    <n v="0.7"/>
    <n v="0.16"/>
    <n v="24.790752000000001"/>
    <n v="6.7400000000000002E-2"/>
    <n v="24.367243320000004"/>
    <n v="49.157995320000005"/>
    <n v="450"/>
    <x v="0"/>
    <x v="1"/>
    <n v="516.47400000000005"/>
  </r>
  <r>
    <x v="291"/>
    <x v="6"/>
    <x v="1"/>
    <s v="juillet2022"/>
    <x v="1190"/>
    <n v="450"/>
    <n v="0.45"/>
    <x v="2"/>
    <n v="0.3"/>
    <n v="0.7"/>
    <n v="0.16"/>
    <n v="8.2206576000000009"/>
    <n v="6.7400000000000002E-2"/>
    <n v="8.080221366"/>
    <n v="16.300878965999999"/>
    <n v="500"/>
    <x v="12"/>
    <x v="1"/>
    <n v="380.58600000000001"/>
  </r>
  <r>
    <x v="292"/>
    <x v="6"/>
    <x v="1"/>
    <s v="juillet2022"/>
    <x v="1191"/>
    <n v="150"/>
    <n v="0.15"/>
    <x v="3"/>
    <n v="1"/>
    <n v="0"/>
    <n v="0.24099999999999999"/>
    <n v="1.2322088999999998"/>
    <n v="0"/>
    <n v="0"/>
    <n v="1.2322088999999998"/>
    <n v="80"/>
    <x v="3"/>
    <x v="27"/>
    <n v="34.085999999999999"/>
  </r>
  <r>
    <x v="292"/>
    <x v="6"/>
    <x v="1"/>
    <s v="juillet2022"/>
    <x v="1192"/>
    <n v="188"/>
    <n v="0.188"/>
    <x v="1"/>
    <n v="0.3"/>
    <n v="0.7"/>
    <n v="0.16"/>
    <n v="2.2612248960000003"/>
    <n v="6.7400000000000002E-2"/>
    <n v="2.22259563736"/>
    <n v="4.4838205333600003"/>
    <n v="100"/>
    <x v="3"/>
    <x v="16"/>
    <n v="250.57900000000001"/>
  </r>
  <r>
    <x v="292"/>
    <x v="6"/>
    <x v="1"/>
    <s v="juillet2022"/>
    <x v="1193"/>
    <n v="150"/>
    <n v="0.15"/>
    <x v="1"/>
    <n v="0.3"/>
    <n v="0.7"/>
    <n v="0.16"/>
    <n v="2.9440008"/>
    <n v="6.7400000000000002E-2"/>
    <n v="2.8937074530000002"/>
    <n v="5.8377082530000006"/>
    <n v="130"/>
    <x v="43"/>
    <x v="1"/>
    <n v="408.88900000000001"/>
  </r>
  <r>
    <x v="292"/>
    <x v="6"/>
    <x v="1"/>
    <s v="juillet2022"/>
    <x v="1194"/>
    <n v="150"/>
    <n v="0.15"/>
    <x v="1"/>
    <n v="0.3"/>
    <n v="0.7"/>
    <n v="0.16"/>
    <n v="1.8302616"/>
    <n v="6.7400000000000002E-2"/>
    <n v="1.798994631"/>
    <n v="3.6292562310000003"/>
    <n v="158"/>
    <x v="36"/>
    <x v="1"/>
    <n v="254.203"/>
  </r>
  <r>
    <x v="293"/>
    <x v="6"/>
    <x v="1"/>
    <s v="juillet2022"/>
    <x v="1195"/>
    <n v="149"/>
    <n v="0.14899999999999999"/>
    <x v="1"/>
    <n v="0.3"/>
    <n v="0.7"/>
    <n v="0.16"/>
    <n v="0.28289020799999998"/>
    <n v="6.7400000000000002E-2"/>
    <n v="0.27805750028000004"/>
    <n v="0.56094770828000007"/>
    <n v="80"/>
    <x v="3"/>
    <x v="88"/>
    <n v="39.554000000000002"/>
  </r>
  <r>
    <x v="293"/>
    <x v="6"/>
    <x v="1"/>
    <s v="juillet2022"/>
    <x v="1196"/>
    <n v="151"/>
    <n v="0.151"/>
    <x v="1"/>
    <n v="0.3"/>
    <n v="0.7"/>
    <n v="0.16"/>
    <n v="1.8161965920000001"/>
    <n v="6.7400000000000002E-2"/>
    <n v="1.7851699002200001"/>
    <n v="3.6013664922200004"/>
    <n v="100"/>
    <x v="3"/>
    <x v="16"/>
    <n v="250.57900000000001"/>
  </r>
  <r>
    <x v="293"/>
    <x v="6"/>
    <x v="1"/>
    <s v="juillet2022"/>
    <x v="1197"/>
    <n v="150"/>
    <n v="0.15"/>
    <x v="1"/>
    <n v="0.3"/>
    <n v="0.7"/>
    <n v="0.16"/>
    <n v="2.0026439999999996"/>
    <n v="6.7400000000000002E-2"/>
    <n v="1.9684321649999998"/>
    <n v="3.9710761649999995"/>
    <n v="158"/>
    <x v="7"/>
    <x v="1"/>
    <n v="278.14499999999998"/>
  </r>
  <r>
    <x v="293"/>
    <x v="6"/>
    <x v="1"/>
    <s v="juillet2022"/>
    <x v="1198"/>
    <n v="203"/>
    <n v="0.20300000000000001"/>
    <x v="2"/>
    <n v="0.3"/>
    <n v="0.7"/>
    <n v="0.16"/>
    <n v="2.7263614560000002"/>
    <n v="6.7400000000000002E-2"/>
    <n v="2.6797861144600001"/>
    <n v="5.4061475704599999"/>
    <n v="205"/>
    <x v="3"/>
    <x v="10"/>
    <n v="279.79899999999998"/>
  </r>
  <r>
    <x v="293"/>
    <x v="6"/>
    <x v="1"/>
    <s v="juillet2022"/>
    <x v="1199"/>
    <n v="440"/>
    <n v="0.44"/>
    <x v="2"/>
    <n v="0.3"/>
    <n v="0.7"/>
    <n v="0.16"/>
    <n v="8.0352096"/>
    <n v="6.7400000000000002E-2"/>
    <n v="7.8979414359999991"/>
    <n v="15.933151035999998"/>
    <n v="390"/>
    <x v="3"/>
    <x v="20"/>
    <n v="380.45499999999998"/>
  </r>
  <r>
    <x v="294"/>
    <x v="6"/>
    <x v="1"/>
    <s v="juillet2022"/>
    <x v="1200"/>
    <n v="265"/>
    <n v="0.26500000000000001"/>
    <x v="1"/>
    <n v="0.3"/>
    <n v="0.7"/>
    <n v="0.16"/>
    <n v="3.5704785599999997"/>
    <n v="6.7400000000000002E-2"/>
    <n v="3.5094828845999997"/>
    <n v="7.0799614445999994"/>
    <n v="100"/>
    <x v="3"/>
    <x v="17"/>
    <n v="280.69799999999998"/>
  </r>
  <r>
    <x v="294"/>
    <x v="6"/>
    <x v="1"/>
    <s v="juillet2022"/>
    <x v="1201"/>
    <n v="400"/>
    <n v="0.4"/>
    <x v="1"/>
    <n v="0.3"/>
    <n v="0.7"/>
    <n v="0.16"/>
    <n v="5.347142400000001"/>
    <n v="6.7400000000000002E-2"/>
    <n v="5.2557953839999998"/>
    <n v="10.602937784000002"/>
    <n v="158"/>
    <x v="11"/>
    <x v="1"/>
    <n v="278.49700000000001"/>
  </r>
  <r>
    <x v="294"/>
    <x v="6"/>
    <x v="1"/>
    <s v="juillet2022"/>
    <x v="1202"/>
    <n v="150"/>
    <n v="0.15"/>
    <x v="1"/>
    <n v="0.3"/>
    <n v="0.7"/>
    <n v="0.16"/>
    <n v="1.2471839999999998"/>
    <n v="6.7400000000000002E-2"/>
    <n v="1.2258779399999999"/>
    <n v="2.47306194"/>
    <n v="200"/>
    <x v="30"/>
    <x v="1"/>
    <n v="173.22"/>
  </r>
  <r>
    <x v="294"/>
    <x v="6"/>
    <x v="1"/>
    <s v="juillet2022"/>
    <x v="1203"/>
    <n v="300"/>
    <n v="0.3"/>
    <x v="1"/>
    <n v="0.3"/>
    <n v="0.7"/>
    <n v="0.16"/>
    <n v="3.7158191999999999"/>
    <n v="6.7400000000000002E-2"/>
    <n v="3.6523406220000001"/>
    <n v="7.368159822"/>
    <n v="200"/>
    <x v="14"/>
    <x v="1"/>
    <n v="258.04300000000001"/>
  </r>
  <r>
    <x v="295"/>
    <x v="6"/>
    <x v="1"/>
    <s v="juillet2022"/>
    <x v="1204"/>
    <n v="150"/>
    <n v="0.15"/>
    <x v="1"/>
    <n v="0.3"/>
    <n v="0.7"/>
    <n v="0.16"/>
    <n v="2.2767263999999998"/>
    <n v="6.7400000000000002E-2"/>
    <n v="2.2378323239999998"/>
    <n v="4.5145587239999996"/>
    <n v="158"/>
    <x v="42"/>
    <x v="1"/>
    <n v="316.21199999999999"/>
  </r>
  <r>
    <x v="295"/>
    <x v="6"/>
    <x v="1"/>
    <s v="juillet2022"/>
    <x v="1205"/>
    <n v="227"/>
    <n v="0.22700000000000001"/>
    <x v="2"/>
    <n v="0.3"/>
    <n v="0.7"/>
    <n v="0.16"/>
    <n v="5.8966972799999997"/>
    <n v="6.7400000000000002E-2"/>
    <n v="5.7959620347999996"/>
    <n v="11.6926593148"/>
    <n v="165"/>
    <x v="3"/>
    <x v="8"/>
    <n v="541.17999999999995"/>
  </r>
  <r>
    <x v="295"/>
    <x v="6"/>
    <x v="1"/>
    <s v="juillet2022"/>
    <x v="1206"/>
    <n v="100"/>
    <n v="0.1"/>
    <x v="2"/>
    <n v="0.3"/>
    <n v="0.7"/>
    <n v="0.16"/>
    <n v="2.4758304000000004"/>
    <n v="6.7400000000000002E-2"/>
    <n v="2.4335349640000001"/>
    <n v="4.909365364000001"/>
    <n v="185"/>
    <x v="3"/>
    <x v="2"/>
    <n v="515.798"/>
  </r>
  <r>
    <x v="295"/>
    <x v="6"/>
    <x v="1"/>
    <s v="juillet2022"/>
    <x v="1207"/>
    <n v="100"/>
    <n v="0.1"/>
    <x v="2"/>
    <n v="0.3"/>
    <n v="0.7"/>
    <n v="0.16"/>
    <n v="1.7285568"/>
    <n v="6.7400000000000002E-2"/>
    <n v="1.6990272879999999"/>
    <n v="3.4275840879999997"/>
    <n v="190"/>
    <x v="3"/>
    <x v="86"/>
    <n v="360.11599999999999"/>
  </r>
  <r>
    <x v="295"/>
    <x v="6"/>
    <x v="1"/>
    <s v="juillet2022"/>
    <x v="1208"/>
    <n v="750"/>
    <n v="0.75"/>
    <x v="1"/>
    <n v="0.3"/>
    <n v="0.7"/>
    <n v="0.16"/>
    <n v="27.617292000000006"/>
    <n v="6.7400000000000002E-2"/>
    <n v="27.145496595000001"/>
    <n v="54.762788595000004"/>
    <n v="480"/>
    <x v="28"/>
    <x v="1"/>
    <n v="767.14700000000005"/>
  </r>
  <r>
    <x v="295"/>
    <x v="6"/>
    <x v="1"/>
    <s v="juillet2022"/>
    <x v="1209"/>
    <n v="750"/>
    <n v="0.75"/>
    <x v="1"/>
    <n v="0.3"/>
    <n v="0.7"/>
    <n v="0.16"/>
    <n v="27.617292000000006"/>
    <n v="6.7400000000000002E-2"/>
    <n v="27.145496595000001"/>
    <n v="54.762788595000004"/>
    <n v="480"/>
    <x v="28"/>
    <x v="1"/>
    <n v="767.14700000000005"/>
  </r>
  <r>
    <x v="296"/>
    <x v="6"/>
    <x v="1"/>
    <s v="juillet2022"/>
    <x v="1210"/>
    <n v="150"/>
    <n v="0.15"/>
    <x v="3"/>
    <n v="1"/>
    <n v="0"/>
    <n v="0.24099999999999999"/>
    <n v="1.2287746499999999"/>
    <n v="0"/>
    <n v="0"/>
    <n v="1.2287746499999999"/>
    <n v="100"/>
    <x v="5"/>
    <x v="1"/>
    <n v="33.991"/>
  </r>
  <r>
    <x v="296"/>
    <x v="6"/>
    <x v="1"/>
    <s v="juillet2022"/>
    <x v="1211"/>
    <n v="441"/>
    <n v="0.441"/>
    <x v="3"/>
    <n v="1"/>
    <n v="0"/>
    <n v="0.24099999999999999"/>
    <n v="3.622694166"/>
    <n v="0"/>
    <n v="0"/>
    <n v="3.622694166"/>
    <n v="140"/>
    <x v="3"/>
    <x v="27"/>
    <n v="34.085999999999999"/>
  </r>
  <r>
    <x v="296"/>
    <x v="6"/>
    <x v="1"/>
    <s v="juillet2022"/>
    <x v="1212"/>
    <n v="150"/>
    <n v="0.15"/>
    <x v="1"/>
    <n v="0.3"/>
    <n v="0.7"/>
    <n v="0.16"/>
    <n v="1.8302616"/>
    <n v="6.7400000000000002E-2"/>
    <n v="1.798994631"/>
    <n v="3.6292562310000003"/>
    <n v="158"/>
    <x v="36"/>
    <x v="1"/>
    <n v="254.203"/>
  </r>
  <r>
    <x v="296"/>
    <x v="6"/>
    <x v="1"/>
    <s v="juillet2022"/>
    <x v="1213"/>
    <n v="150"/>
    <n v="0.15"/>
    <x v="2"/>
    <n v="0.3"/>
    <n v="0.7"/>
    <n v="0.16"/>
    <n v="2.7402191999999999"/>
    <n v="6.7400000000000002E-2"/>
    <n v="2.693407122"/>
    <n v="5.4336263220000003"/>
    <n v="165"/>
    <x v="12"/>
    <x v="1"/>
    <n v="380.58600000000001"/>
  </r>
  <r>
    <x v="296"/>
    <x v="6"/>
    <x v="1"/>
    <s v="juillet2022"/>
    <x v="1214"/>
    <n v="150"/>
    <n v="0.15"/>
    <x v="1"/>
    <n v="0.3"/>
    <n v="0.7"/>
    <n v="0.16"/>
    <n v="1.9215215999999999"/>
    <n v="6.7400000000000002E-2"/>
    <n v="1.888695606"/>
    <n v="3.8102172059999999"/>
    <n v="193"/>
    <x v="31"/>
    <x v="1"/>
    <n v="266.87799999999999"/>
  </r>
  <r>
    <x v="296"/>
    <x v="6"/>
    <x v="1"/>
    <s v="juillet2022"/>
    <x v="1215"/>
    <n v="150"/>
    <n v="0.15"/>
    <x v="2"/>
    <n v="0.3"/>
    <n v="0.7"/>
    <n v="0.16"/>
    <n v="5.3287055999999993"/>
    <n v="6.7400000000000002E-2"/>
    <n v="5.2376735459999999"/>
    <n v="10.566379145999999"/>
    <n v="570"/>
    <x v="23"/>
    <x v="1"/>
    <n v="740.09799999999996"/>
  </r>
  <r>
    <x v="297"/>
    <x v="6"/>
    <x v="1"/>
    <s v="juillet2022"/>
    <x v="1216"/>
    <n v="150"/>
    <n v="0.15"/>
    <x v="1"/>
    <n v="0.3"/>
    <n v="0.7"/>
    <n v="0.16"/>
    <n v="2.0026439999999996"/>
    <n v="6.7400000000000002E-2"/>
    <n v="1.9684321649999998"/>
    <n v="3.9710761649999995"/>
    <n v="158"/>
    <x v="7"/>
    <x v="1"/>
    <n v="278.14499999999998"/>
  </r>
  <r>
    <x v="297"/>
    <x v="6"/>
    <x v="1"/>
    <s v="juillet2022"/>
    <x v="1217"/>
    <n v="150"/>
    <n v="0.15"/>
    <x v="1"/>
    <n v="0.3"/>
    <n v="0.7"/>
    <n v="0.16"/>
    <n v="5.4150624000000001"/>
    <n v="6.7400000000000002E-2"/>
    <n v="5.3225550840000002"/>
    <n v="10.737617484000001"/>
    <n v="165"/>
    <x v="6"/>
    <x v="1"/>
    <n v="752.09199999999998"/>
  </r>
  <r>
    <x v="298"/>
    <x v="6"/>
    <x v="1"/>
    <s v="juillet2022"/>
    <x v="1218"/>
    <n v="150"/>
    <n v="0.15"/>
    <x v="1"/>
    <n v="0.3"/>
    <n v="0.7"/>
    <n v="0.16"/>
    <n v="2.2767263999999998"/>
    <n v="6.7400000000000002E-2"/>
    <n v="2.2378323239999998"/>
    <n v="4.5145587239999996"/>
    <n v="158"/>
    <x v="42"/>
    <x v="1"/>
    <n v="316.21199999999999"/>
  </r>
  <r>
    <x v="298"/>
    <x v="6"/>
    <x v="1"/>
    <s v="juillet2022"/>
    <x v="1219"/>
    <n v="150"/>
    <n v="0.15"/>
    <x v="2"/>
    <n v="0.3"/>
    <n v="0.7"/>
    <n v="0.16"/>
    <n v="1.9966031999999998"/>
    <n v="6.7400000000000002E-2"/>
    <n v="1.9624945619999998"/>
    <n v="3.9590977619999999"/>
    <n v="180"/>
    <x v="45"/>
    <x v="89"/>
    <n v="277.30599999999998"/>
  </r>
  <r>
    <x v="298"/>
    <x v="6"/>
    <x v="1"/>
    <s v="juillet2022"/>
    <x v="1220"/>
    <n v="302"/>
    <n v="0.30199999999999999"/>
    <x v="2"/>
    <n v="0.3"/>
    <n v="0.7"/>
    <n v="0.16"/>
    <n v="3.724181856"/>
    <n v="6.7400000000000002E-2"/>
    <n v="3.66056041596"/>
    <n v="7.3847422719600004"/>
    <n v="200"/>
    <x v="3"/>
    <x v="4"/>
    <n v="256.911"/>
  </r>
  <r>
    <x v="298"/>
    <x v="6"/>
    <x v="1"/>
    <s v="juillet2022"/>
    <x v="1221"/>
    <n v="482"/>
    <n v="0.48199999999999998"/>
    <x v="2"/>
    <n v="0.3"/>
    <n v="0.7"/>
    <n v="0.16"/>
    <n v="11.933502528"/>
    <n v="6.7400000000000002E-2"/>
    <n v="11.729638526479999"/>
    <n v="23.66314105448"/>
    <n v="341"/>
    <x v="3"/>
    <x v="2"/>
    <n v="515.798"/>
  </r>
  <r>
    <x v="298"/>
    <x v="6"/>
    <x v="1"/>
    <s v="juillet2022"/>
    <x v="1222"/>
    <n v="1000"/>
    <n v="1"/>
    <x v="1"/>
    <n v="0.3"/>
    <n v="0.7"/>
    <n v="0.16"/>
    <n v="24.790752000000001"/>
    <n v="6.7400000000000002E-2"/>
    <n v="24.367243320000004"/>
    <n v="49.157995320000005"/>
    <n v="520"/>
    <x v="0"/>
    <x v="1"/>
    <n v="516.47400000000005"/>
  </r>
  <r>
    <x v="299"/>
    <x v="6"/>
    <x v="1"/>
    <s v="juillet2022"/>
    <x v="1223"/>
    <n v="150"/>
    <n v="0.15"/>
    <x v="1"/>
    <n v="0.3"/>
    <n v="0.7"/>
    <n v="0.16"/>
    <n v="1.3450607999999999"/>
    <n v="6.7400000000000002E-2"/>
    <n v="1.3220826779999999"/>
    <n v="2.6671434779999998"/>
    <n v="140"/>
    <x v="29"/>
    <x v="1"/>
    <n v="186.81399999999999"/>
  </r>
  <r>
    <x v="299"/>
    <x v="6"/>
    <x v="1"/>
    <s v="juillet2022"/>
    <x v="1224"/>
    <n v="400"/>
    <n v="0.4"/>
    <x v="1"/>
    <n v="0.3"/>
    <n v="0.7"/>
    <n v="0.16"/>
    <n v="5.347142400000001"/>
    <n v="6.7400000000000002E-2"/>
    <n v="5.2557953839999998"/>
    <n v="10.602937784000002"/>
    <n v="158"/>
    <x v="11"/>
    <x v="1"/>
    <n v="278.49700000000001"/>
  </r>
  <r>
    <x v="299"/>
    <x v="6"/>
    <x v="1"/>
    <s v="juillet2022"/>
    <x v="1225"/>
    <n v="150"/>
    <n v="0.15"/>
    <x v="1"/>
    <n v="0.3"/>
    <n v="0.7"/>
    <n v="0.16"/>
    <n v="2.8012535999999999"/>
    <n v="6.7400000000000002E-2"/>
    <n v="2.753398851"/>
    <n v="5.5546524509999999"/>
    <n v="160"/>
    <x v="34"/>
    <x v="1"/>
    <n v="389.06299999999999"/>
  </r>
  <r>
    <x v="299"/>
    <x v="6"/>
    <x v="1"/>
    <s v="juillet2022"/>
    <x v="1226"/>
    <n v="150"/>
    <n v="0.15"/>
    <x v="1"/>
    <n v="0.3"/>
    <n v="0.7"/>
    <n v="0.16"/>
    <n v="3.7013975999999995"/>
    <n v="6.7400000000000002E-2"/>
    <n v="3.6381653909999998"/>
    <n v="7.3395629909999993"/>
    <n v="165"/>
    <x v="40"/>
    <x v="1"/>
    <n v="514.08299999999997"/>
  </r>
  <r>
    <x v="299"/>
    <x v="6"/>
    <x v="1"/>
    <s v="juillet2022"/>
    <x v="1227"/>
    <n v="150"/>
    <n v="0.15"/>
    <x v="2"/>
    <n v="0.3"/>
    <n v="0.7"/>
    <n v="0.16"/>
    <n v="2.7016776"/>
    <n v="6.7400000000000002E-2"/>
    <n v="2.6555239410000002"/>
    <n v="5.3572015410000002"/>
    <n v="210"/>
    <x v="35"/>
    <x v="89"/>
    <n v="375.233"/>
  </r>
  <r>
    <x v="299"/>
    <x v="6"/>
    <x v="1"/>
    <s v="juillet2022"/>
    <x v="1228"/>
    <n v="173"/>
    <n v="0.17299999999999999"/>
    <x v="2"/>
    <n v="0.3"/>
    <n v="0.7"/>
    <n v="0.16"/>
    <n v="4.5074693279999991"/>
    <n v="6.7400000000000002E-2"/>
    <n v="4.4304667269799998"/>
    <n v="8.9379360549799998"/>
    <n v="239"/>
    <x v="4"/>
    <x v="89"/>
    <n v="542.80700000000002"/>
  </r>
  <r>
    <x v="299"/>
    <x v="6"/>
    <x v="1"/>
    <s v="juillet2022"/>
    <x v="1229"/>
    <n v="300"/>
    <n v="0.3"/>
    <x v="2"/>
    <n v="0.3"/>
    <n v="0.7"/>
    <n v="0.16"/>
    <n v="3.7023695999999995"/>
    <n v="6.7400000000000002E-2"/>
    <n v="3.6391207859999999"/>
    <n v="7.3414903859999994"/>
    <n v="275"/>
    <x v="14"/>
    <x v="89"/>
    <n v="257.10899999999998"/>
  </r>
  <r>
    <x v="299"/>
    <x v="6"/>
    <x v="1"/>
    <s v="juillet2022"/>
    <x v="1230"/>
    <n v="650"/>
    <n v="0.65"/>
    <x v="2"/>
    <n v="0.3"/>
    <n v="0.7"/>
    <n v="0.16"/>
    <n v="23.3281776"/>
    <n v="6.7400000000000002E-2"/>
    <n v="22.929654566"/>
    <n v="46.257832166"/>
    <n v="385"/>
    <x v="24"/>
    <x v="89"/>
    <n v="747.69799999999998"/>
  </r>
  <r>
    <x v="300"/>
    <x v="6"/>
    <x v="1"/>
    <s v="juillet2022"/>
    <x v="1231"/>
    <n v="150"/>
    <n v="0.15"/>
    <x v="3"/>
    <n v="1"/>
    <n v="0"/>
    <n v="0.24099999999999999"/>
    <n v="1.2287746499999999"/>
    <n v="0"/>
    <n v="0"/>
    <n v="1.2287746499999999"/>
    <n v="100"/>
    <x v="5"/>
    <x v="1"/>
    <n v="33.991"/>
  </r>
  <r>
    <x v="300"/>
    <x v="6"/>
    <x v="1"/>
    <s v="juillet2022"/>
    <x v="1232"/>
    <n v="150"/>
    <n v="0.15"/>
    <x v="2"/>
    <n v="0.3"/>
    <n v="0.7"/>
    <n v="0.16"/>
    <n v="2.7494424"/>
    <n v="6.7400000000000002E-2"/>
    <n v="2.7024727589999999"/>
    <n v="5.4519151590000003"/>
    <n v="165"/>
    <x v="12"/>
    <x v="89"/>
    <n v="381.86700000000002"/>
  </r>
  <r>
    <x v="300"/>
    <x v="6"/>
    <x v="1"/>
    <s v="juillet2022"/>
    <x v="1233"/>
    <n v="150"/>
    <n v="0.15"/>
    <x v="2"/>
    <n v="0.3"/>
    <n v="0.7"/>
    <n v="0.16"/>
    <n v="1.8102672"/>
    <n v="6.7400000000000002E-2"/>
    <n v="1.7793418019999998"/>
    <n v="3.5896090019999995"/>
    <n v="185"/>
    <x v="13"/>
    <x v="89"/>
    <n v="251.42599999999999"/>
  </r>
  <r>
    <x v="301"/>
    <x v="6"/>
    <x v="1"/>
    <s v="juillet2022"/>
    <x v="1234"/>
    <n v="170"/>
    <n v="0.17"/>
    <x v="2"/>
    <n v="0.3"/>
    <n v="0.7"/>
    <n v="0.16"/>
    <n v="1.3657392000000002"/>
    <n v="6.7400000000000002E-2"/>
    <n v="1.3424078220000002"/>
    <n v="2.7081470220000003"/>
    <n v="108"/>
    <x v="3"/>
    <x v="37"/>
    <n v="167.37"/>
  </r>
  <r>
    <x v="301"/>
    <x v="6"/>
    <x v="1"/>
    <s v="juillet2022"/>
    <x v="1235"/>
    <n v="342"/>
    <n v="0.34200000000000003"/>
    <x v="2"/>
    <n v="0.3"/>
    <n v="0.7"/>
    <n v="0.16"/>
    <n v="4.5931803840000001"/>
    <n v="6.7400000000000002E-2"/>
    <n v="4.5147135524399999"/>
    <n v="9.10789393644"/>
    <n v="205"/>
    <x v="3"/>
    <x v="10"/>
    <n v="279.79899999999998"/>
  </r>
  <r>
    <x v="301"/>
    <x v="6"/>
    <x v="1"/>
    <s v="juillet2022"/>
    <x v="1236"/>
    <n v="440"/>
    <n v="0.44"/>
    <x v="2"/>
    <n v="0.3"/>
    <n v="0.7"/>
    <n v="0.16"/>
    <n v="9.68366784"/>
    <n v="6.7400000000000002E-2"/>
    <n v="9.5182385144000001"/>
    <n v="19.201906354400002"/>
    <n v="280"/>
    <x v="3"/>
    <x v="61"/>
    <n v="458.50700000000001"/>
  </r>
  <r>
    <x v="301"/>
    <x v="6"/>
    <x v="1"/>
    <s v="juillet2022"/>
    <x v="1237"/>
    <n v="750"/>
    <n v="0.75"/>
    <x v="2"/>
    <n v="0.3"/>
    <n v="0.7"/>
    <n v="0.16"/>
    <n v="18.593064000000005"/>
    <n v="6.7400000000000002E-2"/>
    <n v="18.27543249"/>
    <n v="36.868496490000005"/>
    <n v="365"/>
    <x v="0"/>
    <x v="1"/>
    <n v="516.47400000000005"/>
  </r>
  <r>
    <x v="302"/>
    <x v="6"/>
    <x v="1"/>
    <s v="juillet2022"/>
    <x v="1238"/>
    <n v="428"/>
    <n v="0.42799999999999999"/>
    <x v="1"/>
    <n v="0.3"/>
    <n v="0.7"/>
    <n v="0.16"/>
    <n v="5.1478949759999999"/>
    <n v="6.7400000000000002E-2"/>
    <n v="5.0599517701599996"/>
    <n v="10.20784674616"/>
    <n v="140"/>
    <x v="3"/>
    <x v="16"/>
    <n v="250.57900000000001"/>
  </r>
  <r>
    <x v="302"/>
    <x v="6"/>
    <x v="1"/>
    <s v="juillet2022"/>
    <x v="1239"/>
    <n v="300"/>
    <n v="0.3"/>
    <x v="1"/>
    <n v="0.3"/>
    <n v="0.7"/>
    <n v="0.16"/>
    <n v="7.7429951999999993"/>
    <n v="6.7400000000000002E-2"/>
    <n v="7.6107190319999996"/>
    <n v="15.353714231999998"/>
    <n v="195"/>
    <x v="27"/>
    <x v="1"/>
    <n v="537.70799999999997"/>
  </r>
  <r>
    <x v="302"/>
    <x v="6"/>
    <x v="1"/>
    <s v="juillet2022"/>
    <x v="1240"/>
    <n v="150"/>
    <n v="0.15"/>
    <x v="2"/>
    <n v="0.3"/>
    <n v="0.7"/>
    <n v="0.16"/>
    <n v="1.2436343999999999"/>
    <n v="6.7400000000000002E-2"/>
    <n v="1.222388979"/>
    <n v="2.4660233790000001"/>
    <n v="200"/>
    <x v="30"/>
    <x v="89"/>
    <n v="172.727"/>
  </r>
  <r>
    <x v="302"/>
    <x v="6"/>
    <x v="1"/>
    <s v="juillet2022"/>
    <x v="1241"/>
    <n v="1055"/>
    <n v="1.0549999999999999"/>
    <x v="5"/>
    <n v="1"/>
    <n v="0"/>
    <n v="0.16"/>
    <n v="87.066702399999997"/>
    <n v="0"/>
    <n v="0"/>
    <n v="87.066702399999997"/>
    <n v="485"/>
    <x v="3"/>
    <x v="2"/>
    <n v="515.798"/>
  </r>
  <r>
    <x v="303"/>
    <x v="6"/>
    <x v="1"/>
    <s v="juillet2022"/>
    <x v="1242"/>
    <n v="170"/>
    <n v="0.17"/>
    <x v="2"/>
    <n v="0.3"/>
    <n v="0.7"/>
    <n v="0.16"/>
    <n v="1.37440512"/>
    <n v="6.7400000000000002E-2"/>
    <n v="1.3509256992000001"/>
    <n v="2.7253308191999999"/>
    <n v="108"/>
    <x v="46"/>
    <x v="89"/>
    <n v="168.43199999999999"/>
  </r>
  <r>
    <x v="303"/>
    <x v="6"/>
    <x v="1"/>
    <s v="juillet2022"/>
    <x v="1243"/>
    <n v="150"/>
    <n v="0.15"/>
    <x v="1"/>
    <n v="0.3"/>
    <n v="0.7"/>
    <n v="0.16"/>
    <n v="3.2137920000000002"/>
    <n v="6.7400000000000002E-2"/>
    <n v="3.1588897199999999"/>
    <n v="6.3726817200000001"/>
    <n v="130"/>
    <x v="47"/>
    <x v="1"/>
    <n v="446.36"/>
  </r>
  <r>
    <x v="303"/>
    <x v="6"/>
    <x v="1"/>
    <s v="juillet2022"/>
    <x v="1244"/>
    <n v="150"/>
    <n v="0.15"/>
    <x v="1"/>
    <n v="0.3"/>
    <n v="0.7"/>
    <n v="0.16"/>
    <n v="2.0026439999999996"/>
    <n v="6.7400000000000002E-2"/>
    <n v="1.9684321649999998"/>
    <n v="3.9710761649999995"/>
    <n v="158"/>
    <x v="7"/>
    <x v="1"/>
    <n v="278.14499999999998"/>
  </r>
  <r>
    <x v="303"/>
    <x v="6"/>
    <x v="1"/>
    <s v="juillet2022"/>
    <x v="1245"/>
    <n v="150"/>
    <n v="0.15"/>
    <x v="1"/>
    <n v="0.3"/>
    <n v="0.7"/>
    <n v="0.16"/>
    <n v="1.9215215999999999"/>
    <n v="6.7400000000000002E-2"/>
    <n v="1.888695606"/>
    <n v="3.8102172059999999"/>
    <n v="193"/>
    <x v="31"/>
    <x v="1"/>
    <n v="266.87799999999999"/>
  </r>
  <r>
    <x v="303"/>
    <x v="6"/>
    <x v="1"/>
    <s v="juillet2022"/>
    <x v="1246"/>
    <n v="300"/>
    <n v="0.3"/>
    <x v="2"/>
    <n v="0.3"/>
    <n v="0.7"/>
    <n v="0.16"/>
    <n v="10.236024"/>
    <n v="6.7400000000000002E-2"/>
    <n v="10.06115859"/>
    <n v="20.297182589999998"/>
    <n v="260"/>
    <x v="32"/>
    <x v="89"/>
    <n v="710.83500000000004"/>
  </r>
  <r>
    <x v="303"/>
    <x v="6"/>
    <x v="1"/>
    <s v="juillet2022"/>
    <x v="1247"/>
    <n v="300"/>
    <n v="0.3"/>
    <x v="1"/>
    <n v="0.3"/>
    <n v="0.7"/>
    <n v="0.16"/>
    <n v="11.0469168"/>
    <n v="6.7400000000000002E-2"/>
    <n v="10.858198638000001"/>
    <n v="21.905115438000003"/>
    <n v="385"/>
    <x v="28"/>
    <x v="1"/>
    <n v="767.14700000000005"/>
  </r>
  <r>
    <x v="304"/>
    <x v="6"/>
    <x v="1"/>
    <s v="juillet2022"/>
    <x v="1248"/>
    <n v="52"/>
    <n v="5.1999999999999998E-2"/>
    <x v="2"/>
    <n v="0.3"/>
    <n v="0.7"/>
    <n v="0.16"/>
    <n v="1.032565248"/>
    <n v="6.7400000000000002E-2"/>
    <n v="1.01492559168"/>
    <n v="2.04749083968"/>
    <n v="126.6"/>
    <x v="3"/>
    <x v="18"/>
    <n v="413.68799999999999"/>
  </r>
  <r>
    <x v="304"/>
    <x v="6"/>
    <x v="1"/>
    <s v="juillet2022"/>
    <x v="1249"/>
    <n v="78"/>
    <n v="7.8E-2"/>
    <x v="2"/>
    <n v="0.3"/>
    <n v="0.7"/>
    <n v="0.16"/>
    <n v="1.931147712"/>
    <n v="6.7400000000000002E-2"/>
    <n v="1.8981572719199999"/>
    <n v="3.8293049839200002"/>
    <n v="185"/>
    <x v="3"/>
    <x v="2"/>
    <n v="515.798"/>
  </r>
  <r>
    <x v="304"/>
    <x v="6"/>
    <x v="1"/>
    <s v="juillet2022"/>
    <x v="1250"/>
    <n v="150"/>
    <n v="0.15"/>
    <x v="2"/>
    <n v="0.3"/>
    <n v="0.7"/>
    <n v="0.16"/>
    <n v="1.2436343999999999"/>
    <n v="6.7400000000000002E-2"/>
    <n v="1.222388979"/>
    <n v="2.4660233790000001"/>
    <n v="200"/>
    <x v="30"/>
    <x v="89"/>
    <n v="172.727"/>
  </r>
  <r>
    <x v="304"/>
    <x v="6"/>
    <x v="1"/>
    <s v="juillet2022"/>
    <x v="1251"/>
    <n v="300"/>
    <n v="0.3"/>
    <x v="2"/>
    <n v="0.3"/>
    <n v="0.7"/>
    <n v="0.16"/>
    <n v="3.7023695999999995"/>
    <n v="6.7400000000000002E-2"/>
    <n v="3.6391207859999999"/>
    <n v="7.3414903859999994"/>
    <n v="200"/>
    <x v="14"/>
    <x v="89"/>
    <n v="257.10899999999998"/>
  </r>
  <r>
    <x v="304"/>
    <x v="6"/>
    <x v="1"/>
    <s v="juillet2022"/>
    <x v="1252"/>
    <n v="150"/>
    <n v="0.15"/>
    <x v="2"/>
    <n v="0.3"/>
    <n v="0.7"/>
    <n v="0.16"/>
    <n v="1.3415112"/>
    <n v="6.7400000000000002E-2"/>
    <n v="1.3185937169999999"/>
    <n v="2.660104917"/>
    <n v="220"/>
    <x v="29"/>
    <x v="89"/>
    <n v="186.321"/>
  </r>
  <r>
    <x v="304"/>
    <x v="6"/>
    <x v="1"/>
    <s v="juillet2022"/>
    <x v="1253"/>
    <n v="150"/>
    <n v="0.15"/>
    <x v="2"/>
    <n v="0.3"/>
    <n v="0.7"/>
    <n v="0.16"/>
    <n v="5.3379288000000003"/>
    <n v="6.7400000000000002E-2"/>
    <n v="5.2467391829999999"/>
    <n v="10.584667982999999"/>
    <n v="470"/>
    <x v="23"/>
    <x v="89"/>
    <n v="741.37900000000002"/>
  </r>
  <r>
    <x v="305"/>
    <x v="7"/>
    <x v="1"/>
    <s v="août2022"/>
    <x v="1254"/>
    <n v="150"/>
    <n v="0.15"/>
    <x v="1"/>
    <n v="0.3"/>
    <n v="0.7"/>
    <n v="0.16"/>
    <n v="2.8012535999999999"/>
    <n v="6.7400000000000002E-2"/>
    <n v="2.753398851"/>
    <n v="5.5546524509999999"/>
    <n v="145"/>
    <x v="34"/>
    <x v="1"/>
    <n v="389.06299999999999"/>
  </r>
  <r>
    <x v="305"/>
    <x v="7"/>
    <x v="1"/>
    <s v="août2022"/>
    <x v="1255"/>
    <n v="150"/>
    <n v="0.15"/>
    <x v="2"/>
    <n v="0.3"/>
    <n v="0.7"/>
    <n v="0.16"/>
    <n v="5.4067680000000005"/>
    <n v="6.7400000000000002E-2"/>
    <n v="5.3144023800000006"/>
    <n v="10.72117038"/>
    <n v="165"/>
    <x v="6"/>
    <x v="89"/>
    <n v="750.94"/>
  </r>
  <r>
    <x v="305"/>
    <x v="7"/>
    <x v="1"/>
    <s v="août2022"/>
    <x v="1256"/>
    <n v="342"/>
    <n v="0.34200000000000003"/>
    <x v="2"/>
    <n v="0.3"/>
    <n v="0.7"/>
    <n v="0.16"/>
    <n v="8.8840108799999999"/>
    <n v="6.7400000000000002E-2"/>
    <n v="8.732242360799999"/>
    <n v="17.616253240799999"/>
    <n v="225"/>
    <x v="3"/>
    <x v="8"/>
    <n v="541.17999999999995"/>
  </r>
  <r>
    <x v="305"/>
    <x v="7"/>
    <x v="1"/>
    <s v="août2022"/>
    <x v="1257"/>
    <n v="450"/>
    <n v="0.45"/>
    <x v="1"/>
    <n v="0.3"/>
    <n v="0.7"/>
    <n v="0.16"/>
    <n v="16.570375200000001"/>
    <n v="6.7400000000000002E-2"/>
    <n v="16.287297957"/>
    <n v="32.857673157000001"/>
    <n v="300"/>
    <x v="28"/>
    <x v="1"/>
    <n v="767.14700000000005"/>
  </r>
  <r>
    <x v="305"/>
    <x v="7"/>
    <x v="1"/>
    <s v="août2022"/>
    <x v="1258"/>
    <n v="1650"/>
    <n v="1.65"/>
    <x v="1"/>
    <n v="0.3"/>
    <n v="0.7"/>
    <n v="0.16"/>
    <n v="40.904740799999999"/>
    <n v="6.7400000000000002E-2"/>
    <n v="40.205951478000003"/>
    <n v="81.110692278000002"/>
    <n v="477"/>
    <x v="0"/>
    <x v="1"/>
    <n v="516.47400000000005"/>
  </r>
  <r>
    <x v="306"/>
    <x v="7"/>
    <x v="1"/>
    <s v="août2022"/>
    <x v="1259"/>
    <n v="212"/>
    <n v="0.21199999999999999"/>
    <x v="3"/>
    <n v="1"/>
    <n v="0"/>
    <n v="0.24099999999999999"/>
    <n v="1.7415219119999998"/>
    <n v="0"/>
    <n v="0"/>
    <n v="1.7415219119999998"/>
    <n v="80"/>
    <x v="3"/>
    <x v="27"/>
    <n v="34.085999999999999"/>
  </r>
  <r>
    <x v="306"/>
    <x v="7"/>
    <x v="1"/>
    <s v="août2022"/>
    <x v="1260"/>
    <n v="150"/>
    <n v="0.15"/>
    <x v="1"/>
    <n v="0.3"/>
    <n v="0.7"/>
    <n v="0.16"/>
    <n v="3.5499527999999998"/>
    <n v="6.7400000000000002E-2"/>
    <n v="3.4893077729999997"/>
    <n v="7.039260573"/>
    <n v="165"/>
    <x v="0"/>
    <x v="60"/>
    <n v="493.04899999999998"/>
  </r>
  <r>
    <x v="306"/>
    <x v="7"/>
    <x v="1"/>
    <s v="août2022"/>
    <x v="1261"/>
    <n v="150"/>
    <n v="0.15"/>
    <x v="1"/>
    <n v="0.3"/>
    <n v="0.7"/>
    <n v="0.16"/>
    <n v="3.5516159999999997"/>
    <n v="6.7400000000000002E-2"/>
    <n v="3.4909425599999997"/>
    <n v="7.0425585599999998"/>
    <n v="165"/>
    <x v="0"/>
    <x v="27"/>
    <n v="493.28"/>
  </r>
  <r>
    <x v="306"/>
    <x v="7"/>
    <x v="1"/>
    <s v="août2022"/>
    <x v="1262"/>
    <n v="300"/>
    <n v="0.3"/>
    <x v="1"/>
    <n v="0.3"/>
    <n v="0.7"/>
    <n v="0.16"/>
    <n v="3.8430431999999999"/>
    <n v="6.7400000000000002E-2"/>
    <n v="3.7773912119999999"/>
    <n v="7.6204344119999998"/>
    <n v="193"/>
    <x v="31"/>
    <x v="1"/>
    <n v="266.87799999999999"/>
  </r>
  <r>
    <x v="306"/>
    <x v="7"/>
    <x v="1"/>
    <s v="août2022"/>
    <x v="1263"/>
    <n v="685"/>
    <n v="0.68500000000000005"/>
    <x v="2"/>
    <n v="0.3"/>
    <n v="0.7"/>
    <n v="0.16"/>
    <n v="8.180445360000002"/>
    <n v="6.7400000000000002E-2"/>
    <n v="8.0406960851000004"/>
    <n v="16.221141445100002"/>
    <n v="245"/>
    <x v="3"/>
    <x v="19"/>
    <n v="248.797"/>
  </r>
  <r>
    <x v="307"/>
    <x v="7"/>
    <x v="1"/>
    <s v="août2022"/>
    <x v="1264"/>
    <n v="450"/>
    <n v="0.45"/>
    <x v="3"/>
    <n v="1"/>
    <n v="0"/>
    <n v="0.24099999999999999"/>
    <n v="3.6863239500000002"/>
    <n v="0"/>
    <n v="0"/>
    <n v="3.6863239500000002"/>
    <n v="120"/>
    <x v="5"/>
    <x v="1"/>
    <n v="33.991"/>
  </r>
  <r>
    <x v="307"/>
    <x v="7"/>
    <x v="1"/>
    <s v="août2022"/>
    <x v="1265"/>
    <n v="150"/>
    <n v="0.15"/>
    <x v="1"/>
    <n v="0.3"/>
    <n v="0.7"/>
    <n v="0.16"/>
    <n v="2.0026439999999996"/>
    <n v="6.7400000000000002E-2"/>
    <n v="1.9684321649999998"/>
    <n v="3.9710761649999995"/>
    <n v="158"/>
    <x v="7"/>
    <x v="1"/>
    <n v="278.14499999999998"/>
  </r>
  <r>
    <x v="307"/>
    <x v="7"/>
    <x v="1"/>
    <s v="août2022"/>
    <x v="1266"/>
    <n v="150"/>
    <n v="0.15"/>
    <x v="2"/>
    <n v="0.3"/>
    <n v="0.7"/>
    <n v="0.16"/>
    <n v="4.1551992000000002"/>
    <n v="6.7400000000000002E-2"/>
    <n v="4.0842145470000002"/>
    <n v="8.2394137470000004"/>
    <n v="195"/>
    <x v="37"/>
    <x v="1"/>
    <n v="577.11099999999999"/>
  </r>
  <r>
    <x v="308"/>
    <x v="7"/>
    <x v="1"/>
    <s v="août2022"/>
    <x v="1267"/>
    <n v="214"/>
    <n v="0.214"/>
    <x v="1"/>
    <n v="0.3"/>
    <n v="0.7"/>
    <n v="0.16"/>
    <n v="2.6389897919999998"/>
    <n v="6.7400000000000002E-2"/>
    <n v="2.5939070497199999"/>
    <n v="5.2328968417199997"/>
    <n v="100"/>
    <x v="3"/>
    <x v="4"/>
    <n v="256.911"/>
  </r>
  <r>
    <x v="308"/>
    <x v="7"/>
    <x v="1"/>
    <s v="août2022"/>
    <x v="1268"/>
    <n v="106"/>
    <n v="0.106"/>
    <x v="2"/>
    <n v="0.3"/>
    <n v="0.7"/>
    <n v="0.16"/>
    <n v="3.5198122559999998"/>
    <n v="6.7400000000000002E-2"/>
    <n v="3.45968212996"/>
    <n v="6.9794943859599998"/>
    <n v="159"/>
    <x v="3"/>
    <x v="90"/>
    <n v="691.78700000000003"/>
  </r>
  <r>
    <x v="308"/>
    <x v="7"/>
    <x v="1"/>
    <s v="août2022"/>
    <x v="1269"/>
    <n v="300"/>
    <n v="0.3"/>
    <x v="2"/>
    <n v="0.3"/>
    <n v="0.7"/>
    <n v="0.16"/>
    <n v="7.7979743999999993"/>
    <n v="6.7400000000000002E-2"/>
    <n v="7.6647590039999995"/>
    <n v="15.462733403999998"/>
    <n v="239"/>
    <x v="4"/>
    <x v="1"/>
    <n v="541.52599999999995"/>
  </r>
  <r>
    <x v="308"/>
    <x v="7"/>
    <x v="1"/>
    <s v="août2022"/>
    <x v="1270"/>
    <n v="438"/>
    <n v="0.438"/>
    <x v="2"/>
    <n v="0.3"/>
    <n v="0.7"/>
    <n v="0.16"/>
    <n v="9.6396511680000003"/>
    <n v="6.7400000000000002E-2"/>
    <n v="9.4749737938800003"/>
    <n v="19.114624961880001"/>
    <n v="290"/>
    <x v="3"/>
    <x v="61"/>
    <n v="458.50700000000001"/>
  </r>
  <r>
    <x v="308"/>
    <x v="7"/>
    <x v="1"/>
    <s v="août2022"/>
    <x v="1271"/>
    <n v="950"/>
    <n v="0.95"/>
    <x v="5"/>
    <n v="1"/>
    <n v="0"/>
    <n v="0.16"/>
    <n v="37.083439999999996"/>
    <n v="0"/>
    <n v="0"/>
    <n v="37.083439999999996"/>
    <n v="420"/>
    <x v="10"/>
    <x v="27"/>
    <n v="243.97"/>
  </r>
  <r>
    <x v="309"/>
    <x v="7"/>
    <x v="1"/>
    <s v="août2022"/>
    <x v="1272"/>
    <n v="150"/>
    <n v="0.15"/>
    <x v="1"/>
    <n v="0.3"/>
    <n v="0.7"/>
    <n v="0.16"/>
    <n v="1.3450607999999999"/>
    <n v="6.7400000000000002E-2"/>
    <n v="1.3220826779999999"/>
    <n v="2.6671434779999998"/>
    <n v="140"/>
    <x v="29"/>
    <x v="1"/>
    <n v="186.81399999999999"/>
  </r>
  <r>
    <x v="309"/>
    <x v="7"/>
    <x v="1"/>
    <s v="août2022"/>
    <x v="1273"/>
    <n v="150"/>
    <n v="0.15"/>
    <x v="1"/>
    <n v="0.3"/>
    <n v="0.7"/>
    <n v="0.16"/>
    <n v="1.9215215999999999"/>
    <n v="6.7400000000000002E-2"/>
    <n v="1.888695606"/>
    <n v="3.8102172059999999"/>
    <n v="158"/>
    <x v="31"/>
    <x v="1"/>
    <n v="266.87799999999999"/>
  </r>
  <r>
    <x v="309"/>
    <x v="7"/>
    <x v="1"/>
    <s v="août2022"/>
    <x v="1274"/>
    <n v="300"/>
    <n v="0.3"/>
    <x v="2"/>
    <n v="0.3"/>
    <n v="0.7"/>
    <n v="0.16"/>
    <n v="3.7158191999999999"/>
    <n v="6.7400000000000002E-2"/>
    <n v="3.6523406220000001"/>
    <n v="7.368159822"/>
    <n v="260"/>
    <x v="14"/>
    <x v="1"/>
    <n v="258.04300000000001"/>
  </r>
  <r>
    <x v="309"/>
    <x v="7"/>
    <x v="1"/>
    <s v="août2022"/>
    <x v="1275"/>
    <n v="400"/>
    <n v="0.4"/>
    <x v="1"/>
    <n v="0.3"/>
    <n v="0.7"/>
    <n v="0.16"/>
    <n v="14.729222400000003"/>
    <n v="6.7400000000000002E-2"/>
    <n v="14.477598184000001"/>
    <n v="29.206820584000006"/>
    <n v="400"/>
    <x v="28"/>
    <x v="1"/>
    <n v="767.14700000000005"/>
  </r>
  <r>
    <x v="309"/>
    <x v="7"/>
    <x v="1"/>
    <s v="août2022"/>
    <x v="1276"/>
    <n v="600"/>
    <n v="0.6"/>
    <x v="2"/>
    <n v="0.3"/>
    <n v="0.7"/>
    <n v="0.16"/>
    <n v="21.314822399999997"/>
    <n v="6.7400000000000002E-2"/>
    <n v="20.950694184"/>
    <n v="42.265516583999997"/>
    <n v="470"/>
    <x v="23"/>
    <x v="1"/>
    <n v="740.09799999999996"/>
  </r>
  <r>
    <x v="310"/>
    <x v="7"/>
    <x v="1"/>
    <s v="août2022"/>
    <x v="1277"/>
    <n v="150"/>
    <n v="0.15"/>
    <x v="2"/>
    <n v="0.3"/>
    <n v="0.7"/>
    <n v="0.16"/>
    <n v="1.2471839999999998"/>
    <n v="6.7400000000000002E-2"/>
    <n v="1.2258779399999999"/>
    <n v="2.47306194"/>
    <n v="140"/>
    <x v="30"/>
    <x v="1"/>
    <n v="173.22"/>
  </r>
  <r>
    <x v="310"/>
    <x v="7"/>
    <x v="1"/>
    <s v="août2022"/>
    <x v="1278"/>
    <n v="685"/>
    <n v="0.68500000000000005"/>
    <x v="2"/>
    <n v="0.3"/>
    <n v="0.7"/>
    <n v="0.16"/>
    <n v="8.7515380800000013"/>
    <n v="6.7400000000000002E-2"/>
    <n v="8.6020326378000007"/>
    <n v="17.353570717800004"/>
    <n v="220"/>
    <x v="3"/>
    <x v="0"/>
    <n v="266.166"/>
  </r>
  <r>
    <x v="310"/>
    <x v="7"/>
    <x v="1"/>
    <s v="août2022"/>
    <x v="1279"/>
    <n v="750"/>
    <n v="0.75"/>
    <x v="1"/>
    <n v="0.3"/>
    <n v="0.7"/>
    <n v="0.16"/>
    <n v="18.593064000000005"/>
    <n v="6.7400000000000002E-2"/>
    <n v="18.27543249"/>
    <n v="36.868496490000005"/>
    <n v="450"/>
    <x v="0"/>
    <x v="1"/>
    <n v="516.47400000000005"/>
  </r>
  <r>
    <x v="311"/>
    <x v="7"/>
    <x v="1"/>
    <s v="août2022"/>
    <x v="1280"/>
    <n v="300"/>
    <n v="0.3"/>
    <x v="3"/>
    <n v="1"/>
    <n v="0"/>
    <n v="0.24099999999999999"/>
    <n v="2.4575492999999997"/>
    <n v="0"/>
    <n v="0"/>
    <n v="2.4575492999999997"/>
    <n v="100"/>
    <x v="5"/>
    <x v="1"/>
    <n v="33.991"/>
  </r>
  <r>
    <x v="311"/>
    <x v="7"/>
    <x v="1"/>
    <s v="août2022"/>
    <x v="1281"/>
    <n v="40"/>
    <n v="0.04"/>
    <x v="2"/>
    <n v="0.3"/>
    <n v="0.7"/>
    <n v="0.16"/>
    <n v="0.51103872000000006"/>
    <n v="6.7400000000000002E-2"/>
    <n v="0.50230847519999999"/>
    <n v="1.0133471952000002"/>
    <n v="113"/>
    <x v="3"/>
    <x v="0"/>
    <n v="266.166"/>
  </r>
  <r>
    <x v="311"/>
    <x v="7"/>
    <x v="1"/>
    <s v="août2022"/>
    <x v="1282"/>
    <n v="86"/>
    <n v="8.5999999999999993E-2"/>
    <x v="2"/>
    <n v="0.3"/>
    <n v="0.7"/>
    <n v="0.16"/>
    <n v="2.9515530239999999"/>
    <n v="6.7400000000000002E-2"/>
    <n v="2.9011306598399997"/>
    <n v="5.8526836838399996"/>
    <n v="173"/>
    <x v="3"/>
    <x v="70"/>
    <n v="715.00800000000004"/>
  </r>
  <r>
    <x v="311"/>
    <x v="7"/>
    <x v="1"/>
    <s v="août2022"/>
    <x v="1283"/>
    <n v="150"/>
    <n v="0.15"/>
    <x v="2"/>
    <n v="0.3"/>
    <n v="0.7"/>
    <n v="0.16"/>
    <n v="2.0048976000000001"/>
    <n v="6.7400000000000002E-2"/>
    <n v="1.9706472660000003"/>
    <n v="3.9755448660000003"/>
    <n v="180"/>
    <x v="45"/>
    <x v="1"/>
    <n v="278.45800000000003"/>
  </r>
  <r>
    <x v="311"/>
    <x v="7"/>
    <x v="1"/>
    <s v="août2022"/>
    <x v="1284"/>
    <n v="450"/>
    <n v="0.45"/>
    <x v="2"/>
    <n v="0.3"/>
    <n v="0.7"/>
    <n v="0.16"/>
    <n v="8.1252072000000002"/>
    <n v="6.7400000000000002E-2"/>
    <n v="7.9864015769999996"/>
    <n v="16.111608777000001"/>
    <n v="220"/>
    <x v="35"/>
    <x v="1"/>
    <n v="376.16699999999997"/>
  </r>
  <r>
    <x v="311"/>
    <x v="7"/>
    <x v="1"/>
    <s v="août2022"/>
    <x v="1285"/>
    <n v="450"/>
    <n v="0.45"/>
    <x v="2"/>
    <n v="0.3"/>
    <n v="0.7"/>
    <n v="0.16"/>
    <n v="8.2206576000000009"/>
    <n v="6.7400000000000002E-2"/>
    <n v="8.080221366"/>
    <n v="16.300878965999999"/>
    <n v="300"/>
    <x v="12"/>
    <x v="1"/>
    <n v="380.58600000000001"/>
  </r>
  <r>
    <x v="312"/>
    <x v="7"/>
    <x v="1"/>
    <s v="août2022"/>
    <x v="1286"/>
    <n v="428"/>
    <n v="0.42799999999999999"/>
    <x v="2"/>
    <n v="0.3"/>
    <n v="0.7"/>
    <n v="0.16"/>
    <n v="5.1112855679999996"/>
    <n v="6.7400000000000002E-2"/>
    <n v="5.0239677728799998"/>
    <n v="10.135253340879999"/>
    <n v="215"/>
    <x v="3"/>
    <x v="19"/>
    <n v="248.797"/>
  </r>
  <r>
    <x v="312"/>
    <x v="7"/>
    <x v="1"/>
    <s v="août2022"/>
    <x v="1287"/>
    <n v="685"/>
    <n v="0.68500000000000005"/>
    <x v="2"/>
    <n v="0.3"/>
    <n v="0.7"/>
    <n v="0.16"/>
    <n v="6.2006090400000016"/>
    <n v="6.7400000000000002E-2"/>
    <n v="6.0946819688999998"/>
    <n v="12.295291008900001"/>
    <n v="250"/>
    <x v="3"/>
    <x v="68"/>
    <n v="188.583"/>
  </r>
  <r>
    <x v="312"/>
    <x v="7"/>
    <x v="1"/>
    <s v="août2022"/>
    <x v="1288"/>
    <n v="2200"/>
    <n v="2.2000000000000002"/>
    <x v="5"/>
    <n v="1"/>
    <n v="0"/>
    <n v="0.16"/>
    <n v="87.576544000000013"/>
    <n v="0"/>
    <n v="0"/>
    <n v="87.576544000000013"/>
    <n v="380"/>
    <x v="3"/>
    <x v="19"/>
    <n v="248.797"/>
  </r>
  <r>
    <x v="313"/>
    <x v="7"/>
    <x v="1"/>
    <s v="août2022"/>
    <x v="1289"/>
    <n v="300"/>
    <n v="0.3"/>
    <x v="2"/>
    <n v="0.3"/>
    <n v="0.7"/>
    <n v="0.16"/>
    <n v="3.6276336000000002"/>
    <n v="6.7400000000000002E-2"/>
    <n v="3.565661526"/>
    <n v="7.1932951260000006"/>
    <n v="185"/>
    <x v="13"/>
    <x v="1"/>
    <n v="251.91900000000001"/>
  </r>
  <r>
    <x v="313"/>
    <x v="7"/>
    <x v="1"/>
    <s v="août2022"/>
    <x v="1290"/>
    <n v="300"/>
    <n v="0.3"/>
    <x v="2"/>
    <n v="0.3"/>
    <n v="0.7"/>
    <n v="0.16"/>
    <n v="3.8430431999999999"/>
    <n v="6.7400000000000002E-2"/>
    <n v="3.7773912119999999"/>
    <n v="7.6204344119999998"/>
    <n v="200"/>
    <x v="31"/>
    <x v="1"/>
    <n v="266.87799999999999"/>
  </r>
  <r>
    <x v="313"/>
    <x v="7"/>
    <x v="1"/>
    <s v="août2022"/>
    <x v="1291"/>
    <n v="321"/>
    <n v="0.32100000000000001"/>
    <x v="2"/>
    <n v="0.3"/>
    <n v="0.7"/>
    <n v="0.16"/>
    <n v="2.6770783680000001"/>
    <n v="6.7400000000000002E-2"/>
    <n v="2.63134494588"/>
    <n v="5.3084233138800005"/>
    <n v="200"/>
    <x v="3"/>
    <x v="62"/>
    <n v="173.74600000000001"/>
  </r>
  <r>
    <x v="313"/>
    <x v="7"/>
    <x v="1"/>
    <s v="août2022"/>
    <x v="1292"/>
    <n v="532"/>
    <n v="0.53200000000000003"/>
    <x v="2"/>
    <n v="0.3"/>
    <n v="0.7"/>
    <n v="0.16"/>
    <n v="6.5604792960000005"/>
    <n v="6.7400000000000002E-2"/>
    <n v="6.448404441360001"/>
    <n v="13.008883737360001"/>
    <n v="300"/>
    <x v="3"/>
    <x v="4"/>
    <n v="256.911"/>
  </r>
  <r>
    <x v="314"/>
    <x v="7"/>
    <x v="1"/>
    <s v="août2022"/>
    <x v="1293"/>
    <n v="44"/>
    <n v="4.3999999999999997E-2"/>
    <x v="1"/>
    <n v="0.3"/>
    <n v="0.7"/>
    <n v="0.16"/>
    <n v="6.0880511999999991E-2"/>
    <n v="6.7400000000000002E-2"/>
    <n v="5.9840469919999993E-2"/>
    <n v="0.12072098191999998"/>
    <n v="80"/>
    <x v="3"/>
    <x v="91"/>
    <n v="28.826000000000001"/>
  </r>
  <r>
    <x v="314"/>
    <x v="7"/>
    <x v="1"/>
    <s v="août2022"/>
    <x v="1294"/>
    <n v="257"/>
    <n v="0.25700000000000001"/>
    <x v="2"/>
    <n v="0.3"/>
    <n v="0.7"/>
    <n v="0.16"/>
    <n v="4.6932928799999996"/>
    <n v="6.7400000000000002E-2"/>
    <n v="4.6131157933000004"/>
    <n v="9.3064086733"/>
    <n v="130"/>
    <x v="3"/>
    <x v="20"/>
    <n v="380.45499999999998"/>
  </r>
  <r>
    <x v="314"/>
    <x v="7"/>
    <x v="1"/>
    <s v="août2022"/>
    <x v="1295"/>
    <n v="150"/>
    <n v="0.15"/>
    <x v="1"/>
    <n v="0.3"/>
    <n v="0.7"/>
    <n v="0.16"/>
    <n v="5.4150624000000001"/>
    <n v="6.7400000000000002E-2"/>
    <n v="5.3225550840000002"/>
    <n v="10.737617484000001"/>
    <n v="165"/>
    <x v="6"/>
    <x v="1"/>
    <n v="752.09199999999998"/>
  </r>
  <r>
    <x v="314"/>
    <x v="7"/>
    <x v="1"/>
    <s v="août2022"/>
    <x v="1296"/>
    <n v="300"/>
    <n v="0.3"/>
    <x v="2"/>
    <n v="0.3"/>
    <n v="0.7"/>
    <n v="0.16"/>
    <n v="2.4943679999999997"/>
    <n v="6.7400000000000002E-2"/>
    <n v="2.4517558799999999"/>
    <n v="4.94612388"/>
    <n v="200"/>
    <x v="30"/>
    <x v="1"/>
    <n v="173.22"/>
  </r>
  <r>
    <x v="314"/>
    <x v="7"/>
    <x v="1"/>
    <s v="août2022"/>
    <x v="1297"/>
    <n v="300"/>
    <n v="0.3"/>
    <x v="2"/>
    <n v="0.3"/>
    <n v="0.7"/>
    <n v="0.16"/>
    <n v="3.7158191999999999"/>
    <n v="6.7400000000000002E-2"/>
    <n v="3.6523406220000001"/>
    <n v="7.368159822"/>
    <n v="260"/>
    <x v="14"/>
    <x v="1"/>
    <n v="258.04300000000001"/>
  </r>
  <r>
    <x v="314"/>
    <x v="7"/>
    <x v="1"/>
    <s v="août2022"/>
    <x v="1298"/>
    <n v="450"/>
    <n v="0.45"/>
    <x v="2"/>
    <n v="0.3"/>
    <n v="0.7"/>
    <n v="0.16"/>
    <n v="11.667995999999999"/>
    <n v="6.7400000000000002E-2"/>
    <n v="11.468667734999999"/>
    <n v="23.136663734999999"/>
    <n v="340"/>
    <x v="0"/>
    <x v="0"/>
    <n v="540.18499999999995"/>
  </r>
  <r>
    <x v="314"/>
    <x v="7"/>
    <x v="1"/>
    <s v="août2022"/>
    <x v="1299"/>
    <n v="650"/>
    <n v="0.65"/>
    <x v="1"/>
    <n v="0.3"/>
    <n v="0.7"/>
    <n v="0.16"/>
    <n v="23.934986400000003"/>
    <n v="6.7400000000000002E-2"/>
    <n v="23.526097049000001"/>
    <n v="47.461083449"/>
    <n v="400"/>
    <x v="28"/>
    <x v="1"/>
    <n v="767.14700000000005"/>
  </r>
  <r>
    <x v="314"/>
    <x v="7"/>
    <x v="1"/>
    <s v="août2022"/>
    <x v="1300"/>
    <n v="750"/>
    <n v="0.75"/>
    <x v="2"/>
    <n v="0.3"/>
    <n v="0.7"/>
    <n v="0.16"/>
    <n v="26.643528"/>
    <n v="6.7400000000000002E-2"/>
    <n v="26.18836773"/>
    <n v="52.831895729999999"/>
    <n v="470"/>
    <x v="23"/>
    <x v="1"/>
    <n v="740.09799999999996"/>
  </r>
  <r>
    <x v="315"/>
    <x v="7"/>
    <x v="1"/>
    <s v="août2022"/>
    <x v="1301"/>
    <n v="320"/>
    <n v="0.32"/>
    <x v="2"/>
    <n v="0.3"/>
    <n v="0.7"/>
    <n v="0.16"/>
    <n v="2.8694630399999999"/>
    <n v="6.7400000000000002E-2"/>
    <n v="2.8204430463999999"/>
    <n v="5.6899060863999997"/>
    <n v="140"/>
    <x v="29"/>
    <x v="1"/>
    <n v="186.81399999999999"/>
  </r>
  <r>
    <x v="315"/>
    <x v="7"/>
    <x v="1"/>
    <s v="août2022"/>
    <x v="1302"/>
    <n v="400"/>
    <n v="0.4"/>
    <x v="1"/>
    <n v="0.3"/>
    <n v="0.7"/>
    <n v="0.16"/>
    <n v="5.347142400000001"/>
    <n v="6.7400000000000002E-2"/>
    <n v="5.2557953839999998"/>
    <n v="10.602937784000002"/>
    <n v="158"/>
    <x v="11"/>
    <x v="1"/>
    <n v="278.49700000000001"/>
  </r>
  <r>
    <x v="315"/>
    <x v="7"/>
    <x v="1"/>
    <s v="août2022"/>
    <x v="1303"/>
    <n v="300"/>
    <n v="0.3"/>
    <x v="1"/>
    <n v="0.3"/>
    <n v="0.7"/>
    <n v="0.16"/>
    <n v="5.6025071999999998"/>
    <n v="6.7400000000000002E-2"/>
    <n v="5.5067977020000001"/>
    <n v="11.109304902"/>
    <n v="160"/>
    <x v="34"/>
    <x v="1"/>
    <n v="389.06299999999999"/>
  </r>
  <r>
    <x v="315"/>
    <x v="7"/>
    <x v="1"/>
    <s v="août2022"/>
    <x v="1304"/>
    <n v="342"/>
    <n v="0.34200000000000003"/>
    <x v="2"/>
    <n v="0.3"/>
    <n v="0.7"/>
    <n v="0.16"/>
    <n v="13.746971808"/>
    <n v="6.7400000000000002E-2"/>
    <n v="13.512127706280001"/>
    <n v="27.259099514280003"/>
    <n v="210"/>
    <x v="3"/>
    <x v="5"/>
    <n v="837.41300000000001"/>
  </r>
  <r>
    <x v="315"/>
    <x v="7"/>
    <x v="1"/>
    <s v="août2022"/>
    <x v="1305"/>
    <n v="300"/>
    <n v="0.3"/>
    <x v="1"/>
    <n v="0.3"/>
    <n v="0.7"/>
    <n v="0.16"/>
    <n v="7.4372256000000005"/>
    <n v="6.7400000000000002E-2"/>
    <n v="7.3101729960000004"/>
    <n v="14.747398596"/>
    <n v="224"/>
    <x v="0"/>
    <x v="1"/>
    <n v="516.47400000000005"/>
  </r>
  <r>
    <x v="315"/>
    <x v="7"/>
    <x v="1"/>
    <s v="août2022"/>
    <x v="1306"/>
    <n v="425"/>
    <n v="0.42499999999999999"/>
    <x v="2"/>
    <n v="0.3"/>
    <n v="0.7"/>
    <n v="0.16"/>
    <n v="15.3476748"/>
    <n v="6.7400000000000002E-2"/>
    <n v="15.085485355499999"/>
    <n v="30.433160155499998"/>
    <n v="250"/>
    <x v="3"/>
    <x v="22"/>
    <n v="752.33699999999999"/>
  </r>
  <r>
    <x v="315"/>
    <x v="7"/>
    <x v="1"/>
    <s v="août2022"/>
    <x v="1307"/>
    <n v="450"/>
    <n v="0.45"/>
    <x v="2"/>
    <n v="0.3"/>
    <n v="0.7"/>
    <n v="0.16"/>
    <n v="8.2206576000000009"/>
    <n v="6.7400000000000002E-2"/>
    <n v="8.080221366"/>
    <n v="16.300878965999999"/>
    <n v="300"/>
    <x v="12"/>
    <x v="1"/>
    <n v="380.58600000000001"/>
  </r>
  <r>
    <x v="316"/>
    <x v="7"/>
    <x v="1"/>
    <s v="août2022"/>
    <x v="1308"/>
    <n v="105"/>
    <n v="0.105"/>
    <x v="2"/>
    <n v="0.3"/>
    <n v="0.7"/>
    <n v="0.16"/>
    <n v="1.9174932"/>
    <n v="6.7400000000000002E-2"/>
    <n v="1.8847360244999998"/>
    <n v="3.8022292244999996"/>
    <n v="135"/>
    <x v="3"/>
    <x v="20"/>
    <n v="380.45499999999998"/>
  </r>
  <r>
    <x v="316"/>
    <x v="7"/>
    <x v="1"/>
    <s v="août2022"/>
    <x v="1309"/>
    <n v="400"/>
    <n v="0.4"/>
    <x v="1"/>
    <n v="0.3"/>
    <n v="0.7"/>
    <n v="0.16"/>
    <n v="0.8952384000000001"/>
    <n v="6.7400000000000002E-2"/>
    <n v="0.879944744"/>
    <n v="1.7751831440000001"/>
    <n v="150"/>
    <x v="3"/>
    <x v="60"/>
    <n v="46.627000000000002"/>
  </r>
  <r>
    <x v="316"/>
    <x v="7"/>
    <x v="1"/>
    <s v="août2022"/>
    <x v="1310"/>
    <n v="150"/>
    <n v="0.15"/>
    <x v="1"/>
    <n v="0.3"/>
    <n v="0.7"/>
    <n v="0.16"/>
    <n v="3.7013975999999995"/>
    <n v="6.7400000000000002E-2"/>
    <n v="3.6381653909999998"/>
    <n v="7.3395629909999993"/>
    <n v="165"/>
    <x v="40"/>
    <x v="1"/>
    <n v="514.08299999999997"/>
  </r>
  <r>
    <x v="317"/>
    <x v="7"/>
    <x v="1"/>
    <s v="août2022"/>
    <x v="1311"/>
    <n v="150"/>
    <n v="0.15"/>
    <x v="1"/>
    <n v="0.3"/>
    <n v="0.7"/>
    <n v="0.16"/>
    <n v="0.4008024"/>
    <n v="6.7400000000000002E-2"/>
    <n v="0.393955359"/>
    <n v="0.79475775900000001"/>
    <n v="80"/>
    <x v="39"/>
    <x v="1"/>
    <n v="55.667000000000002"/>
  </r>
  <r>
    <x v="317"/>
    <x v="7"/>
    <x v="1"/>
    <s v="août2022"/>
    <x v="1312"/>
    <n v="300"/>
    <n v="0.3"/>
    <x v="3"/>
    <n v="1"/>
    <n v="0"/>
    <n v="0.24099999999999999"/>
    <n v="2.4575492999999997"/>
    <n v="0"/>
    <n v="0"/>
    <n v="2.4575492999999997"/>
    <n v="100"/>
    <x v="5"/>
    <x v="1"/>
    <n v="33.991"/>
  </r>
  <r>
    <x v="317"/>
    <x v="7"/>
    <x v="1"/>
    <s v="août2022"/>
    <x v="1313"/>
    <n v="320"/>
    <n v="0.32"/>
    <x v="2"/>
    <n v="0.3"/>
    <n v="0.7"/>
    <n v="0.16"/>
    <n v="8.2792550400000007"/>
    <n v="6.7400000000000002E-2"/>
    <n v="8.1378177664000013"/>
    <n v="16.4170728064"/>
    <n v="148"/>
    <x v="3"/>
    <x v="59"/>
    <n v="539.01400000000001"/>
  </r>
  <r>
    <x v="317"/>
    <x v="7"/>
    <x v="1"/>
    <s v="août2022"/>
    <x v="1314"/>
    <n v="150"/>
    <n v="0.15"/>
    <x v="1"/>
    <n v="0.3"/>
    <n v="0.7"/>
    <n v="0.16"/>
    <n v="2.2767263999999998"/>
    <n v="6.7400000000000002E-2"/>
    <n v="2.2378323239999998"/>
    <n v="4.5145587239999996"/>
    <n v="158"/>
    <x v="42"/>
    <x v="1"/>
    <n v="316.21199999999999"/>
  </r>
  <r>
    <x v="317"/>
    <x v="7"/>
    <x v="1"/>
    <s v="août2022"/>
    <x v="1315"/>
    <n v="82"/>
    <n v="8.2000000000000003E-2"/>
    <x v="2"/>
    <n v="0.3"/>
    <n v="0.7"/>
    <n v="0.16"/>
    <n v="2.9611984320000002"/>
    <n v="6.7400000000000002E-2"/>
    <n v="2.91061129212"/>
    <n v="5.8718097241200002"/>
    <n v="159"/>
    <x v="3"/>
    <x v="22"/>
    <n v="752.33699999999999"/>
  </r>
  <r>
    <x v="317"/>
    <x v="7"/>
    <x v="1"/>
    <s v="août2022"/>
    <x v="1316"/>
    <n v="300"/>
    <n v="0.3"/>
    <x v="1"/>
    <n v="0.3"/>
    <n v="0.7"/>
    <n v="0.16"/>
    <n v="3.8430431999999999"/>
    <n v="6.7400000000000002E-2"/>
    <n v="3.7773912119999999"/>
    <n v="7.6204344119999998"/>
    <n v="193"/>
    <x v="31"/>
    <x v="1"/>
    <n v="266.87799999999999"/>
  </r>
  <r>
    <x v="317"/>
    <x v="7"/>
    <x v="1"/>
    <s v="août2022"/>
    <x v="1317"/>
    <n v="642"/>
    <n v="0.64200000000000002"/>
    <x v="2"/>
    <n v="0.3"/>
    <n v="0.7"/>
    <n v="0.16"/>
    <n v="8.6499895679999987"/>
    <n v="6.7400000000000002E-2"/>
    <n v="8.5022189128800001"/>
    <n v="17.152208480879999"/>
    <n v="234"/>
    <x v="3"/>
    <x v="17"/>
    <n v="280.69799999999998"/>
  </r>
  <r>
    <x v="318"/>
    <x v="7"/>
    <x v="1"/>
    <s v="août2022"/>
    <x v="1318"/>
    <n v="150"/>
    <n v="0.15"/>
    <x v="1"/>
    <n v="0.3"/>
    <n v="0.7"/>
    <n v="0.16"/>
    <n v="0.33504479999999998"/>
    <n v="6.7400000000000002E-2"/>
    <n v="0.32932111799999997"/>
    <n v="0.66436591799999989"/>
    <n v="90"/>
    <x v="33"/>
    <x v="1"/>
    <n v="46.533999999999999"/>
  </r>
  <r>
    <x v="318"/>
    <x v="7"/>
    <x v="1"/>
    <s v="août2022"/>
    <x v="1319"/>
    <n v="450"/>
    <n v="0.45"/>
    <x v="1"/>
    <n v="0.3"/>
    <n v="0.7"/>
    <n v="0.16"/>
    <n v="6.0155352000000004"/>
    <n v="6.7400000000000002E-2"/>
    <n v="5.9127698070000001"/>
    <n v="11.928305007000001"/>
    <n v="206"/>
    <x v="11"/>
    <x v="1"/>
    <n v="278.49700000000001"/>
  </r>
  <r>
    <x v="318"/>
    <x v="7"/>
    <x v="1"/>
    <s v="août2022"/>
    <x v="1320"/>
    <n v="685"/>
    <n v="0.68500000000000005"/>
    <x v="2"/>
    <n v="0.3"/>
    <n v="0.7"/>
    <n v="0.16"/>
    <n v="8.180445360000002"/>
    <n v="6.7400000000000002E-2"/>
    <n v="8.0406960851000004"/>
    <n v="16.221141445100002"/>
    <n v="245"/>
    <x v="3"/>
    <x v="19"/>
    <n v="248.797"/>
  </r>
  <r>
    <x v="318"/>
    <x v="7"/>
    <x v="1"/>
    <s v="août2022"/>
    <x v="1321"/>
    <n v="492"/>
    <n v="0.49199999999999999"/>
    <x v="2"/>
    <n v="0.3"/>
    <n v="0.7"/>
    <n v="0.16"/>
    <n v="12.729354624000001"/>
    <n v="6.7400000000000002E-2"/>
    <n v="12.51189481584"/>
    <n v="25.241249439840001"/>
    <n v="260"/>
    <x v="3"/>
    <x v="59"/>
    <n v="539.01400000000001"/>
  </r>
  <r>
    <x v="318"/>
    <x v="7"/>
    <x v="1"/>
    <s v="août2022"/>
    <x v="1322"/>
    <n v="600"/>
    <n v="0.6"/>
    <x v="2"/>
    <n v="0.3"/>
    <n v="0.7"/>
    <n v="0.16"/>
    <n v="21.314822399999997"/>
    <n v="6.7400000000000002E-2"/>
    <n v="20.950694184"/>
    <n v="42.265516583999997"/>
    <n v="470"/>
    <x v="23"/>
    <x v="1"/>
    <n v="740.09799999999996"/>
  </r>
  <r>
    <x v="319"/>
    <x v="7"/>
    <x v="1"/>
    <s v="août2022"/>
    <x v="1323"/>
    <n v="150"/>
    <n v="0.15"/>
    <x v="2"/>
    <n v="0.3"/>
    <n v="0.7"/>
    <n v="0.16"/>
    <n v="1.2471839999999998"/>
    <n v="6.7400000000000002E-2"/>
    <n v="1.2258779399999999"/>
    <n v="2.47306194"/>
    <n v="140"/>
    <x v="30"/>
    <x v="1"/>
    <n v="173.22"/>
  </r>
  <r>
    <x v="319"/>
    <x v="7"/>
    <x v="1"/>
    <s v="août2022"/>
    <x v="1324"/>
    <n v="150"/>
    <n v="0.15"/>
    <x v="2"/>
    <n v="0.3"/>
    <n v="0.7"/>
    <n v="0.16"/>
    <n v="2.7402191999999999"/>
    <n v="6.7400000000000002E-2"/>
    <n v="2.693407122"/>
    <n v="5.4336263220000003"/>
    <n v="165"/>
    <x v="12"/>
    <x v="1"/>
    <n v="380.58600000000001"/>
  </r>
  <r>
    <x v="319"/>
    <x v="7"/>
    <x v="1"/>
    <s v="août2022"/>
    <x v="1325"/>
    <n v="300"/>
    <n v="0.3"/>
    <x v="1"/>
    <n v="0.3"/>
    <n v="0.7"/>
    <n v="0.16"/>
    <n v="7.4372256000000005"/>
    <n v="6.7400000000000002E-2"/>
    <n v="7.3101729960000004"/>
    <n v="14.747398596"/>
    <n v="224"/>
    <x v="0"/>
    <x v="1"/>
    <n v="516.47400000000005"/>
  </r>
  <r>
    <x v="319"/>
    <x v="7"/>
    <x v="1"/>
    <s v="août2022"/>
    <x v="1326"/>
    <n v="685"/>
    <n v="0.68500000000000005"/>
    <x v="2"/>
    <n v="0.3"/>
    <n v="0.7"/>
    <n v="0.16"/>
    <n v="8.7515380800000013"/>
    <n v="6.7400000000000002E-2"/>
    <n v="8.6020326378000007"/>
    <n v="17.353570717800004"/>
    <n v="230"/>
    <x v="3"/>
    <x v="0"/>
    <n v="266.166"/>
  </r>
  <r>
    <x v="319"/>
    <x v="7"/>
    <x v="1"/>
    <s v="août2022"/>
    <x v="1327"/>
    <n v="712"/>
    <n v="0.71199999999999997"/>
    <x v="2"/>
    <n v="0.3"/>
    <n v="0.7"/>
    <n v="0.16"/>
    <n v="28.619426687999997"/>
    <n v="6.7400000000000002E-2"/>
    <n v="28.130511482079996"/>
    <n v="56.749938170079993"/>
    <n v="380"/>
    <x v="3"/>
    <x v="5"/>
    <n v="837.41300000000001"/>
  </r>
  <r>
    <x v="320"/>
    <x v="7"/>
    <x v="1"/>
    <s v="août2022"/>
    <x v="1328"/>
    <n v="212"/>
    <n v="0.21199999999999999"/>
    <x v="2"/>
    <n v="0.3"/>
    <n v="0.7"/>
    <n v="0.16"/>
    <n v="1.70315712"/>
    <n v="6.7400000000000002E-2"/>
    <n v="1.6740615191999999"/>
    <n v="3.3772186391999997"/>
    <n v="120"/>
    <x v="3"/>
    <x v="37"/>
    <n v="167.37"/>
  </r>
  <r>
    <x v="320"/>
    <x v="7"/>
    <x v="1"/>
    <s v="août2022"/>
    <x v="1329"/>
    <n v="150"/>
    <n v="0.15"/>
    <x v="1"/>
    <n v="0.3"/>
    <n v="0.7"/>
    <n v="0.16"/>
    <n v="2.2767263999999998"/>
    <n v="6.7400000000000002E-2"/>
    <n v="2.2378323239999998"/>
    <n v="4.5145587239999996"/>
    <n v="158"/>
    <x v="42"/>
    <x v="1"/>
    <n v="316.21199999999999"/>
  </r>
  <r>
    <x v="320"/>
    <x v="7"/>
    <x v="1"/>
    <s v="août2022"/>
    <x v="1330"/>
    <n v="342"/>
    <n v="0.34200000000000003"/>
    <x v="2"/>
    <n v="0.3"/>
    <n v="0.7"/>
    <n v="0.16"/>
    <n v="4.5931803840000001"/>
    <n v="6.7400000000000002E-2"/>
    <n v="4.5147135524399999"/>
    <n v="9.10789393644"/>
    <n v="205"/>
    <x v="3"/>
    <x v="10"/>
    <n v="279.79899999999998"/>
  </r>
  <r>
    <x v="320"/>
    <x v="7"/>
    <x v="1"/>
    <s v="août2022"/>
    <x v="1331"/>
    <n v="444"/>
    <n v="0.44400000000000001"/>
    <x v="2"/>
    <n v="0.3"/>
    <n v="0.7"/>
    <n v="0.16"/>
    <n v="11.533628159999999"/>
    <n v="6.7400000000000002E-2"/>
    <n v="11.336595345599999"/>
    <n v="22.870223505599999"/>
    <n v="345"/>
    <x v="3"/>
    <x v="8"/>
    <n v="541.17999999999995"/>
  </r>
  <r>
    <x v="320"/>
    <x v="7"/>
    <x v="1"/>
    <s v="août2022"/>
    <x v="1332"/>
    <n v="356"/>
    <n v="0.35599999999999998"/>
    <x v="2"/>
    <n v="0.3"/>
    <n v="0.7"/>
    <n v="0.16"/>
    <n v="14.309713343999999"/>
    <n v="6.7400000000000002E-2"/>
    <n v="14.065255741039998"/>
    <n v="28.374969085039996"/>
    <n v="470"/>
    <x v="3"/>
    <x v="5"/>
    <n v="837.41300000000001"/>
  </r>
  <r>
    <x v="321"/>
    <x v="7"/>
    <x v="1"/>
    <s v="août2022"/>
    <x v="1333"/>
    <n v="200"/>
    <n v="0.2"/>
    <x v="3"/>
    <n v="1"/>
    <n v="0"/>
    <n v="0.24099999999999999"/>
    <n v="1.6383661999999999"/>
    <n v="0"/>
    <n v="0"/>
    <n v="1.6383661999999999"/>
    <n v="100"/>
    <x v="5"/>
    <x v="1"/>
    <n v="33.991"/>
  </r>
  <r>
    <x v="321"/>
    <x v="7"/>
    <x v="1"/>
    <s v="août2022"/>
    <x v="1334"/>
    <n v="340"/>
    <n v="0.34"/>
    <x v="2"/>
    <n v="0.3"/>
    <n v="0.7"/>
    <n v="0.16"/>
    <n v="3.0488044800000003"/>
    <n v="6.7400000000000002E-2"/>
    <n v="2.9967207368000004"/>
    <n v="6.0455252168000007"/>
    <n v="140"/>
    <x v="29"/>
    <x v="1"/>
    <n v="186.81399999999999"/>
  </r>
  <r>
    <x v="321"/>
    <x v="7"/>
    <x v="1"/>
    <s v="août2022"/>
    <x v="1335"/>
    <n v="150"/>
    <n v="0.15"/>
    <x v="2"/>
    <n v="0.3"/>
    <n v="0.7"/>
    <n v="0.16"/>
    <n v="1.7822519999999999"/>
    <n v="6.7400000000000002E-2"/>
    <n v="1.751805195"/>
    <n v="3.5340571949999999"/>
    <n v="158"/>
    <x v="22"/>
    <x v="1"/>
    <n v="247.535"/>
  </r>
  <r>
    <x v="321"/>
    <x v="7"/>
    <x v="1"/>
    <s v="août2022"/>
    <x v="1336"/>
    <n v="300"/>
    <n v="0.3"/>
    <x v="1"/>
    <n v="0.3"/>
    <n v="0.7"/>
    <n v="0.16"/>
    <n v="4.0052879999999993"/>
    <n v="6.7400000000000002E-2"/>
    <n v="3.9368643299999997"/>
    <n v="7.942152329999999"/>
    <n v="188"/>
    <x v="7"/>
    <x v="1"/>
    <n v="278.14499999999998"/>
  </r>
  <r>
    <x v="321"/>
    <x v="7"/>
    <x v="1"/>
    <s v="août2022"/>
    <x v="1337"/>
    <n v="342"/>
    <n v="0.34200000000000003"/>
    <x v="2"/>
    <n v="0.3"/>
    <n v="0.7"/>
    <n v="0.16"/>
    <n v="4.0842515519999996"/>
    <n v="6.7400000000000002E-2"/>
    <n v="4.0144789213200003"/>
    <n v="8.0987304733199998"/>
    <n v="200"/>
    <x v="3"/>
    <x v="19"/>
    <n v="248.797"/>
  </r>
  <r>
    <x v="321"/>
    <x v="7"/>
    <x v="1"/>
    <s v="août2022"/>
    <x v="1338"/>
    <n v="323"/>
    <n v="0.32300000000000001"/>
    <x v="2"/>
    <n v="0.3"/>
    <n v="0.7"/>
    <n v="0.16"/>
    <n v="4.1266376640000004"/>
    <n v="6.7400000000000002E-2"/>
    <n v="4.0561409372400004"/>
    <n v="8.1827786012400008"/>
    <n v="200"/>
    <x v="3"/>
    <x v="0"/>
    <n v="266.166"/>
  </r>
  <r>
    <x v="321"/>
    <x v="7"/>
    <x v="1"/>
    <s v="août2022"/>
    <x v="1339"/>
    <n v="221"/>
    <n v="0.221"/>
    <x v="2"/>
    <n v="0.3"/>
    <n v="0.7"/>
    <n v="0.16"/>
    <n v="3.3603704160000003"/>
    <n v="6.7400000000000002E-2"/>
    <n v="3.30296408806"/>
    <n v="6.6633345040599998"/>
    <n v="220"/>
    <x v="3"/>
    <x v="77"/>
    <n v="316.77699999999999"/>
  </r>
  <r>
    <x v="321"/>
    <x v="7"/>
    <x v="1"/>
    <s v="août2022"/>
    <x v="1340"/>
    <n v="769"/>
    <n v="0.76900000000000002"/>
    <x v="2"/>
    <n v="0.3"/>
    <n v="0.7"/>
    <n v="0.16"/>
    <n v="13.885076303999998"/>
    <n v="6.7400000000000002E-2"/>
    <n v="13.647872917139999"/>
    <n v="27.532949221139997"/>
    <n v="240"/>
    <x v="35"/>
    <x v="1"/>
    <n v="376.16699999999997"/>
  </r>
  <r>
    <x v="321"/>
    <x v="7"/>
    <x v="1"/>
    <s v="août2022"/>
    <x v="1341"/>
    <n v="1027"/>
    <n v="1.0269999999999999"/>
    <x v="2"/>
    <n v="0.3"/>
    <n v="0.7"/>
    <n v="0.16"/>
    <n v="9.2963875680000001"/>
    <n v="6.7400000000000002E-2"/>
    <n v="9.1375742803799991"/>
    <n v="18.433961848380001"/>
    <n v="295"/>
    <x v="3"/>
    <x v="68"/>
    <n v="188.583"/>
  </r>
  <r>
    <x v="322"/>
    <x v="7"/>
    <x v="1"/>
    <s v="août2022"/>
    <x v="1342"/>
    <n v="215"/>
    <n v="0.215"/>
    <x v="1"/>
    <n v="0.3"/>
    <n v="0.7"/>
    <n v="0.16"/>
    <n v="4.01513016"/>
    <n v="6.7400000000000002E-2"/>
    <n v="3.9465383530999998"/>
    <n v="7.9616685130999993"/>
    <n v="125"/>
    <x v="34"/>
    <x v="1"/>
    <n v="389.06299999999999"/>
  </r>
  <r>
    <x v="322"/>
    <x v="7"/>
    <x v="1"/>
    <s v="août2022"/>
    <x v="1343"/>
    <n v="215"/>
    <n v="0.215"/>
    <x v="1"/>
    <n v="0.3"/>
    <n v="0.7"/>
    <n v="0.16"/>
    <n v="4.01513016"/>
    <n v="6.7400000000000002E-2"/>
    <n v="3.9465383530999998"/>
    <n v="7.9616685130999993"/>
    <n v="125"/>
    <x v="34"/>
    <x v="1"/>
    <n v="389.06299999999999"/>
  </r>
  <r>
    <x v="322"/>
    <x v="7"/>
    <x v="1"/>
    <s v="août2022"/>
    <x v="1344"/>
    <n v="150"/>
    <n v="0.15"/>
    <x v="1"/>
    <n v="0.3"/>
    <n v="0.7"/>
    <n v="0.16"/>
    <n v="2.2767263999999998"/>
    <n v="6.7400000000000002E-2"/>
    <n v="2.2378323239999998"/>
    <n v="4.5145587239999996"/>
    <n v="158"/>
    <x v="42"/>
    <x v="1"/>
    <n v="316.21199999999999"/>
  </r>
  <r>
    <x v="322"/>
    <x v="7"/>
    <x v="1"/>
    <s v="août2022"/>
    <x v="1345"/>
    <n v="380"/>
    <n v="0.38"/>
    <x v="1"/>
    <n v="0.3"/>
    <n v="0.7"/>
    <n v="0.16"/>
    <n v="9.8077939199999999"/>
    <n v="6.7400000000000002E-2"/>
    <n v="9.6402441071999991"/>
    <n v="19.448038027199999"/>
    <n v="195"/>
    <x v="27"/>
    <x v="1"/>
    <n v="537.70799999999997"/>
  </r>
  <r>
    <x v="322"/>
    <x v="7"/>
    <x v="1"/>
    <s v="août2022"/>
    <x v="1346"/>
    <n v="300"/>
    <n v="0.3"/>
    <x v="2"/>
    <n v="0.3"/>
    <n v="0.7"/>
    <n v="0.16"/>
    <n v="7.7979743999999993"/>
    <n v="6.7400000000000002E-2"/>
    <n v="7.6647590039999995"/>
    <n v="15.462733403999998"/>
    <n v="250"/>
    <x v="4"/>
    <x v="1"/>
    <n v="541.52599999999995"/>
  </r>
  <r>
    <x v="322"/>
    <x v="7"/>
    <x v="1"/>
    <s v="août2022"/>
    <x v="1347"/>
    <n v="125"/>
    <n v="0.125"/>
    <x v="2"/>
    <n v="0.3"/>
    <n v="0.7"/>
    <n v="0.16"/>
    <n v="4.6742400000000002"/>
    <n v="6.7400000000000002E-2"/>
    <n v="4.5943883999999997"/>
    <n v="9.2686284000000008"/>
    <n v="265"/>
    <x v="48"/>
    <x v="1"/>
    <n v="779.04"/>
  </r>
  <r>
    <x v="322"/>
    <x v="7"/>
    <x v="1"/>
    <s v="août2022"/>
    <x v="1348"/>
    <n v="900"/>
    <n v="0.9"/>
    <x v="2"/>
    <n v="0.3"/>
    <n v="0.7"/>
    <n v="0.16"/>
    <n v="19.7020944"/>
    <n v="6.7400000000000002E-2"/>
    <n v="19.365516954"/>
    <n v="39.067611354"/>
    <n v="450"/>
    <x v="25"/>
    <x v="1"/>
    <n v="456.06700000000001"/>
  </r>
  <r>
    <x v="323"/>
    <x v="7"/>
    <x v="1"/>
    <s v="août2022"/>
    <x v="1349"/>
    <n v="150"/>
    <n v="0.15"/>
    <x v="2"/>
    <n v="0.3"/>
    <n v="0.7"/>
    <n v="0.16"/>
    <n v="1.2471839999999998"/>
    <n v="6.7400000000000002E-2"/>
    <n v="1.2258779399999999"/>
    <n v="2.47306194"/>
    <n v="140"/>
    <x v="30"/>
    <x v="1"/>
    <n v="173.22"/>
  </r>
  <r>
    <x v="323"/>
    <x v="7"/>
    <x v="1"/>
    <s v="août2022"/>
    <x v="1350"/>
    <n v="67"/>
    <n v="6.7000000000000004E-2"/>
    <x v="2"/>
    <n v="0.3"/>
    <n v="0.7"/>
    <n v="0.16"/>
    <n v="1.7334690240000001"/>
    <n v="6.7400000000000002E-2"/>
    <n v="1.7038555948400003"/>
    <n v="3.4373246188400004"/>
    <n v="158"/>
    <x v="3"/>
    <x v="59"/>
    <n v="539.01400000000001"/>
  </r>
  <r>
    <x v="323"/>
    <x v="7"/>
    <x v="1"/>
    <s v="août2022"/>
    <x v="1351"/>
    <n v="102"/>
    <n v="0.10199999999999999"/>
    <x v="2"/>
    <n v="0.3"/>
    <n v="0.7"/>
    <n v="0.16"/>
    <n v="2.848600512"/>
    <n v="6.7400000000000002E-2"/>
    <n v="2.7999369199199999"/>
    <n v="5.6485374319199995"/>
    <n v="170"/>
    <x v="3"/>
    <x v="57"/>
    <n v="581.822"/>
  </r>
  <r>
    <x v="323"/>
    <x v="7"/>
    <x v="1"/>
    <s v="août2022"/>
    <x v="1352"/>
    <n v="92"/>
    <n v="9.1999999999999998E-2"/>
    <x v="2"/>
    <n v="0.3"/>
    <n v="0.7"/>
    <n v="0.16"/>
    <n v="2.540772096"/>
    <n v="6.7400000000000002E-2"/>
    <n v="2.4973672393599999"/>
    <n v="5.0381393353600004"/>
    <n v="170"/>
    <x v="3"/>
    <x v="63"/>
    <n v="575.35599999999999"/>
  </r>
  <r>
    <x v="323"/>
    <x v="7"/>
    <x v="1"/>
    <s v="août2022"/>
    <x v="1353"/>
    <n v="102"/>
    <n v="0.10199999999999999"/>
    <x v="2"/>
    <n v="0.3"/>
    <n v="0.7"/>
    <n v="0.16"/>
    <n v="1.303148736"/>
    <n v="6.7400000000000002E-2"/>
    <n v="1.28088661176"/>
    <n v="2.58403534776"/>
    <n v="200"/>
    <x v="3"/>
    <x v="0"/>
    <n v="266.166"/>
  </r>
  <r>
    <x v="323"/>
    <x v="7"/>
    <x v="1"/>
    <s v="août2022"/>
    <x v="1354"/>
    <n v="378"/>
    <n v="0.378"/>
    <x v="2"/>
    <n v="0.3"/>
    <n v="0.7"/>
    <n v="0.16"/>
    <n v="4.6613931840000005"/>
    <n v="6.7400000000000002E-2"/>
    <n v="4.5817610504399999"/>
    <n v="9.2431542344400004"/>
    <n v="210"/>
    <x v="3"/>
    <x v="4"/>
    <n v="256.911"/>
  </r>
  <r>
    <x v="323"/>
    <x v="7"/>
    <x v="1"/>
    <s v="août2022"/>
    <x v="1355"/>
    <n v="300"/>
    <n v="0.3"/>
    <x v="2"/>
    <n v="0.3"/>
    <n v="0.7"/>
    <n v="0.16"/>
    <n v="4.0103568000000003"/>
    <n v="6.7400000000000002E-2"/>
    <n v="3.9418465380000001"/>
    <n v="7.9522033380000003"/>
    <n v="230"/>
    <x v="11"/>
    <x v="1"/>
    <n v="278.49700000000001"/>
  </r>
  <r>
    <x v="323"/>
    <x v="7"/>
    <x v="1"/>
    <s v="août2022"/>
    <x v="1356"/>
    <n v="450"/>
    <n v="0.45"/>
    <x v="2"/>
    <n v="0.3"/>
    <n v="0.7"/>
    <n v="0.16"/>
    <n v="5.5737288000000005"/>
    <n v="6.7400000000000002E-2"/>
    <n v="5.4785109329999999"/>
    <n v="11.052239733"/>
    <n v="260"/>
    <x v="14"/>
    <x v="1"/>
    <n v="258.04300000000001"/>
  </r>
  <r>
    <x v="323"/>
    <x v="7"/>
    <x v="1"/>
    <s v="août2022"/>
    <x v="1357"/>
    <n v="750"/>
    <n v="0.75"/>
    <x v="2"/>
    <n v="0.3"/>
    <n v="0.7"/>
    <n v="0.16"/>
    <n v="26.643528"/>
    <n v="6.7400000000000002E-2"/>
    <n v="26.18836773"/>
    <n v="52.831895729999999"/>
    <n v="470"/>
    <x v="23"/>
    <x v="1"/>
    <n v="740.09799999999996"/>
  </r>
  <r>
    <x v="324"/>
    <x v="7"/>
    <x v="1"/>
    <s v="août2022"/>
    <x v="1358"/>
    <n v="150"/>
    <n v="0.15"/>
    <x v="2"/>
    <n v="0.3"/>
    <n v="0.7"/>
    <n v="0.16"/>
    <n v="1.2034872000000001"/>
    <n v="6.7400000000000002E-2"/>
    <n v="1.182927627"/>
    <n v="2.3864148270000003"/>
    <n v="140"/>
    <x v="46"/>
    <x v="1"/>
    <n v="167.15100000000001"/>
  </r>
  <r>
    <x v="324"/>
    <x v="7"/>
    <x v="1"/>
    <s v="août2022"/>
    <x v="1359"/>
    <n v="150"/>
    <n v="0.15"/>
    <x v="2"/>
    <n v="0.3"/>
    <n v="0.7"/>
    <n v="0.16"/>
    <n v="2.7402191999999999"/>
    <n v="6.7400000000000002E-2"/>
    <n v="2.693407122"/>
    <n v="5.4336263220000003"/>
    <n v="165"/>
    <x v="12"/>
    <x v="1"/>
    <n v="380.58600000000001"/>
  </r>
  <r>
    <x v="324"/>
    <x v="7"/>
    <x v="1"/>
    <s v="août2022"/>
    <x v="1360"/>
    <n v="300"/>
    <n v="0.3"/>
    <x v="1"/>
    <n v="0.3"/>
    <n v="0.7"/>
    <n v="0.16"/>
    <n v="7.4372256000000005"/>
    <n v="6.7400000000000002E-2"/>
    <n v="7.3101729960000004"/>
    <n v="14.747398596"/>
    <n v="224"/>
    <x v="0"/>
    <x v="1"/>
    <n v="516.47400000000005"/>
  </r>
  <r>
    <x v="325"/>
    <x v="7"/>
    <x v="1"/>
    <s v="août2022"/>
    <x v="1361"/>
    <n v="127"/>
    <n v="0.127"/>
    <x v="2"/>
    <n v="0.3"/>
    <n v="0.7"/>
    <n v="0.16"/>
    <n v="4.6063448639999995"/>
    <n v="6.7400000000000002E-2"/>
    <n v="4.5276531392399999"/>
    <n v="9.1339980032399986"/>
    <n v="168"/>
    <x v="3"/>
    <x v="35"/>
    <n v="755.63400000000001"/>
  </r>
  <r>
    <x v="325"/>
    <x v="7"/>
    <x v="1"/>
    <s v="août2022"/>
    <x v="1362"/>
    <n v="342"/>
    <n v="0.34200000000000003"/>
    <x v="2"/>
    <n v="0.3"/>
    <n v="0.7"/>
    <n v="0.16"/>
    <n v="8.8840108799999999"/>
    <n v="6.7400000000000002E-2"/>
    <n v="8.732242360799999"/>
    <n v="17.616253240799999"/>
    <n v="225"/>
    <x v="3"/>
    <x v="8"/>
    <n v="541.17999999999995"/>
  </r>
  <r>
    <x v="325"/>
    <x v="7"/>
    <x v="1"/>
    <s v="août2022"/>
    <x v="1363"/>
    <n v="364"/>
    <n v="0.36399999999999999"/>
    <x v="2"/>
    <n v="0.3"/>
    <n v="0.7"/>
    <n v="0.16"/>
    <n v="9.4176526080000009"/>
    <n v="6.7400000000000002E-2"/>
    <n v="9.25676770928"/>
    <n v="18.674420317280003"/>
    <n v="260"/>
    <x v="3"/>
    <x v="59"/>
    <n v="539.01400000000001"/>
  </r>
  <r>
    <x v="326"/>
    <x v="7"/>
    <x v="1"/>
    <s v="août2022"/>
    <x v="1364"/>
    <n v="50"/>
    <n v="0.05"/>
    <x v="2"/>
    <n v="0.3"/>
    <n v="0.7"/>
    <n v="0.16"/>
    <n v="0.64556159999999996"/>
    <n v="6.7400000000000002E-2"/>
    <n v="0.63453325599999999"/>
    <n v="1.2800948559999998"/>
    <n v="100"/>
    <x v="3"/>
    <x v="92"/>
    <n v="268.98399999999998"/>
  </r>
  <r>
    <x v="326"/>
    <x v="7"/>
    <x v="1"/>
    <s v="août2022"/>
    <x v="1365"/>
    <n v="128"/>
    <n v="0.128"/>
    <x v="2"/>
    <n v="0.3"/>
    <n v="0.7"/>
    <n v="0.16"/>
    <n v="1.7463275520000001"/>
    <n v="6.7400000000000002E-2"/>
    <n v="1.71649445632"/>
    <n v="3.4628220083199999"/>
    <n v="128"/>
    <x v="3"/>
    <x v="29"/>
    <n v="284.233"/>
  </r>
  <r>
    <x v="326"/>
    <x v="7"/>
    <x v="1"/>
    <s v="août2022"/>
    <x v="1366"/>
    <n v="340"/>
    <n v="0.34"/>
    <x v="2"/>
    <n v="0.3"/>
    <n v="0.7"/>
    <n v="0.16"/>
    <n v="3.0488044800000003"/>
    <n v="6.7400000000000002E-2"/>
    <n v="2.9967207368000004"/>
    <n v="6.0455252168000007"/>
    <n v="140"/>
    <x v="29"/>
    <x v="1"/>
    <n v="186.81399999999999"/>
  </r>
  <r>
    <x v="326"/>
    <x v="7"/>
    <x v="1"/>
    <s v="août2022"/>
    <x v="1367"/>
    <n v="300"/>
    <n v="0.3"/>
    <x v="1"/>
    <n v="0.3"/>
    <n v="0.7"/>
    <n v="0.16"/>
    <n v="7.7429951999999993"/>
    <n v="6.7400000000000002E-2"/>
    <n v="7.6107190319999996"/>
    <n v="15.353714231999998"/>
    <n v="156"/>
    <x v="27"/>
    <x v="1"/>
    <n v="537.70799999999997"/>
  </r>
  <r>
    <x v="326"/>
    <x v="7"/>
    <x v="1"/>
    <s v="août2022"/>
    <x v="1368"/>
    <n v="150"/>
    <n v="0.15"/>
    <x v="1"/>
    <n v="0.3"/>
    <n v="0.7"/>
    <n v="0.16"/>
    <n v="2.2767263999999998"/>
    <n v="6.7400000000000002E-2"/>
    <n v="2.2378323239999998"/>
    <n v="4.5145587239999996"/>
    <n v="158"/>
    <x v="42"/>
    <x v="1"/>
    <n v="316.21199999999999"/>
  </r>
  <r>
    <x v="326"/>
    <x v="7"/>
    <x v="1"/>
    <s v="août2022"/>
    <x v="1369"/>
    <n v="300"/>
    <n v="0.3"/>
    <x v="1"/>
    <n v="0.3"/>
    <n v="0.7"/>
    <n v="0.16"/>
    <n v="4.0052879999999993"/>
    <n v="6.7400000000000002E-2"/>
    <n v="3.9368643299999997"/>
    <n v="7.942152329999999"/>
    <n v="188"/>
    <x v="7"/>
    <x v="1"/>
    <n v="278.14499999999998"/>
  </r>
  <r>
    <x v="326"/>
    <x v="7"/>
    <x v="1"/>
    <s v="août2022"/>
    <x v="1370"/>
    <n v="270"/>
    <n v="0.27"/>
    <x v="2"/>
    <n v="0.3"/>
    <n v="0.7"/>
    <n v="0.16"/>
    <n v="3.4587388800000003"/>
    <n v="6.7400000000000002E-2"/>
    <n v="3.3996520908000001"/>
    <n v="6.8583909708000004"/>
    <n v="200"/>
    <x v="31"/>
    <x v="1"/>
    <n v="266.87799999999999"/>
  </r>
  <r>
    <x v="326"/>
    <x v="7"/>
    <x v="1"/>
    <s v="août2022"/>
    <x v="1371"/>
    <n v="253"/>
    <n v="0.253"/>
    <x v="2"/>
    <n v="0.3"/>
    <n v="0.7"/>
    <n v="0.16"/>
    <n v="3.0867012000000003"/>
    <n v="6.7400000000000002E-2"/>
    <n v="3.0339700545000001"/>
    <n v="6.1206712545000004"/>
    <n v="200"/>
    <x v="3"/>
    <x v="25"/>
    <n v="254.17500000000001"/>
  </r>
  <r>
    <x v="326"/>
    <x v="7"/>
    <x v="1"/>
    <s v="août2022"/>
    <x v="1372"/>
    <n v="514"/>
    <n v="0.51400000000000001"/>
    <x v="2"/>
    <n v="0.3"/>
    <n v="0.7"/>
    <n v="0.16"/>
    <n v="9.3865857599999991"/>
    <n v="6.7400000000000002E-2"/>
    <n v="9.2262315866000009"/>
    <n v="18.6128173466"/>
    <n v="261"/>
    <x v="3"/>
    <x v="20"/>
    <n v="380.45499999999998"/>
  </r>
  <r>
    <x v="326"/>
    <x v="7"/>
    <x v="1"/>
    <s v="août2022"/>
    <x v="1373"/>
    <n v="1027"/>
    <n v="1.0269999999999999"/>
    <x v="5"/>
    <n v="1"/>
    <n v="0"/>
    <n v="0.16"/>
    <n v="40.882323039999996"/>
    <n v="0"/>
    <n v="0"/>
    <n v="40.882323039999996"/>
    <n v="300"/>
    <x v="3"/>
    <x v="19"/>
    <n v="248.797"/>
  </r>
  <r>
    <x v="327"/>
    <x v="8"/>
    <x v="1"/>
    <s v="septembre2022"/>
    <x v="1374"/>
    <n v="200"/>
    <n v="0.2"/>
    <x v="3"/>
    <n v="1"/>
    <n v="0"/>
    <n v="0.24099999999999999"/>
    <n v="1.6383661999999999"/>
    <n v="0"/>
    <n v="0"/>
    <n v="1.6383661999999999"/>
    <n v="100"/>
    <x v="5"/>
    <x v="1"/>
    <n v="33.991"/>
  </r>
  <r>
    <x v="327"/>
    <x v="8"/>
    <x v="1"/>
    <s v="septembre2022"/>
    <x v="1375"/>
    <n v="149"/>
    <n v="0.14899999999999999"/>
    <x v="3"/>
    <n v="1"/>
    <n v="0"/>
    <n v="0.24099999999999999"/>
    <n v="1.2239941739999998"/>
    <n v="0"/>
    <n v="0"/>
    <n v="1.2239941739999998"/>
    <n v="100"/>
    <x v="3"/>
    <x v="27"/>
    <n v="34.085999999999999"/>
  </r>
  <r>
    <x v="327"/>
    <x v="8"/>
    <x v="1"/>
    <s v="septembre2022"/>
    <x v="1376"/>
    <n v="150"/>
    <n v="0.15"/>
    <x v="2"/>
    <n v="0.3"/>
    <n v="0.7"/>
    <n v="0.16"/>
    <n v="2.0048976000000001"/>
    <n v="6.7400000000000002E-2"/>
    <n v="1.9706472660000003"/>
    <n v="3.9755448660000003"/>
    <n v="130"/>
    <x v="45"/>
    <x v="1"/>
    <n v="278.45800000000003"/>
  </r>
  <r>
    <x v="327"/>
    <x v="8"/>
    <x v="1"/>
    <s v="septembre2022"/>
    <x v="1377"/>
    <n v="300"/>
    <n v="0.3"/>
    <x v="2"/>
    <n v="0.3"/>
    <n v="0.7"/>
    <n v="0.16"/>
    <n v="7.7979743999999993"/>
    <n v="6.7400000000000002E-2"/>
    <n v="7.6647590039999995"/>
    <n v="15.462733403999998"/>
    <n v="250"/>
    <x v="4"/>
    <x v="1"/>
    <n v="541.52599999999995"/>
  </r>
  <r>
    <x v="328"/>
    <x v="8"/>
    <x v="1"/>
    <s v="septembre2022"/>
    <x v="1378"/>
    <n v="150"/>
    <n v="0.15"/>
    <x v="1"/>
    <n v="0.3"/>
    <n v="0.7"/>
    <n v="0.16"/>
    <n v="5.4150624000000001"/>
    <n v="6.7400000000000002E-2"/>
    <n v="5.3225550840000002"/>
    <n v="10.737617484000001"/>
    <n v="165"/>
    <x v="6"/>
    <x v="1"/>
    <n v="752.09199999999998"/>
  </r>
  <r>
    <x v="328"/>
    <x v="8"/>
    <x v="1"/>
    <s v="septembre2022"/>
    <x v="1379"/>
    <n v="400"/>
    <n v="0.4"/>
    <x v="2"/>
    <n v="0.3"/>
    <n v="0.7"/>
    <n v="0.16"/>
    <n v="5.347142400000001"/>
    <n v="6.7400000000000002E-2"/>
    <n v="5.2557953839999998"/>
    <n v="10.602937784000002"/>
    <n v="230"/>
    <x v="11"/>
    <x v="1"/>
    <n v="278.49700000000001"/>
  </r>
  <r>
    <x v="328"/>
    <x v="8"/>
    <x v="1"/>
    <s v="septembre2022"/>
    <x v="1380"/>
    <n v="300"/>
    <n v="0.3"/>
    <x v="2"/>
    <n v="0.3"/>
    <n v="0.7"/>
    <n v="0.16"/>
    <n v="5.1763680000000001"/>
    <n v="6.7400000000000002E-2"/>
    <n v="5.0879383800000006"/>
    <n v="10.264306380000001"/>
    <n v="250"/>
    <x v="38"/>
    <x v="1"/>
    <n v="359.47"/>
  </r>
  <r>
    <x v="328"/>
    <x v="8"/>
    <x v="1"/>
    <s v="septembre2022"/>
    <x v="1381"/>
    <n v="300"/>
    <n v="0.3"/>
    <x v="2"/>
    <n v="0.3"/>
    <n v="0.7"/>
    <n v="0.16"/>
    <n v="3.7158191999999999"/>
    <n v="6.7400000000000002E-2"/>
    <n v="3.6523406220000001"/>
    <n v="7.368159822"/>
    <n v="260"/>
    <x v="14"/>
    <x v="1"/>
    <n v="258.04300000000001"/>
  </r>
  <r>
    <x v="328"/>
    <x v="8"/>
    <x v="1"/>
    <s v="septembre2022"/>
    <x v="1382"/>
    <n v="1050"/>
    <n v="1.05"/>
    <x v="2"/>
    <n v="0.3"/>
    <n v="0.7"/>
    <n v="0.16"/>
    <n v="37.300939199999995"/>
    <n v="6.7400000000000002E-2"/>
    <n v="36.663714821999996"/>
    <n v="73.964654021999991"/>
    <n v="580"/>
    <x v="23"/>
    <x v="1"/>
    <n v="740.09799999999996"/>
  </r>
  <r>
    <x v="329"/>
    <x v="8"/>
    <x v="1"/>
    <s v="septembre2022"/>
    <x v="1383"/>
    <n v="150"/>
    <n v="0.15"/>
    <x v="2"/>
    <n v="0.3"/>
    <n v="0.7"/>
    <n v="0.16"/>
    <n v="1.2471839999999998"/>
    <n v="6.7400000000000002E-2"/>
    <n v="1.2258779399999999"/>
    <n v="2.47306194"/>
    <n v="140"/>
    <x v="30"/>
    <x v="1"/>
    <n v="173.22"/>
  </r>
  <r>
    <x v="329"/>
    <x v="8"/>
    <x v="1"/>
    <s v="septembre2022"/>
    <x v="1384"/>
    <n v="140"/>
    <n v="0.14000000000000001"/>
    <x v="1"/>
    <n v="0.3"/>
    <n v="0.7"/>
    <n v="0.16"/>
    <n v="3.4546377600000002"/>
    <n v="6.7400000000000002E-2"/>
    <n v="3.3956210316000002"/>
    <n v="6.8502587916"/>
    <n v="165"/>
    <x v="40"/>
    <x v="1"/>
    <n v="514.08299999999997"/>
  </r>
  <r>
    <x v="329"/>
    <x v="8"/>
    <x v="1"/>
    <s v="septembre2022"/>
    <x v="1385"/>
    <n v="300"/>
    <n v="0.3"/>
    <x v="1"/>
    <n v="0.3"/>
    <n v="0.7"/>
    <n v="0.16"/>
    <n v="7.4372256000000005"/>
    <n v="6.7400000000000002E-2"/>
    <n v="7.3101729960000004"/>
    <n v="14.747398596"/>
    <n v="224"/>
    <x v="0"/>
    <x v="1"/>
    <n v="516.47400000000005"/>
  </r>
  <r>
    <x v="329"/>
    <x v="8"/>
    <x v="1"/>
    <s v="septembre2022"/>
    <x v="1386"/>
    <n v="930"/>
    <n v="0.93"/>
    <x v="2"/>
    <n v="0.3"/>
    <n v="0.7"/>
    <n v="0.16"/>
    <n v="31.783099680000003"/>
    <n v="6.7400000000000002E-2"/>
    <n v="31.240138393800002"/>
    <n v="63.023238073800002"/>
    <n v="380"/>
    <x v="32"/>
    <x v="1"/>
    <n v="711.98699999999997"/>
  </r>
  <r>
    <x v="329"/>
    <x v="8"/>
    <x v="1"/>
    <s v="septembre2022"/>
    <x v="1387"/>
    <n v="750"/>
    <n v="0.75"/>
    <x v="2"/>
    <n v="0.3"/>
    <n v="0.7"/>
    <n v="0.16"/>
    <n v="13.701096000000001"/>
    <n v="6.7400000000000002E-2"/>
    <n v="13.46703561"/>
    <n v="27.168131610000003"/>
    <n v="450"/>
    <x v="12"/>
    <x v="1"/>
    <n v="380.58600000000001"/>
  </r>
  <r>
    <x v="330"/>
    <x v="8"/>
    <x v="1"/>
    <s v="septembre2022"/>
    <x v="1388"/>
    <n v="214"/>
    <n v="0.214"/>
    <x v="2"/>
    <n v="0.3"/>
    <n v="0.7"/>
    <n v="0.16"/>
    <n v="2.6389897919999998"/>
    <n v="6.7400000000000002E-2"/>
    <n v="2.5939070497199999"/>
    <n v="5.2328968417199997"/>
    <n v="155"/>
    <x v="3"/>
    <x v="4"/>
    <n v="256.911"/>
  </r>
  <r>
    <x v="330"/>
    <x v="8"/>
    <x v="1"/>
    <s v="septembre2022"/>
    <x v="1389"/>
    <n v="230"/>
    <n v="0.23"/>
    <x v="2"/>
    <n v="0.3"/>
    <n v="0.7"/>
    <n v="0.16"/>
    <n v="2.8064011200000003"/>
    <n v="6.7400000000000002E-2"/>
    <n v="2.7584584342"/>
    <n v="5.5648595541999999"/>
    <n v="158"/>
    <x v="36"/>
    <x v="1"/>
    <n v="254.203"/>
  </r>
  <r>
    <x v="330"/>
    <x v="8"/>
    <x v="1"/>
    <s v="septembre2022"/>
    <x v="1390"/>
    <n v="342"/>
    <n v="0.34200000000000003"/>
    <x v="2"/>
    <n v="0.3"/>
    <n v="0.7"/>
    <n v="0.16"/>
    <n v="8.8840108799999999"/>
    <n v="6.7400000000000002E-2"/>
    <n v="8.732242360799999"/>
    <n v="17.616253240799999"/>
    <n v="225"/>
    <x v="3"/>
    <x v="8"/>
    <n v="541.17999999999995"/>
  </r>
  <r>
    <x v="330"/>
    <x v="8"/>
    <x v="1"/>
    <s v="septembre2022"/>
    <x v="1391"/>
    <n v="428"/>
    <n v="0.42799999999999999"/>
    <x v="2"/>
    <n v="0.3"/>
    <n v="0.7"/>
    <n v="0.16"/>
    <n v="11.073503616"/>
    <n v="6.7400000000000002E-2"/>
    <n v="10.88433126256"/>
    <n v="21.95783487856"/>
    <n v="260"/>
    <x v="3"/>
    <x v="59"/>
    <n v="539.01400000000001"/>
  </r>
  <r>
    <x v="330"/>
    <x v="8"/>
    <x v="1"/>
    <s v="septembre2022"/>
    <x v="1392"/>
    <n v="642"/>
    <n v="0.64200000000000002"/>
    <x v="2"/>
    <n v="0.3"/>
    <n v="0.7"/>
    <n v="0.16"/>
    <n v="8.6499895679999987"/>
    <n v="6.7400000000000002E-2"/>
    <n v="8.5022189128800001"/>
    <n v="17.152208480879999"/>
    <n v="285"/>
    <x v="3"/>
    <x v="17"/>
    <n v="280.69799999999998"/>
  </r>
  <r>
    <x v="330"/>
    <x v="8"/>
    <x v="1"/>
    <s v="septembre2022"/>
    <x v="1393"/>
    <n v="685"/>
    <n v="0.68500000000000005"/>
    <x v="2"/>
    <n v="0.3"/>
    <n v="0.7"/>
    <n v="0.16"/>
    <n v="9.1997911200000004"/>
    <n v="6.7400000000000002E-2"/>
    <n v="9.0426280216999988"/>
    <n v="18.242419141699997"/>
    <n v="320"/>
    <x v="3"/>
    <x v="10"/>
    <n v="279.79899999999998"/>
  </r>
  <r>
    <x v="331"/>
    <x v="8"/>
    <x v="1"/>
    <s v="septembre2022"/>
    <x v="1394"/>
    <n v="101"/>
    <n v="0.10100000000000001"/>
    <x v="2"/>
    <n v="0.3"/>
    <n v="0.7"/>
    <n v="0.16"/>
    <n v="1.2061678560000002"/>
    <n v="6.7400000000000002E-2"/>
    <n v="1.18556248846"/>
    <n v="2.39173034446"/>
    <n v="100"/>
    <x v="3"/>
    <x v="19"/>
    <n v="248.797"/>
  </r>
  <r>
    <x v="331"/>
    <x v="8"/>
    <x v="1"/>
    <s v="septembre2022"/>
    <x v="1395"/>
    <n v="345"/>
    <n v="0.34499999999999997"/>
    <x v="2"/>
    <n v="0.3"/>
    <n v="0.7"/>
    <n v="0.16"/>
    <n v="3.0936398399999994"/>
    <n v="6.7400000000000002E-2"/>
    <n v="3.0407901593999997"/>
    <n v="6.1344299993999991"/>
    <n v="140"/>
    <x v="29"/>
    <x v="1"/>
    <n v="186.81399999999999"/>
  </r>
  <r>
    <x v="331"/>
    <x v="8"/>
    <x v="1"/>
    <s v="septembre2022"/>
    <x v="1396"/>
    <n v="230"/>
    <n v="0.23"/>
    <x v="2"/>
    <n v="0.3"/>
    <n v="0.7"/>
    <n v="0.16"/>
    <n v="2.9463331200000002"/>
    <n v="6.7400000000000002E-2"/>
    <n v="2.8959999291999998"/>
    <n v="5.8423330492000005"/>
    <n v="158"/>
    <x v="31"/>
    <x v="1"/>
    <n v="266.87799999999999"/>
  </r>
  <r>
    <x v="331"/>
    <x v="8"/>
    <x v="1"/>
    <s v="septembre2022"/>
    <x v="1397"/>
    <n v="150"/>
    <n v="0.15"/>
    <x v="1"/>
    <n v="0.3"/>
    <n v="0.7"/>
    <n v="0.16"/>
    <n v="2.0026439999999996"/>
    <n v="6.7400000000000002E-2"/>
    <n v="1.9684321649999998"/>
    <n v="3.9710761649999995"/>
    <n v="158"/>
    <x v="7"/>
    <x v="1"/>
    <n v="278.14499999999998"/>
  </r>
  <r>
    <x v="332"/>
    <x v="8"/>
    <x v="1"/>
    <s v="septembre2022"/>
    <x v="1398"/>
    <n v="265"/>
    <n v="0.26500000000000001"/>
    <x v="1"/>
    <n v="0.3"/>
    <n v="0.7"/>
    <n v="0.16"/>
    <n v="6.8396457599999998"/>
    <n v="6.7400000000000002E-2"/>
    <n v="6.7228018116000001"/>
    <n v="13.5624475716"/>
    <n v="156"/>
    <x v="27"/>
    <x v="1"/>
    <n v="537.70799999999997"/>
  </r>
  <r>
    <x v="332"/>
    <x v="8"/>
    <x v="1"/>
    <s v="septembre2022"/>
    <x v="1399"/>
    <n v="300"/>
    <n v="0.3"/>
    <x v="2"/>
    <n v="0.3"/>
    <n v="0.7"/>
    <n v="0.16"/>
    <n v="7.7979743999999993"/>
    <n v="6.7400000000000002E-2"/>
    <n v="7.6647590039999995"/>
    <n v="15.462733403999998"/>
    <n v="250"/>
    <x v="4"/>
    <x v="1"/>
    <n v="541.52599999999995"/>
  </r>
  <r>
    <x v="333"/>
    <x v="8"/>
    <x v="1"/>
    <s v="septembre2022"/>
    <x v="1400"/>
    <n v="155"/>
    <n v="0.155"/>
    <x v="1"/>
    <n v="0.3"/>
    <n v="0.7"/>
    <n v="0.16"/>
    <n v="2.35261728"/>
    <n v="6.7400000000000002E-2"/>
    <n v="2.3124267347999998"/>
    <n v="4.6650440147999994"/>
    <n v="158"/>
    <x v="42"/>
    <x v="1"/>
    <n v="316.21199999999999"/>
  </r>
  <r>
    <x v="333"/>
    <x v="8"/>
    <x v="1"/>
    <s v="septembre2022"/>
    <x v="1401"/>
    <n v="400"/>
    <n v="0.4"/>
    <x v="2"/>
    <n v="0.3"/>
    <n v="0.7"/>
    <n v="0.16"/>
    <n v="5.347142400000001"/>
    <n v="6.7400000000000002E-2"/>
    <n v="5.2557953839999998"/>
    <n v="10.602937784000002"/>
    <n v="230"/>
    <x v="11"/>
    <x v="1"/>
    <n v="278.49700000000001"/>
  </r>
  <r>
    <x v="333"/>
    <x v="8"/>
    <x v="1"/>
    <s v="septembre2022"/>
    <x v="1402"/>
    <n v="450"/>
    <n v="0.45"/>
    <x v="2"/>
    <n v="0.3"/>
    <n v="0.7"/>
    <n v="0.16"/>
    <n v="5.5737288000000005"/>
    <n v="6.7400000000000002E-2"/>
    <n v="5.4785109329999999"/>
    <n v="11.052239733"/>
    <n v="260"/>
    <x v="14"/>
    <x v="1"/>
    <n v="258.04300000000001"/>
  </r>
  <r>
    <x v="334"/>
    <x v="8"/>
    <x v="1"/>
    <s v="septembre2022"/>
    <x v="1403"/>
    <n v="750"/>
    <n v="0.75"/>
    <x v="2"/>
    <n v="0.3"/>
    <n v="0.7"/>
    <n v="0.16"/>
    <n v="13.701096000000001"/>
    <n v="6.7400000000000002E-2"/>
    <n v="13.46703561"/>
    <n v="27.168131610000003"/>
    <n v="165"/>
    <x v="12"/>
    <x v="1"/>
    <n v="380.58600000000001"/>
  </r>
  <r>
    <x v="334"/>
    <x v="8"/>
    <x v="1"/>
    <s v="septembre2022"/>
    <x v="1404"/>
    <n v="344"/>
    <n v="0.34399999999999997"/>
    <x v="2"/>
    <n v="0.3"/>
    <n v="0.7"/>
    <n v="0.16"/>
    <n v="4.108136064"/>
    <n v="6.7400000000000002E-2"/>
    <n v="4.0379554062399992"/>
    <n v="8.1460914702399982"/>
    <n v="200"/>
    <x v="3"/>
    <x v="19"/>
    <n v="248.797"/>
  </r>
  <r>
    <x v="334"/>
    <x v="8"/>
    <x v="1"/>
    <s v="septembre2022"/>
    <x v="1405"/>
    <n v="425"/>
    <n v="0.42499999999999999"/>
    <x v="2"/>
    <n v="0.3"/>
    <n v="0.7"/>
    <n v="0.16"/>
    <n v="5.1118116000000002"/>
    <n v="6.7400000000000002E-2"/>
    <n v="5.0244848185000004"/>
    <n v="10.136296418500001"/>
    <n v="200"/>
    <x v="3"/>
    <x v="16"/>
    <n v="250.57900000000001"/>
  </r>
  <r>
    <x v="334"/>
    <x v="8"/>
    <x v="1"/>
    <s v="septembre2022"/>
    <x v="1406"/>
    <n v="344"/>
    <n v="0.34399999999999997"/>
    <x v="2"/>
    <n v="0.3"/>
    <n v="0.7"/>
    <n v="0.16"/>
    <n v="8.9359641599999993"/>
    <n v="6.7400000000000002E-2"/>
    <n v="8.783308105599998"/>
    <n v="17.719272265599997"/>
    <n v="225"/>
    <x v="3"/>
    <x v="8"/>
    <n v="541.17999999999995"/>
  </r>
  <r>
    <x v="334"/>
    <x v="8"/>
    <x v="1"/>
    <s v="septembre2022"/>
    <x v="1407"/>
    <n v="425"/>
    <n v="0.42499999999999999"/>
    <x v="2"/>
    <n v="0.3"/>
    <n v="0.7"/>
    <n v="0.16"/>
    <n v="10.995885600000001"/>
    <n v="6.7400000000000002E-2"/>
    <n v="10.808039221"/>
    <n v="21.803924821000003"/>
    <n v="260"/>
    <x v="3"/>
    <x v="59"/>
    <n v="539.01400000000001"/>
  </r>
  <r>
    <x v="334"/>
    <x v="8"/>
    <x v="1"/>
    <s v="septembre2022"/>
    <x v="1408"/>
    <n v="750"/>
    <n v="0.75"/>
    <x v="1"/>
    <n v="0.3"/>
    <n v="0.7"/>
    <n v="0.16"/>
    <n v="18.593064000000005"/>
    <n v="6.7400000000000002E-2"/>
    <n v="18.27543249"/>
    <n v="36.868496490000005"/>
    <n v="450"/>
    <x v="0"/>
    <x v="1"/>
    <n v="516.47400000000005"/>
  </r>
  <r>
    <x v="334"/>
    <x v="8"/>
    <x v="1"/>
    <s v="septembre2022"/>
    <x v="1409"/>
    <n v="900"/>
    <n v="0.9"/>
    <x v="2"/>
    <n v="0.3"/>
    <n v="0.7"/>
    <n v="0.16"/>
    <n v="31.972233599999999"/>
    <n v="6.7400000000000002E-2"/>
    <n v="31.426041275999999"/>
    <n v="63.398274876000002"/>
    <n v="470"/>
    <x v="23"/>
    <x v="1"/>
    <n v="740.09799999999996"/>
  </r>
  <r>
    <x v="335"/>
    <x v="8"/>
    <x v="1"/>
    <s v="septembre2022"/>
    <x v="1410"/>
    <n v="135"/>
    <n v="0.13500000000000001"/>
    <x v="2"/>
    <n v="0.3"/>
    <n v="0.7"/>
    <n v="0.16"/>
    <n v="3.7396792800000003"/>
    <n v="6.7400000000000002E-2"/>
    <n v="3.6757930923000002"/>
    <n v="7.4154723723"/>
    <n v="195"/>
    <x v="37"/>
    <x v="1"/>
    <n v="577.11099999999999"/>
  </r>
  <r>
    <x v="335"/>
    <x v="8"/>
    <x v="1"/>
    <s v="septembre2022"/>
    <x v="1411"/>
    <n v="344"/>
    <n v="0.34399999999999997"/>
    <x v="1"/>
    <n v="0.3"/>
    <n v="0.7"/>
    <n v="0.16"/>
    <n v="4.108136064"/>
    <n v="6.7400000000000002E-2"/>
    <n v="4.0379554062399992"/>
    <n v="8.1460914702399982"/>
    <n v="200"/>
    <x v="3"/>
    <x v="19"/>
    <n v="248.797"/>
  </r>
  <r>
    <x v="335"/>
    <x v="8"/>
    <x v="1"/>
    <s v="septembre2022"/>
    <x v="1412"/>
    <n v="428"/>
    <n v="0.42799999999999999"/>
    <x v="1"/>
    <n v="0.3"/>
    <n v="0.7"/>
    <n v="0.16"/>
    <n v="5.2779795839999997"/>
    <n v="6.7400000000000002E-2"/>
    <n v="5.1878140994399997"/>
    <n v="10.465793683439999"/>
    <n v="210"/>
    <x v="3"/>
    <x v="4"/>
    <n v="256.911"/>
  </r>
  <r>
    <x v="335"/>
    <x v="8"/>
    <x v="1"/>
    <s v="septembre2022"/>
    <x v="1413"/>
    <n v="681"/>
    <n v="0.68100000000000005"/>
    <x v="2"/>
    <n v="0.3"/>
    <n v="0.7"/>
    <n v="0.16"/>
    <n v="27.373356144000002"/>
    <n v="6.7400000000000002E-2"/>
    <n v="26.905727976540003"/>
    <n v="54.279084120540006"/>
    <n v="380"/>
    <x v="3"/>
    <x v="5"/>
    <n v="837.41300000000001"/>
  </r>
  <r>
    <x v="336"/>
    <x v="8"/>
    <x v="1"/>
    <s v="septembre2022"/>
    <x v="1414"/>
    <n v="90"/>
    <n v="0.09"/>
    <x v="1"/>
    <n v="0.3"/>
    <n v="0.7"/>
    <n v="0.16"/>
    <n v="0.24048144000000002"/>
    <n v="6.7400000000000002E-2"/>
    <n v="0.23637321539999998"/>
    <n v="0.47685465539999999"/>
    <n v="80"/>
    <x v="39"/>
    <x v="1"/>
    <n v="55.667000000000002"/>
  </r>
  <r>
    <x v="336"/>
    <x v="8"/>
    <x v="1"/>
    <s v="septembre2022"/>
    <x v="1415"/>
    <n v="320"/>
    <n v="0.32"/>
    <x v="2"/>
    <n v="0.3"/>
    <n v="0.7"/>
    <n v="0.16"/>
    <n v="2.6606592"/>
    <n v="6.7400000000000002E-2"/>
    <n v="2.615206272"/>
    <n v="5.2758654719999996"/>
    <n v="200"/>
    <x v="30"/>
    <x v="1"/>
    <n v="173.22"/>
  </r>
  <r>
    <x v="336"/>
    <x v="8"/>
    <x v="1"/>
    <s v="septembre2022"/>
    <x v="1416"/>
    <n v="310"/>
    <n v="0.31"/>
    <x v="2"/>
    <n v="0.3"/>
    <n v="0.7"/>
    <n v="0.16"/>
    <n v="3.9711446399999999"/>
    <n v="6.7400000000000002E-2"/>
    <n v="3.9033042523999999"/>
    <n v="7.8744488924000002"/>
    <n v="200"/>
    <x v="31"/>
    <x v="1"/>
    <n v="266.87799999999999"/>
  </r>
  <r>
    <x v="337"/>
    <x v="8"/>
    <x v="1"/>
    <s v="septembre2022"/>
    <x v="1417"/>
    <n v="212"/>
    <n v="0.21199999999999999"/>
    <x v="3"/>
    <n v="1"/>
    <n v="0"/>
    <n v="0.24099999999999999"/>
    <n v="1.7415219119999998"/>
    <n v="0"/>
    <n v="0"/>
    <n v="1.7415219119999998"/>
    <n v="80"/>
    <x v="3"/>
    <x v="27"/>
    <n v="34.085999999999999"/>
  </r>
  <r>
    <x v="337"/>
    <x v="8"/>
    <x v="1"/>
    <s v="septembre2022"/>
    <x v="1418"/>
    <n v="220"/>
    <n v="0.22"/>
    <x v="1"/>
    <n v="0.3"/>
    <n v="0.7"/>
    <n v="0.16"/>
    <n v="4.1085052800000001"/>
    <n v="6.7400000000000002E-2"/>
    <n v="4.0383183147999997"/>
    <n v="8.1468235948000007"/>
    <n v="125"/>
    <x v="34"/>
    <x v="1"/>
    <n v="389.06299999999999"/>
  </r>
  <r>
    <x v="337"/>
    <x v="8"/>
    <x v="1"/>
    <s v="septembre2022"/>
    <x v="1419"/>
    <n v="345"/>
    <n v="0.34499999999999997"/>
    <x v="2"/>
    <n v="0.3"/>
    <n v="0.7"/>
    <n v="0.16"/>
    <n v="3.0936398399999994"/>
    <n v="6.7400000000000002E-2"/>
    <n v="3.0407901593999997"/>
    <n v="6.1344299993999991"/>
    <n v="140"/>
    <x v="29"/>
    <x v="1"/>
    <n v="186.81399999999999"/>
  </r>
  <r>
    <x v="337"/>
    <x v="8"/>
    <x v="1"/>
    <s v="septembre2022"/>
    <x v="1420"/>
    <n v="429"/>
    <n v="0.42899999999999999"/>
    <x v="1"/>
    <n v="0.3"/>
    <n v="0.7"/>
    <n v="0.16"/>
    <n v="11.072483135999999"/>
    <n v="6.7400000000000002E-2"/>
    <n v="10.883328215759999"/>
    <n v="21.955811351759998"/>
    <n v="195"/>
    <x v="27"/>
    <x v="1"/>
    <n v="537.70799999999997"/>
  </r>
  <r>
    <x v="337"/>
    <x v="8"/>
    <x v="1"/>
    <s v="septembre2022"/>
    <x v="1421"/>
    <n v="533"/>
    <n v="0.53300000000000003"/>
    <x v="2"/>
    <n v="0.3"/>
    <n v="0.7"/>
    <n v="0.16"/>
    <n v="7.1813776320000002"/>
    <n v="6.7400000000000002E-2"/>
    <n v="7.0586957641199994"/>
    <n v="14.24007339612"/>
    <n v="234"/>
    <x v="3"/>
    <x v="17"/>
    <n v="280.69799999999998"/>
  </r>
  <r>
    <x v="337"/>
    <x v="8"/>
    <x v="1"/>
    <s v="septembre2022"/>
    <x v="1422"/>
    <n v="300"/>
    <n v="0.3"/>
    <x v="2"/>
    <n v="0.3"/>
    <n v="0.7"/>
    <n v="0.16"/>
    <n v="7.7979743999999993"/>
    <n v="6.7400000000000002E-2"/>
    <n v="7.6647590039999995"/>
    <n v="15.462733403999998"/>
    <n v="250"/>
    <x v="4"/>
    <x v="1"/>
    <n v="541.52599999999995"/>
  </r>
  <r>
    <x v="337"/>
    <x v="8"/>
    <x v="1"/>
    <s v="septembre2022"/>
    <x v="1423"/>
    <n v="1017"/>
    <n v="1.0169999999999999"/>
    <x v="2"/>
    <n v="0.3"/>
    <n v="0.7"/>
    <n v="0.16"/>
    <n v="9.2058677279999994"/>
    <n v="6.7400000000000002E-2"/>
    <n v="9.0486008209799991"/>
    <n v="18.25446854898"/>
    <n v="295"/>
    <x v="3"/>
    <x v="68"/>
    <n v="188.583"/>
  </r>
  <r>
    <x v="337"/>
    <x v="8"/>
    <x v="1"/>
    <s v="septembre2022"/>
    <x v="1424"/>
    <n v="1362"/>
    <n v="1.3620000000000001"/>
    <x v="2"/>
    <n v="0.3"/>
    <n v="0.7"/>
    <n v="0.16"/>
    <n v="17.400868416000002"/>
    <n v="6.7400000000000002E-2"/>
    <n v="17.103603580560002"/>
    <n v="34.50447199656"/>
    <n v="325"/>
    <x v="3"/>
    <x v="0"/>
    <n v="266.166"/>
  </r>
  <r>
    <x v="338"/>
    <x v="8"/>
    <x v="1"/>
    <s v="septembre2022"/>
    <x v="1425"/>
    <n v="427"/>
    <n v="0.42699999999999999"/>
    <x v="2"/>
    <n v="0.3"/>
    <n v="0.7"/>
    <n v="0.16"/>
    <n v="5.2656478560000002"/>
    <n v="6.7400000000000002E-2"/>
    <n v="5.1756930384599995"/>
    <n v="10.44134089446"/>
    <n v="210"/>
    <x v="3"/>
    <x v="4"/>
    <n v="256.911"/>
  </r>
  <r>
    <x v="338"/>
    <x v="8"/>
    <x v="1"/>
    <s v="septembre2022"/>
    <x v="1426"/>
    <n v="300"/>
    <n v="0.3"/>
    <x v="2"/>
    <n v="0.3"/>
    <n v="0.7"/>
    <n v="0.16"/>
    <n v="4.0103568000000003"/>
    <n v="6.7400000000000002E-2"/>
    <n v="3.9418465380000001"/>
    <n v="7.9522033380000003"/>
    <n v="230"/>
    <x v="11"/>
    <x v="1"/>
    <n v="278.49700000000001"/>
  </r>
  <r>
    <x v="338"/>
    <x v="8"/>
    <x v="1"/>
    <s v="septembre2022"/>
    <x v="1427"/>
    <n v="300"/>
    <n v="0.3"/>
    <x v="2"/>
    <n v="0.3"/>
    <n v="0.7"/>
    <n v="0.16"/>
    <n v="10.657411199999999"/>
    <n v="6.7400000000000002E-2"/>
    <n v="10.475347092"/>
    <n v="21.132758291999998"/>
    <n v="235"/>
    <x v="23"/>
    <x v="1"/>
    <n v="740.09799999999996"/>
  </r>
  <r>
    <x v="338"/>
    <x v="8"/>
    <x v="1"/>
    <s v="septembre2022"/>
    <x v="1428"/>
    <n v="466"/>
    <n v="0.46600000000000003"/>
    <x v="2"/>
    <n v="0.3"/>
    <n v="0.7"/>
    <n v="0.16"/>
    <n v="15.925725216000002"/>
    <n v="6.7400000000000002E-2"/>
    <n v="15.653660743560001"/>
    <n v="31.579385959560003"/>
    <n v="260"/>
    <x v="32"/>
    <x v="1"/>
    <n v="711.98699999999997"/>
  </r>
  <r>
    <x v="338"/>
    <x v="8"/>
    <x v="1"/>
    <s v="septembre2022"/>
    <x v="1429"/>
    <n v="450"/>
    <n v="0.45"/>
    <x v="2"/>
    <n v="0.3"/>
    <n v="0.7"/>
    <n v="0.16"/>
    <n v="5.5737288000000005"/>
    <n v="6.7400000000000002E-2"/>
    <n v="5.4785109329999999"/>
    <n v="11.052239733"/>
    <n v="260"/>
    <x v="14"/>
    <x v="1"/>
    <n v="258.04300000000001"/>
  </r>
  <r>
    <x v="338"/>
    <x v="8"/>
    <x v="1"/>
    <s v="septembre2022"/>
    <x v="1430"/>
    <n v="601"/>
    <n v="0.60099999999999998"/>
    <x v="2"/>
    <n v="0.3"/>
    <n v="0.7"/>
    <n v="0.16"/>
    <n v="15.549475872"/>
    <n v="6.7400000000000002E-2"/>
    <n v="15.283838992519998"/>
    <n v="30.833314864519998"/>
    <n v="260"/>
    <x v="3"/>
    <x v="59"/>
    <n v="539.01400000000001"/>
  </r>
  <r>
    <x v="338"/>
    <x v="8"/>
    <x v="1"/>
    <s v="septembre2022"/>
    <x v="1431"/>
    <n v="344"/>
    <n v="0.34399999999999997"/>
    <x v="2"/>
    <n v="0.3"/>
    <n v="0.7"/>
    <n v="0.16"/>
    <n v="6.2820729599999989"/>
    <n v="6.7400000000000002E-2"/>
    <n v="6.1747542135999991"/>
    <n v="12.456827173599997"/>
    <n v="261"/>
    <x v="3"/>
    <x v="20"/>
    <n v="380.45499999999998"/>
  </r>
  <r>
    <x v="339"/>
    <x v="8"/>
    <x v="1"/>
    <s v="septembre2022"/>
    <x v="1432"/>
    <n v="128"/>
    <n v="0.128"/>
    <x v="2"/>
    <n v="0.3"/>
    <n v="0.7"/>
    <n v="0.16"/>
    <n v="1.7463275520000001"/>
    <n v="6.7400000000000002E-2"/>
    <n v="1.71649445632"/>
    <n v="3.4628220083199999"/>
    <n v="128"/>
    <x v="3"/>
    <x v="29"/>
    <n v="284.233"/>
  </r>
  <r>
    <x v="339"/>
    <x v="8"/>
    <x v="1"/>
    <s v="septembre2022"/>
    <x v="1433"/>
    <n v="181"/>
    <n v="0.18099999999999999"/>
    <x v="1"/>
    <n v="0.3"/>
    <n v="0.7"/>
    <n v="0.16"/>
    <n v="2.7472498559999998"/>
    <n v="6.7400000000000002E-2"/>
    <n v="2.7003176709599996"/>
    <n v="5.4475675269599995"/>
    <n v="158"/>
    <x v="42"/>
    <x v="1"/>
    <n v="316.21199999999999"/>
  </r>
  <r>
    <x v="339"/>
    <x v="8"/>
    <x v="1"/>
    <s v="septembre2022"/>
    <x v="1434"/>
    <n v="150"/>
    <n v="0.15"/>
    <x v="2"/>
    <n v="0.3"/>
    <n v="0.7"/>
    <n v="0.16"/>
    <n v="2.7402191999999999"/>
    <n v="6.7400000000000002E-2"/>
    <n v="2.693407122"/>
    <n v="5.4336263220000003"/>
    <n v="165"/>
    <x v="12"/>
    <x v="1"/>
    <n v="380.58600000000001"/>
  </r>
  <r>
    <x v="339"/>
    <x v="8"/>
    <x v="1"/>
    <s v="septembre2022"/>
    <x v="1435"/>
    <n v="650"/>
    <n v="0.65"/>
    <x v="2"/>
    <n v="0.3"/>
    <n v="0.7"/>
    <n v="0.16"/>
    <n v="7.8598728000000007"/>
    <n v="6.7400000000000002E-2"/>
    <n v="7.7255999730000005"/>
    <n v="15.585472773000001"/>
    <n v="185"/>
    <x v="13"/>
    <x v="1"/>
    <n v="251.91900000000001"/>
  </r>
  <r>
    <x v="339"/>
    <x v="8"/>
    <x v="1"/>
    <s v="septembre2022"/>
    <x v="1436"/>
    <n v="1500"/>
    <n v="1.5"/>
    <x v="1"/>
    <n v="0.3"/>
    <n v="0.7"/>
    <n v="0.16"/>
    <n v="37.186128000000011"/>
    <n v="6.7400000000000002E-2"/>
    <n v="36.55086498"/>
    <n v="73.736992980000011"/>
    <n v="770"/>
    <x v="0"/>
    <x v="1"/>
    <n v="516.47400000000005"/>
  </r>
  <r>
    <x v="340"/>
    <x v="8"/>
    <x v="1"/>
    <s v="septembre2022"/>
    <x v="1437"/>
    <n v="230"/>
    <n v="0.23"/>
    <x v="2"/>
    <n v="0.3"/>
    <n v="0.7"/>
    <n v="0.16"/>
    <n v="1.9123488000000002"/>
    <n v="6.7400000000000002E-2"/>
    <n v="1.8796795080000002"/>
    <n v="3.7920283080000003"/>
    <n v="140"/>
    <x v="30"/>
    <x v="1"/>
    <n v="173.22"/>
  </r>
  <r>
    <x v="340"/>
    <x v="8"/>
    <x v="1"/>
    <s v="septembre2022"/>
    <x v="1438"/>
    <n v="230"/>
    <n v="0.23"/>
    <x v="2"/>
    <n v="0.3"/>
    <n v="0.7"/>
    <n v="0.16"/>
    <n v="2.8064011200000003"/>
    <n v="6.7400000000000002E-2"/>
    <n v="2.7584584342"/>
    <n v="5.5648595541999999"/>
    <n v="158"/>
    <x v="36"/>
    <x v="1"/>
    <n v="254.203"/>
  </r>
  <r>
    <x v="340"/>
    <x v="8"/>
    <x v="1"/>
    <s v="septembre2022"/>
    <x v="1439"/>
    <n v="340"/>
    <n v="0.34"/>
    <x v="2"/>
    <n v="0.3"/>
    <n v="0.7"/>
    <n v="0.16"/>
    <n v="2.7314784000000003"/>
    <n v="6.7400000000000002E-2"/>
    <n v="2.6848156440000004"/>
    <n v="5.4162940440000007"/>
    <n v="190"/>
    <x v="3"/>
    <x v="37"/>
    <n v="167.37"/>
  </r>
  <r>
    <x v="340"/>
    <x v="8"/>
    <x v="1"/>
    <s v="septembre2022"/>
    <x v="1440"/>
    <n v="344"/>
    <n v="0.34399999999999997"/>
    <x v="2"/>
    <n v="0.3"/>
    <n v="0.7"/>
    <n v="0.16"/>
    <n v="4.6200410879999989"/>
    <n v="6.7400000000000002E-2"/>
    <n v="4.5411153860799995"/>
    <n v="9.1611564740799984"/>
    <n v="205"/>
    <x v="3"/>
    <x v="10"/>
    <n v="279.79899999999998"/>
  </r>
  <r>
    <x v="340"/>
    <x v="8"/>
    <x v="1"/>
    <s v="septembre2022"/>
    <x v="1441"/>
    <n v="342"/>
    <n v="0.34200000000000003"/>
    <x v="2"/>
    <n v="0.3"/>
    <n v="0.7"/>
    <n v="0.16"/>
    <n v="13.746971808"/>
    <n v="6.7400000000000002E-2"/>
    <n v="13.512127706280001"/>
    <n v="27.259099514280003"/>
    <n v="210"/>
    <x v="3"/>
    <x v="5"/>
    <n v="837.41300000000001"/>
  </r>
  <r>
    <x v="340"/>
    <x v="8"/>
    <x v="1"/>
    <s v="septembre2022"/>
    <x v="1442"/>
    <n v="681"/>
    <n v="0.68100000000000005"/>
    <x v="2"/>
    <n v="0.3"/>
    <n v="0.7"/>
    <n v="0.16"/>
    <n v="8.1326763360000012"/>
    <n v="6.7400000000000002E-2"/>
    <n v="7.9937431152600009"/>
    <n v="16.126419451260002"/>
    <n v="245"/>
    <x v="3"/>
    <x v="19"/>
    <n v="248.797"/>
  </r>
  <r>
    <x v="341"/>
    <x v="8"/>
    <x v="1"/>
    <s v="septembre2022"/>
    <x v="1443"/>
    <n v="345"/>
    <n v="0.34499999999999997"/>
    <x v="2"/>
    <n v="0.3"/>
    <n v="0.7"/>
    <n v="0.16"/>
    <n v="3.0936398399999994"/>
    <n v="6.7400000000000002E-2"/>
    <n v="3.0407901593999997"/>
    <n v="6.1344299993999991"/>
    <n v="140"/>
    <x v="29"/>
    <x v="1"/>
    <n v="186.81399999999999"/>
  </r>
  <r>
    <x v="341"/>
    <x v="8"/>
    <x v="1"/>
    <s v="septembre2022"/>
    <x v="1444"/>
    <n v="300"/>
    <n v="0.3"/>
    <x v="1"/>
    <n v="0.3"/>
    <n v="0.7"/>
    <n v="0.16"/>
    <n v="4.0052879999999993"/>
    <n v="6.7400000000000002E-2"/>
    <n v="3.9368643299999997"/>
    <n v="7.942152329999999"/>
    <n v="188"/>
    <x v="7"/>
    <x v="1"/>
    <n v="278.14499999999998"/>
  </r>
  <r>
    <x v="341"/>
    <x v="8"/>
    <x v="1"/>
    <s v="septembre2022"/>
    <x v="1445"/>
    <n v="340"/>
    <n v="0.34"/>
    <x v="2"/>
    <n v="0.3"/>
    <n v="0.7"/>
    <n v="0.16"/>
    <n v="4.148136"/>
    <n v="6.7400000000000002E-2"/>
    <n v="4.0772720100000006"/>
    <n v="8.2254080100000007"/>
    <n v="200"/>
    <x v="3"/>
    <x v="25"/>
    <n v="254.17500000000001"/>
  </r>
  <r>
    <x v="342"/>
    <x v="8"/>
    <x v="1"/>
    <s v="septembre2022"/>
    <x v="1446"/>
    <n v="180"/>
    <n v="0.18"/>
    <x v="1"/>
    <n v="0.3"/>
    <n v="0.7"/>
    <n v="0.16"/>
    <n v="3.3615043199999999"/>
    <n v="6.7400000000000002E-2"/>
    <n v="3.3040786211999995"/>
    <n v="6.6655829411999994"/>
    <n v="125"/>
    <x v="34"/>
    <x v="1"/>
    <n v="389.06299999999999"/>
  </r>
  <r>
    <x v="342"/>
    <x v="8"/>
    <x v="1"/>
    <s v="septembre2022"/>
    <x v="1447"/>
    <n v="230"/>
    <n v="0.23"/>
    <x v="2"/>
    <n v="0.3"/>
    <n v="0.7"/>
    <n v="0.16"/>
    <n v="2.9463331200000002"/>
    <n v="6.7400000000000002E-2"/>
    <n v="2.8959999291999998"/>
    <n v="5.8423330492000005"/>
    <n v="158"/>
    <x v="31"/>
    <x v="1"/>
    <n v="266.87799999999999"/>
  </r>
  <r>
    <x v="342"/>
    <x v="8"/>
    <x v="1"/>
    <s v="septembre2022"/>
    <x v="1448"/>
    <n v="150"/>
    <n v="0.15"/>
    <x v="2"/>
    <n v="0.3"/>
    <n v="0.7"/>
    <n v="0.16"/>
    <n v="3.8989871999999997"/>
    <n v="6.7400000000000002E-2"/>
    <n v="3.8323795019999998"/>
    <n v="7.731366701999999"/>
    <n v="165"/>
    <x v="4"/>
    <x v="1"/>
    <n v="541.52599999999995"/>
  </r>
  <r>
    <x v="342"/>
    <x v="8"/>
    <x v="1"/>
    <s v="septembre2022"/>
    <x v="1449"/>
    <n v="470"/>
    <n v="0.47"/>
    <x v="1"/>
    <n v="0.3"/>
    <n v="0.7"/>
    <n v="0.16"/>
    <n v="12.130692479999999"/>
    <n v="6.7400000000000002E-2"/>
    <n v="11.923459816799999"/>
    <n v="24.054152296799998"/>
    <n v="195"/>
    <x v="27"/>
    <x v="1"/>
    <n v="537.70799999999997"/>
  </r>
  <r>
    <x v="343"/>
    <x v="8"/>
    <x v="1"/>
    <s v="septembre2022"/>
    <x v="1450"/>
    <n v="150"/>
    <n v="0.15"/>
    <x v="2"/>
    <n v="0.3"/>
    <n v="0.7"/>
    <n v="0.16"/>
    <n v="5.3287055999999993"/>
    <n v="6.7400000000000002E-2"/>
    <n v="5.2376735459999999"/>
    <n v="10.566379145999999"/>
    <n v="175"/>
    <x v="23"/>
    <x v="1"/>
    <n v="740.09799999999996"/>
  </r>
  <r>
    <x v="343"/>
    <x v="8"/>
    <x v="1"/>
    <s v="septembre2022"/>
    <x v="1451"/>
    <n v="600"/>
    <n v="0.6"/>
    <x v="2"/>
    <n v="0.3"/>
    <n v="0.7"/>
    <n v="0.16"/>
    <n v="8.0207136000000006"/>
    <n v="6.7400000000000002E-2"/>
    <n v="7.8836930760000001"/>
    <n v="15.904406676000001"/>
    <n v="230"/>
    <x v="11"/>
    <x v="1"/>
    <n v="278.49700000000001"/>
  </r>
  <r>
    <x v="343"/>
    <x v="8"/>
    <x v="1"/>
    <s v="septembre2022"/>
    <x v="1452"/>
    <n v="300"/>
    <n v="0.3"/>
    <x v="2"/>
    <n v="0.3"/>
    <n v="0.7"/>
    <n v="0.16"/>
    <n v="3.7158191999999999"/>
    <n v="6.7400000000000002E-2"/>
    <n v="3.6523406220000001"/>
    <n v="7.368159822"/>
    <n v="260"/>
    <x v="14"/>
    <x v="1"/>
    <n v="258.04300000000001"/>
  </r>
  <r>
    <x v="344"/>
    <x v="8"/>
    <x v="1"/>
    <s v="septembre2022"/>
    <x v="1453"/>
    <n v="336"/>
    <n v="0.33600000000000002"/>
    <x v="2"/>
    <n v="0.3"/>
    <n v="0.7"/>
    <n v="0.16"/>
    <n v="4.1434606079999998"/>
    <n v="6.7400000000000002E-2"/>
    <n v="4.0726764892800009"/>
    <n v="8.2161370972800007"/>
    <n v="155"/>
    <x v="3"/>
    <x v="4"/>
    <n v="256.911"/>
  </r>
  <r>
    <x v="344"/>
    <x v="8"/>
    <x v="1"/>
    <s v="septembre2022"/>
    <x v="1454"/>
    <n v="130"/>
    <n v="0.13"/>
    <x v="1"/>
    <n v="0.3"/>
    <n v="0.7"/>
    <n v="0.16"/>
    <n v="3.20787792"/>
    <n v="6.7400000000000002E-2"/>
    <n v="3.1530766721999997"/>
    <n v="6.3609545921999997"/>
    <n v="165"/>
    <x v="40"/>
    <x v="1"/>
    <n v="514.08299999999997"/>
  </r>
  <r>
    <x v="344"/>
    <x v="8"/>
    <x v="1"/>
    <s v="septembre2022"/>
    <x v="1455"/>
    <n v="150"/>
    <n v="0.15"/>
    <x v="2"/>
    <n v="0.3"/>
    <n v="0.7"/>
    <n v="0.16"/>
    <n v="2.7402191999999999"/>
    <n v="6.7400000000000002E-2"/>
    <n v="2.693407122"/>
    <n v="5.4336263220000003"/>
    <n v="165"/>
    <x v="12"/>
    <x v="1"/>
    <n v="380.58600000000001"/>
  </r>
  <r>
    <x v="344"/>
    <x v="8"/>
    <x v="1"/>
    <s v="septembre2022"/>
    <x v="1456"/>
    <n v="360"/>
    <n v="0.36"/>
    <x v="2"/>
    <n v="0.3"/>
    <n v="0.7"/>
    <n v="0.16"/>
    <n v="6.5001657599999998"/>
    <n v="6.7400000000000002E-2"/>
    <n v="6.3891212615999988"/>
    <n v="12.889287021599998"/>
    <n v="210"/>
    <x v="35"/>
    <x v="1"/>
    <n v="376.16699999999997"/>
  </r>
  <r>
    <x v="344"/>
    <x v="8"/>
    <x v="1"/>
    <s v="septembre2022"/>
    <x v="1457"/>
    <n v="450"/>
    <n v="0.45"/>
    <x v="1"/>
    <n v="0.3"/>
    <n v="0.7"/>
    <n v="0.16"/>
    <n v="11.155838400000002"/>
    <n v="6.7400000000000002E-2"/>
    <n v="10.965259494000001"/>
    <n v="22.121097894000002"/>
    <n v="260"/>
    <x v="0"/>
    <x v="1"/>
    <n v="516.47400000000005"/>
  </r>
  <r>
    <x v="345"/>
    <x v="8"/>
    <x v="1"/>
    <s v="septembre2022"/>
    <x v="1458"/>
    <n v="90"/>
    <n v="0.09"/>
    <x v="1"/>
    <n v="0.3"/>
    <n v="0.7"/>
    <n v="0.16"/>
    <n v="0.12452832"/>
    <n v="6.7400000000000002E-2"/>
    <n v="0.12240096119999999"/>
    <n v="0.24692928119999999"/>
    <n v="80"/>
    <x v="3"/>
    <x v="91"/>
    <n v="28.826000000000001"/>
  </r>
  <r>
    <x v="345"/>
    <x v="8"/>
    <x v="1"/>
    <s v="septembre2022"/>
    <x v="1459"/>
    <n v="140"/>
    <n v="0.14000000000000001"/>
    <x v="2"/>
    <n v="0.3"/>
    <n v="0.7"/>
    <n v="0.16"/>
    <n v="1.8075724800000001"/>
    <n v="6.7400000000000002E-2"/>
    <n v="1.7766931168"/>
    <n v="3.5842655967999999"/>
    <n v="100"/>
    <x v="3"/>
    <x v="92"/>
    <n v="268.98399999999998"/>
  </r>
  <r>
    <x v="345"/>
    <x v="8"/>
    <x v="1"/>
    <s v="septembre2022"/>
    <x v="1460"/>
    <n v="230"/>
    <n v="0.23"/>
    <x v="2"/>
    <n v="0.3"/>
    <n v="0.7"/>
    <n v="0.16"/>
    <n v="2.8064011200000003"/>
    <n v="6.7400000000000002E-2"/>
    <n v="2.7584584342"/>
    <n v="5.5648595541999999"/>
    <n v="158"/>
    <x v="36"/>
    <x v="1"/>
    <n v="254.203"/>
  </r>
  <r>
    <x v="345"/>
    <x v="8"/>
    <x v="1"/>
    <s v="septembre2022"/>
    <x v="1461"/>
    <n v="344"/>
    <n v="0.34399999999999997"/>
    <x v="2"/>
    <n v="0.3"/>
    <n v="0.7"/>
    <n v="0.16"/>
    <n v="8.9359641599999993"/>
    <n v="6.7400000000000002E-2"/>
    <n v="8.783308105599998"/>
    <n v="17.719272265599997"/>
    <n v="225"/>
    <x v="3"/>
    <x v="8"/>
    <n v="541.17999999999995"/>
  </r>
  <r>
    <x v="345"/>
    <x v="8"/>
    <x v="1"/>
    <s v="septembre2022"/>
    <x v="1462"/>
    <n v="1362"/>
    <n v="1.3620000000000001"/>
    <x v="2"/>
    <n v="0.3"/>
    <n v="0.7"/>
    <n v="0.16"/>
    <n v="16.265352672000002"/>
    <n v="6.7400000000000002E-2"/>
    <n v="15.987486230520002"/>
    <n v="32.252838902520004"/>
    <n v="245"/>
    <x v="3"/>
    <x v="19"/>
    <n v="248.797"/>
  </r>
  <r>
    <x v="345"/>
    <x v="8"/>
    <x v="1"/>
    <s v="septembre2022"/>
    <x v="1463"/>
    <n v="492"/>
    <n v="0.49199999999999999"/>
    <x v="2"/>
    <n v="0.3"/>
    <n v="0.7"/>
    <n v="0.16"/>
    <n v="12.729354624000001"/>
    <n v="6.7400000000000002E-2"/>
    <n v="12.51189481584"/>
    <n v="25.241249439840001"/>
    <n v="260"/>
    <x v="3"/>
    <x v="59"/>
    <n v="539.01400000000001"/>
  </r>
  <r>
    <x v="346"/>
    <x v="8"/>
    <x v="1"/>
    <s v="septembre2022"/>
    <x v="1464"/>
    <n v="150"/>
    <n v="0.15"/>
    <x v="1"/>
    <n v="0.3"/>
    <n v="0.7"/>
    <n v="0.16"/>
    <n v="2.0026439999999996"/>
    <n v="6.7400000000000002E-2"/>
    <n v="1.9684321649999998"/>
    <n v="3.9710761649999995"/>
    <n v="158"/>
    <x v="7"/>
    <x v="1"/>
    <n v="278.14499999999998"/>
  </r>
  <r>
    <x v="347"/>
    <x v="8"/>
    <x v="1"/>
    <s v="septembre2022"/>
    <x v="1465"/>
    <n v="130"/>
    <n v="0.13"/>
    <x v="1"/>
    <n v="0.3"/>
    <n v="0.7"/>
    <n v="0.16"/>
    <n v="2.4277531200000002"/>
    <n v="6.7400000000000002E-2"/>
    <n v="2.3862790041999999"/>
    <n v="4.8140321242000006"/>
    <n v="125"/>
    <x v="34"/>
    <x v="1"/>
    <n v="389.06299999999999"/>
  </r>
  <r>
    <x v="347"/>
    <x v="8"/>
    <x v="1"/>
    <s v="septembre2022"/>
    <x v="1466"/>
    <n v="170"/>
    <n v="0.17"/>
    <x v="2"/>
    <n v="0.3"/>
    <n v="0.7"/>
    <n v="0.16"/>
    <n v="2.1537422400000001"/>
    <n v="6.7400000000000002E-2"/>
    <n v="2.1169491434000003"/>
    <n v="4.2706913834000009"/>
    <n v="140"/>
    <x v="3"/>
    <x v="30"/>
    <n v="263.93900000000002"/>
  </r>
  <r>
    <x v="347"/>
    <x v="8"/>
    <x v="1"/>
    <s v="septembre2022"/>
    <x v="1467"/>
    <n v="230"/>
    <n v="0.23"/>
    <x v="2"/>
    <n v="0.3"/>
    <n v="0.7"/>
    <n v="0.16"/>
    <n v="2.9463331200000002"/>
    <n v="6.7400000000000002E-2"/>
    <n v="2.8959999291999998"/>
    <n v="5.8423330492000005"/>
    <n v="158"/>
    <x v="31"/>
    <x v="1"/>
    <n v="266.87799999999999"/>
  </r>
  <r>
    <x v="347"/>
    <x v="8"/>
    <x v="1"/>
    <s v="septembre2022"/>
    <x v="1468"/>
    <n v="150"/>
    <n v="0.15"/>
    <x v="2"/>
    <n v="0.3"/>
    <n v="0.7"/>
    <n v="0.16"/>
    <n v="3.8989871999999997"/>
    <n v="6.7400000000000002E-2"/>
    <n v="3.8323795019999998"/>
    <n v="7.731366701999999"/>
    <n v="165"/>
    <x v="4"/>
    <x v="1"/>
    <n v="541.52599999999995"/>
  </r>
  <r>
    <x v="347"/>
    <x v="8"/>
    <x v="1"/>
    <s v="septembre2022"/>
    <x v="1469"/>
    <n v="155"/>
    <n v="0.155"/>
    <x v="2"/>
    <n v="0.3"/>
    <n v="0.7"/>
    <n v="0.16"/>
    <n v="4.3015476000000001"/>
    <n v="6.7400000000000002E-2"/>
    <n v="4.2280628284999997"/>
    <n v="8.5296104284999998"/>
    <n v="195"/>
    <x v="49"/>
    <x v="1"/>
    <n v="578.16499999999996"/>
  </r>
  <r>
    <x v="347"/>
    <x v="8"/>
    <x v="1"/>
    <s v="septembre2022"/>
    <x v="1470"/>
    <n v="470"/>
    <n v="0.47"/>
    <x v="1"/>
    <n v="0.3"/>
    <n v="0.7"/>
    <n v="0.16"/>
    <n v="12.130692479999999"/>
    <n v="6.7400000000000002E-2"/>
    <n v="11.923459816799999"/>
    <n v="24.054152296799998"/>
    <n v="195"/>
    <x v="27"/>
    <x v="1"/>
    <n v="537.70799999999997"/>
  </r>
  <r>
    <x v="348"/>
    <x v="8"/>
    <x v="1"/>
    <s v="septembre2022"/>
    <x v="1471"/>
    <n v="90"/>
    <n v="0.09"/>
    <x v="1"/>
    <n v="0.3"/>
    <n v="0.7"/>
    <n v="0.16"/>
    <n v="0.23925888000000001"/>
    <n v="6.7400000000000002E-2"/>
    <n v="0.23517154079999997"/>
    <n v="0.47443042079999997"/>
    <n v="80"/>
    <x v="3"/>
    <x v="83"/>
    <n v="55.384"/>
  </r>
  <r>
    <x v="348"/>
    <x v="8"/>
    <x v="1"/>
    <s v="septembre2022"/>
    <x v="1472"/>
    <n v="120"/>
    <n v="0.12"/>
    <x v="3"/>
    <n v="1"/>
    <n v="0"/>
    <n v="0.24099999999999999"/>
    <n v="0.98576711999999989"/>
    <n v="0"/>
    <n v="0"/>
    <n v="0.98576711999999989"/>
    <n v="80"/>
    <x v="3"/>
    <x v="27"/>
    <n v="34.085999999999999"/>
  </r>
  <r>
    <x v="348"/>
    <x v="8"/>
    <x v="1"/>
    <s v="septembre2022"/>
    <x v="1473"/>
    <n v="90"/>
    <n v="0.09"/>
    <x v="2"/>
    <n v="0.3"/>
    <n v="0.7"/>
    <n v="0.16"/>
    <n v="1.1471544"/>
    <n v="6.7400000000000002E-2"/>
    <n v="1.1275571789999999"/>
    <n v="2.2747115789999999"/>
    <n v="100"/>
    <x v="3"/>
    <x v="11"/>
    <n v="265.54500000000002"/>
  </r>
  <r>
    <x v="348"/>
    <x v="8"/>
    <x v="1"/>
    <s v="septembre2022"/>
    <x v="1474"/>
    <n v="345"/>
    <n v="0.34499999999999997"/>
    <x v="2"/>
    <n v="0.3"/>
    <n v="0.7"/>
    <n v="0.16"/>
    <n v="3.0936398399999994"/>
    <n v="6.7400000000000002E-2"/>
    <n v="3.0407901593999997"/>
    <n v="6.1344299993999991"/>
    <n v="140"/>
    <x v="29"/>
    <x v="1"/>
    <n v="186.81399999999999"/>
  </r>
  <r>
    <x v="348"/>
    <x v="8"/>
    <x v="1"/>
    <s v="septembre2022"/>
    <x v="1475"/>
    <n v="150"/>
    <n v="0.15"/>
    <x v="2"/>
    <n v="0.3"/>
    <n v="0.7"/>
    <n v="0.16"/>
    <n v="5.4405647999999998"/>
    <n v="6.7400000000000002E-2"/>
    <n v="5.3476218180000004"/>
    <n v="10.788186618000001"/>
    <n v="168"/>
    <x v="3"/>
    <x v="93"/>
    <n v="755.63400000000001"/>
  </r>
  <r>
    <x v="348"/>
    <x v="8"/>
    <x v="1"/>
    <s v="septembre2022"/>
    <x v="1476"/>
    <n v="90"/>
    <n v="0.09"/>
    <x v="2"/>
    <n v="0.3"/>
    <n v="0.7"/>
    <n v="0.16"/>
    <n v="3.820176"/>
    <n v="6.7400000000000002E-2"/>
    <n v="3.7549146599999994"/>
    <n v="7.575090659999999"/>
    <n v="196"/>
    <x v="3"/>
    <x v="94"/>
    <n v="884.3"/>
  </r>
  <r>
    <x v="348"/>
    <x v="8"/>
    <x v="1"/>
    <s v="septembre2022"/>
    <x v="1477"/>
    <n v="300"/>
    <n v="0.3"/>
    <x v="2"/>
    <n v="0.3"/>
    <n v="0.7"/>
    <n v="0.16"/>
    <n v="4.0103568000000003"/>
    <n v="6.7400000000000002E-2"/>
    <n v="3.9418465380000001"/>
    <n v="7.9522033380000003"/>
    <n v="230"/>
    <x v="11"/>
    <x v="1"/>
    <n v="278.49700000000001"/>
  </r>
  <r>
    <x v="348"/>
    <x v="8"/>
    <x v="1"/>
    <s v="septembre2022"/>
    <x v="1478"/>
    <n v="300"/>
    <n v="0.3"/>
    <x v="2"/>
    <n v="0.3"/>
    <n v="0.7"/>
    <n v="0.16"/>
    <n v="3.7158191999999999"/>
    <n v="6.7400000000000002E-2"/>
    <n v="3.6523406220000001"/>
    <n v="7.368159822"/>
    <n v="260"/>
    <x v="14"/>
    <x v="1"/>
    <n v="258.04300000000001"/>
  </r>
  <r>
    <x v="348"/>
    <x v="8"/>
    <x v="1"/>
    <s v="septembre2022"/>
    <x v="1479"/>
    <n v="581"/>
    <n v="0.58099999999999996"/>
    <x v="2"/>
    <n v="0.3"/>
    <n v="0.7"/>
    <n v="0.16"/>
    <n v="12.786843215999999"/>
    <n v="6.7400000000000002E-2"/>
    <n v="12.568401311059999"/>
    <n v="25.355244527059998"/>
    <n v="435"/>
    <x v="3"/>
    <x v="61"/>
    <n v="458.507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C044E9-AB9B-1547-B117-4271796317E8}" name="Tableau croisé dynamique2" cacheId="7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6">
  <location ref="A3:D14" firstHeaderRow="1" firstDataRow="2" firstDataCol="1"/>
  <pivotFields count="19">
    <pivotField showAll="0">
      <items count="3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axis="axisRow" showAll="0">
      <items count="10">
        <item x="0"/>
        <item x="1"/>
        <item x="2"/>
        <item x="3"/>
        <item x="4"/>
        <item x="5"/>
        <item x="6"/>
        <item x="7"/>
        <item x="8"/>
        <item t="default"/>
      </items>
    </pivotField>
    <pivotField axis="axisCol" showAll="0">
      <items count="3">
        <item x="0"/>
        <item x="1"/>
        <item t="default"/>
      </items>
    </pivotField>
    <pivotField showAll="0"/>
    <pivotField dataField="1" showAll="0">
      <items count="1481">
        <item x="1"/>
        <item x="0"/>
        <item x="2"/>
        <item x="3"/>
        <item x="5"/>
        <item x="4"/>
        <item x="8"/>
        <item x="6"/>
        <item x="7"/>
        <item x="9"/>
        <item x="10"/>
        <item x="14"/>
        <item x="15"/>
        <item x="11"/>
        <item x="12"/>
        <item x="16"/>
        <item x="21"/>
        <item x="19"/>
        <item x="20"/>
        <item x="27"/>
        <item x="26"/>
        <item x="17"/>
        <item x="18"/>
        <item x="22"/>
        <item x="23"/>
        <item x="30"/>
        <item x="25"/>
        <item x="24"/>
        <item x="29"/>
        <item x="28"/>
        <item x="31"/>
        <item x="34"/>
        <item x="32"/>
        <item x="33"/>
        <item x="38"/>
        <item x="43"/>
        <item x="39"/>
        <item x="40"/>
        <item x="42"/>
        <item x="41"/>
        <item x="44"/>
        <item x="35"/>
        <item x="36"/>
        <item x="45"/>
        <item x="47"/>
        <item x="46"/>
        <item x="37"/>
        <item x="49"/>
        <item x="48"/>
        <item x="50"/>
        <item x="51"/>
        <item x="54"/>
        <item x="53"/>
        <item x="52"/>
        <item x="56"/>
        <item x="55"/>
        <item x="67"/>
        <item x="66"/>
        <item x="63"/>
        <item x="57"/>
        <item x="64"/>
        <item x="60"/>
        <item x="58"/>
        <item x="61"/>
        <item x="65"/>
        <item x="59"/>
        <item x="62"/>
        <item x="72"/>
        <item x="75"/>
        <item x="78"/>
        <item x="73"/>
        <item x="68"/>
        <item x="69"/>
        <item x="71"/>
        <item x="70"/>
        <item x="74"/>
        <item x="76"/>
        <item x="77"/>
        <item x="81"/>
        <item x="80"/>
        <item x="83"/>
        <item x="79"/>
        <item x="86"/>
        <item x="82"/>
        <item x="85"/>
        <item x="84"/>
        <item x="90"/>
        <item x="91"/>
        <item x="93"/>
        <item x="87"/>
        <item x="92"/>
        <item x="88"/>
        <item x="89"/>
        <item x="97"/>
        <item x="94"/>
        <item x="96"/>
        <item x="104"/>
        <item x="98"/>
        <item x="105"/>
        <item x="99"/>
        <item x="103"/>
        <item x="100"/>
        <item x="101"/>
        <item x="102"/>
        <item x="107"/>
        <item x="108"/>
        <item x="106"/>
        <item x="111"/>
        <item x="126"/>
        <item x="140"/>
        <item x="138"/>
        <item x="143"/>
        <item x="109"/>
        <item x="110"/>
        <item x="113"/>
        <item x="112"/>
        <item x="114"/>
        <item x="115"/>
        <item x="118"/>
        <item x="121"/>
        <item x="122"/>
        <item x="125"/>
        <item x="123"/>
        <item x="124"/>
        <item x="120"/>
        <item x="117"/>
        <item x="119"/>
        <item x="116"/>
        <item x="128"/>
        <item x="129"/>
        <item x="135"/>
        <item x="127"/>
        <item x="133"/>
        <item x="136"/>
        <item x="130"/>
        <item x="131"/>
        <item x="134"/>
        <item x="132"/>
        <item x="139"/>
        <item x="137"/>
        <item x="141"/>
        <item x="142"/>
        <item x="144"/>
        <item x="145"/>
        <item x="147"/>
        <item x="146"/>
        <item x="148"/>
        <item x="152"/>
        <item x="153"/>
        <item x="151"/>
        <item x="149"/>
        <item x="150"/>
        <item x="156"/>
        <item x="154"/>
        <item x="157"/>
        <item x="155"/>
        <item x="158"/>
        <item x="161"/>
        <item x="160"/>
        <item x="163"/>
        <item x="159"/>
        <item x="165"/>
        <item x="162"/>
        <item x="164"/>
        <item x="168"/>
        <item x="166"/>
        <item x="171"/>
        <item x="170"/>
        <item x="169"/>
        <item x="175"/>
        <item x="172"/>
        <item x="167"/>
        <item x="176"/>
        <item x="174"/>
        <item x="173"/>
        <item x="177"/>
        <item x="179"/>
        <item x="178"/>
        <item x="180"/>
        <item x="184"/>
        <item x="182"/>
        <item x="181"/>
        <item x="186"/>
        <item x="183"/>
        <item x="188"/>
        <item x="185"/>
        <item x="193"/>
        <item x="194"/>
        <item x="190"/>
        <item x="187"/>
        <item x="189"/>
        <item x="192"/>
        <item x="191"/>
        <item x="195"/>
        <item x="198"/>
        <item x="196"/>
        <item x="202"/>
        <item x="211"/>
        <item x="201"/>
        <item x="199"/>
        <item x="200"/>
        <item x="197"/>
        <item x="203"/>
        <item x="206"/>
        <item x="207"/>
        <item x="222"/>
        <item x="205"/>
        <item x="208"/>
        <item x="212"/>
        <item x="213"/>
        <item x="219"/>
        <item x="209"/>
        <item x="13"/>
        <item x="95"/>
        <item x="204"/>
        <item x="210"/>
        <item x="221"/>
        <item x="218"/>
        <item x="217"/>
        <item x="214"/>
        <item x="220"/>
        <item x="216"/>
        <item x="215"/>
        <item x="232"/>
        <item x="235"/>
        <item x="227"/>
        <item x="224"/>
        <item x="230"/>
        <item x="228"/>
        <item x="223"/>
        <item x="229"/>
        <item x="225"/>
        <item x="226"/>
        <item x="231"/>
        <item x="234"/>
        <item x="233"/>
        <item x="236"/>
        <item x="237"/>
        <item x="240"/>
        <item x="238"/>
        <item x="239"/>
        <item x="241"/>
        <item x="266"/>
        <item x="244"/>
        <item x="245"/>
        <item x="243"/>
        <item x="247"/>
        <item x="242"/>
        <item x="255"/>
        <item x="253"/>
        <item x="246"/>
        <item x="256"/>
        <item x="248"/>
        <item x="257"/>
        <item x="249"/>
        <item x="250"/>
        <item x="251"/>
        <item x="252"/>
        <item x="259"/>
        <item x="254"/>
        <item x="258"/>
        <item x="260"/>
        <item x="265"/>
        <item x="262"/>
        <item x="261"/>
        <item x="263"/>
        <item x="268"/>
        <item x="267"/>
        <item x="269"/>
        <item x="264"/>
        <item x="272"/>
        <item x="270"/>
        <item x="271"/>
        <item x="273"/>
        <item x="274"/>
        <item x="276"/>
        <item x="279"/>
        <item x="277"/>
        <item x="275"/>
        <item x="284"/>
        <item x="278"/>
        <item x="280"/>
        <item x="286"/>
        <item x="292"/>
        <item x="287"/>
        <item x="288"/>
        <item x="289"/>
        <item x="281"/>
        <item x="282"/>
        <item x="283"/>
        <item x="285"/>
        <item x="302"/>
        <item x="290"/>
        <item x="291"/>
        <item x="294"/>
        <item x="296"/>
        <item x="293"/>
        <item x="295"/>
        <item x="297"/>
        <item x="298"/>
        <item x="299"/>
        <item x="309"/>
        <item x="300"/>
        <item x="301"/>
        <item x="306"/>
        <item x="304"/>
        <item x="305"/>
        <item x="303"/>
        <item x="311"/>
        <item x="307"/>
        <item x="308"/>
        <item x="312"/>
        <item x="310"/>
        <item x="313"/>
        <item x="316"/>
        <item x="317"/>
        <item x="323"/>
        <item x="318"/>
        <item x="320"/>
        <item x="322"/>
        <item x="315"/>
        <item x="314"/>
        <item x="324"/>
        <item x="319"/>
        <item x="325"/>
        <item x="321"/>
        <item x="327"/>
        <item x="326"/>
        <item x="330"/>
        <item x="331"/>
        <item x="332"/>
        <item x="328"/>
        <item x="329"/>
        <item x="334"/>
        <item x="333"/>
        <item x="335"/>
        <item x="336"/>
        <item x="337"/>
        <item x="338"/>
        <item x="339"/>
        <item x="343"/>
        <item x="341"/>
        <item x="342"/>
        <item x="340"/>
        <item x="346"/>
        <item x="345"/>
        <item x="349"/>
        <item x="344"/>
        <item x="350"/>
        <item x="347"/>
        <item x="348"/>
        <item x="351"/>
        <item x="352"/>
        <item x="355"/>
        <item x="357"/>
        <item x="353"/>
        <item x="358"/>
        <item x="356"/>
        <item x="354"/>
        <item x="361"/>
        <item x="359"/>
        <item x="362"/>
        <item x="360"/>
        <item x="363"/>
        <item x="364"/>
        <item x="371"/>
        <item x="366"/>
        <item x="367"/>
        <item x="370"/>
        <item x="372"/>
        <item x="368"/>
        <item x="369"/>
        <item x="365"/>
        <item x="375"/>
        <item x="377"/>
        <item x="376"/>
        <item x="379"/>
        <item x="378"/>
        <item x="373"/>
        <item x="374"/>
        <item x="380"/>
        <item x="382"/>
        <item x="381"/>
        <item x="388"/>
        <item x="385"/>
        <item x="383"/>
        <item x="390"/>
        <item x="387"/>
        <item x="389"/>
        <item x="392"/>
        <item x="394"/>
        <item x="393"/>
        <item x="396"/>
        <item x="384"/>
        <item x="386"/>
        <item x="397"/>
        <item x="395"/>
        <item x="391"/>
        <item x="398"/>
        <item x="402"/>
        <item x="403"/>
        <item x="404"/>
        <item x="401"/>
        <item x="399"/>
        <item x="400"/>
        <item x="405"/>
        <item x="407"/>
        <item x="408"/>
        <item x="406"/>
        <item x="411"/>
        <item x="409"/>
        <item x="410"/>
        <item x="415"/>
        <item x="412"/>
        <item x="413"/>
        <item x="418"/>
        <item x="416"/>
        <item x="421"/>
        <item x="414"/>
        <item x="432"/>
        <item x="422"/>
        <item x="417"/>
        <item x="420"/>
        <item x="433"/>
        <item x="419"/>
        <item x="424"/>
        <item x="423"/>
        <item x="436"/>
        <item x="427"/>
        <item x="426"/>
        <item x="431"/>
        <item x="428"/>
        <item x="430"/>
        <item x="425"/>
        <item x="429"/>
        <item x="434"/>
        <item x="439"/>
        <item x="438"/>
        <item x="437"/>
        <item x="442"/>
        <item x="435"/>
        <item x="440"/>
        <item x="441"/>
        <item x="444"/>
        <item x="443"/>
        <item x="450"/>
        <item x="445"/>
        <item x="446"/>
        <item x="447"/>
        <item x="452"/>
        <item x="448"/>
        <item x="449"/>
        <item x="451"/>
        <item x="453"/>
        <item x="455"/>
        <item x="454"/>
        <item x="456"/>
        <item x="457"/>
        <item x="458"/>
        <item x="460"/>
        <item x="459"/>
        <item x="461"/>
        <item x="463"/>
        <item x="462"/>
        <item x="464"/>
        <item x="469"/>
        <item x="468"/>
        <item x="467"/>
        <item x="465"/>
        <item x="466"/>
        <item x="470"/>
        <item x="471"/>
        <item x="472"/>
        <item x="474"/>
        <item x="473"/>
        <item x="476"/>
        <item x="475"/>
        <item x="484"/>
        <item x="477"/>
        <item x="478"/>
        <item x="481"/>
        <item x="479"/>
        <item x="480"/>
        <item x="482"/>
        <item x="483"/>
        <item x="485"/>
        <item x="486"/>
        <item x="492"/>
        <item x="487"/>
        <item x="488"/>
        <item x="489"/>
        <item x="491"/>
        <item x="490"/>
        <item x="493"/>
        <item x="502"/>
        <item x="504"/>
        <item x="501"/>
        <item x="499"/>
        <item x="500"/>
        <item x="495"/>
        <item x="496"/>
        <item x="497"/>
        <item x="494"/>
        <item x="498"/>
        <item x="505"/>
        <item x="507"/>
        <item x="506"/>
        <item x="503"/>
        <item x="508"/>
        <item x="511"/>
        <item x="515"/>
        <item x="510"/>
        <item x="509"/>
        <item x="516"/>
        <item x="517"/>
        <item x="512"/>
        <item x="514"/>
        <item x="513"/>
        <item x="524"/>
        <item x="533"/>
        <item x="518"/>
        <item x="528"/>
        <item x="529"/>
        <item x="525"/>
        <item x="520"/>
        <item x="521"/>
        <item x="519"/>
        <item x="526"/>
        <item x="523"/>
        <item x="522"/>
        <item x="527"/>
        <item x="536"/>
        <item x="535"/>
        <item x="538"/>
        <item x="543"/>
        <item x="539"/>
        <item x="534"/>
        <item x="530"/>
        <item x="531"/>
        <item x="537"/>
        <item x="532"/>
        <item x="544"/>
        <item x="547"/>
        <item x="540"/>
        <item x="541"/>
        <item x="542"/>
        <item x="548"/>
        <item x="546"/>
        <item x="545"/>
        <item x="554"/>
        <item x="553"/>
        <item x="558"/>
        <item x="551"/>
        <item x="549"/>
        <item x="550"/>
        <item x="557"/>
        <item x="556"/>
        <item x="555"/>
        <item x="559"/>
        <item x="565"/>
        <item x="561"/>
        <item x="568"/>
        <item x="560"/>
        <item x="563"/>
        <item x="564"/>
        <item x="562"/>
        <item x="567"/>
        <item x="552"/>
        <item x="566"/>
        <item x="574"/>
        <item x="571"/>
        <item x="569"/>
        <item x="570"/>
        <item x="575"/>
        <item x="572"/>
        <item x="573"/>
        <item x="577"/>
        <item x="576"/>
        <item x="583"/>
        <item x="586"/>
        <item x="595"/>
        <item x="581"/>
        <item x="585"/>
        <item x="578"/>
        <item x="579"/>
        <item x="580"/>
        <item x="582"/>
        <item x="587"/>
        <item x="584"/>
        <item x="598"/>
        <item x="596"/>
        <item x="597"/>
        <item x="599"/>
        <item x="600"/>
        <item x="592"/>
        <item x="588"/>
        <item x="591"/>
        <item x="593"/>
        <item x="594"/>
        <item x="589"/>
        <item x="590"/>
        <item x="611"/>
        <item x="607"/>
        <item x="615"/>
        <item x="606"/>
        <item x="605"/>
        <item x="603"/>
        <item x="604"/>
        <item x="601"/>
        <item x="602"/>
        <item x="612"/>
        <item x="618"/>
        <item x="642"/>
        <item x="610"/>
        <item x="613"/>
        <item x="608"/>
        <item x="609"/>
        <item x="625"/>
        <item x="614"/>
        <item x="624"/>
        <item x="623"/>
        <item x="617"/>
        <item x="621"/>
        <item x="619"/>
        <item x="620"/>
        <item x="616"/>
        <item x="631"/>
        <item x="628"/>
        <item x="626"/>
        <item x="633"/>
        <item x="634"/>
        <item x="637"/>
        <item x="622"/>
        <item x="632"/>
        <item x="635"/>
        <item x="630"/>
        <item x="629"/>
        <item x="640"/>
        <item x="627"/>
        <item x="636"/>
        <item x="639"/>
        <item x="641"/>
        <item x="643"/>
        <item x="645"/>
        <item x="657"/>
        <item x="638"/>
        <item x="644"/>
        <item x="655"/>
        <item x="647"/>
        <item x="646"/>
        <item x="649"/>
        <item x="651"/>
        <item x="650"/>
        <item x="666"/>
        <item x="648"/>
        <item x="659"/>
        <item x="660"/>
        <item x="656"/>
        <item x="653"/>
        <item x="654"/>
        <item x="652"/>
        <item x="658"/>
        <item x="663"/>
        <item x="671"/>
        <item x="667"/>
        <item x="685"/>
        <item x="675"/>
        <item x="674"/>
        <item x="665"/>
        <item x="669"/>
        <item x="668"/>
        <item x="670"/>
        <item x="661"/>
        <item x="662"/>
        <item x="664"/>
        <item x="677"/>
        <item x="687"/>
        <item x="709"/>
        <item x="684"/>
        <item x="686"/>
        <item x="676"/>
        <item x="673"/>
        <item x="672"/>
        <item x="682"/>
        <item x="724"/>
        <item x="695"/>
        <item x="681"/>
        <item x="679"/>
        <item x="680"/>
        <item x="683"/>
        <item x="694"/>
        <item x="691"/>
        <item x="693"/>
        <item x="678"/>
        <item x="708"/>
        <item x="705"/>
        <item x="700"/>
        <item x="714"/>
        <item x="711"/>
        <item x="715"/>
        <item x="710"/>
        <item x="690"/>
        <item x="688"/>
        <item x="689"/>
        <item x="692"/>
        <item x="707"/>
        <item x="702"/>
        <item x="713"/>
        <item x="703"/>
        <item x="706"/>
        <item x="698"/>
        <item x="696"/>
        <item x="704"/>
        <item x="699"/>
        <item x="701"/>
        <item x="697"/>
        <item x="712"/>
        <item x="717"/>
        <item x="716"/>
        <item x="730"/>
        <item x="726"/>
        <item x="731"/>
        <item x="734"/>
        <item x="737"/>
        <item x="735"/>
        <item x="720"/>
        <item x="725"/>
        <item x="723"/>
        <item x="729"/>
        <item x="728"/>
        <item x="721"/>
        <item x="719"/>
        <item x="718"/>
        <item x="727"/>
        <item x="722"/>
        <item x="733"/>
        <item x="756"/>
        <item x="738"/>
        <item x="732"/>
        <item x="736"/>
        <item x="739"/>
        <item x="743"/>
        <item x="744"/>
        <item x="745"/>
        <item x="741"/>
        <item x="742"/>
        <item x="740"/>
        <item x="751"/>
        <item x="749"/>
        <item x="750"/>
        <item x="764"/>
        <item x="753"/>
        <item x="755"/>
        <item x="747"/>
        <item x="746"/>
        <item x="748"/>
        <item x="797"/>
        <item x="766"/>
        <item x="757"/>
        <item x="760"/>
        <item x="761"/>
        <item x="762"/>
        <item x="759"/>
        <item x="754"/>
        <item x="752"/>
        <item x="763"/>
        <item x="758"/>
        <item x="767"/>
        <item x="770"/>
        <item x="772"/>
        <item x="765"/>
        <item x="776"/>
        <item x="775"/>
        <item x="785"/>
        <item x="774"/>
        <item x="768"/>
        <item x="771"/>
        <item x="773"/>
        <item x="769"/>
        <item x="779"/>
        <item x="777"/>
        <item x="780"/>
        <item x="778"/>
        <item x="783"/>
        <item x="782"/>
        <item x="784"/>
        <item x="781"/>
        <item x="791"/>
        <item x="834"/>
        <item x="796"/>
        <item x="798"/>
        <item x="789"/>
        <item x="786"/>
        <item x="790"/>
        <item x="787"/>
        <item x="794"/>
        <item x="795"/>
        <item x="792"/>
        <item x="793"/>
        <item x="788"/>
        <item x="804"/>
        <item x="813"/>
        <item x="807"/>
        <item x="819"/>
        <item x="815"/>
        <item x="814"/>
        <item x="831"/>
        <item x="805"/>
        <item x="801"/>
        <item x="806"/>
        <item x="800"/>
        <item x="803"/>
        <item x="799"/>
        <item x="802"/>
        <item x="808"/>
        <item x="812"/>
        <item x="820"/>
        <item x="818"/>
        <item x="809"/>
        <item x="810"/>
        <item x="811"/>
        <item x="824"/>
        <item x="830"/>
        <item x="816"/>
        <item x="821"/>
        <item x="817"/>
        <item x="822"/>
        <item x="823"/>
        <item x="829"/>
        <item x="825"/>
        <item x="827"/>
        <item x="826"/>
        <item x="828"/>
        <item x="832"/>
        <item x="833"/>
        <item x="837"/>
        <item x="840"/>
        <item x="838"/>
        <item x="836"/>
        <item x="859"/>
        <item x="884"/>
        <item x="844"/>
        <item x="835"/>
        <item x="850"/>
        <item x="852"/>
        <item x="843"/>
        <item x="842"/>
        <item x="839"/>
        <item x="841"/>
        <item x="849"/>
        <item x="853"/>
        <item x="869"/>
        <item x="862"/>
        <item x="847"/>
        <item x="848"/>
        <item x="856"/>
        <item x="855"/>
        <item x="846"/>
        <item x="854"/>
        <item x="851"/>
        <item x="845"/>
        <item x="866"/>
        <item x="864"/>
        <item x="858"/>
        <item x="865"/>
        <item x="860"/>
        <item x="861"/>
        <item x="857"/>
        <item x="863"/>
        <item x="873"/>
        <item x="875"/>
        <item x="870"/>
        <item x="867"/>
        <item x="868"/>
        <item x="871"/>
        <item x="874"/>
        <item x="872"/>
        <item x="876"/>
        <item x="885"/>
        <item x="877"/>
        <item x="881"/>
        <item x="886"/>
        <item x="893"/>
        <item x="878"/>
        <item x="887"/>
        <item x="894"/>
        <item x="905"/>
        <item x="883"/>
        <item x="882"/>
        <item x="880"/>
        <item x="879"/>
        <item x="891"/>
        <item x="898"/>
        <item x="915"/>
        <item x="911"/>
        <item x="889"/>
        <item x="900"/>
        <item x="892"/>
        <item x="888"/>
        <item x="895"/>
        <item x="897"/>
        <item x="890"/>
        <item x="909"/>
        <item x="908"/>
        <item x="896"/>
        <item x="899"/>
        <item x="901"/>
        <item x="923"/>
        <item x="906"/>
        <item x="902"/>
        <item x="907"/>
        <item x="903"/>
        <item x="904"/>
        <item x="916"/>
        <item x="914"/>
        <item x="910"/>
        <item x="913"/>
        <item x="917"/>
        <item x="912"/>
        <item x="931"/>
        <item x="925"/>
        <item x="934"/>
        <item x="924"/>
        <item x="922"/>
        <item x="920"/>
        <item x="918"/>
        <item x="921"/>
        <item x="919"/>
        <item x="932"/>
        <item x="930"/>
        <item x="927"/>
        <item x="926"/>
        <item x="936"/>
        <item x="928"/>
        <item x="933"/>
        <item x="929"/>
        <item x="935"/>
        <item x="938"/>
        <item x="937"/>
        <item x="940"/>
        <item x="966"/>
        <item x="946"/>
        <item x="948"/>
        <item x="945"/>
        <item x="943"/>
        <item x="942"/>
        <item x="939"/>
        <item x="941"/>
        <item x="957"/>
        <item x="959"/>
        <item x="952"/>
        <item x="954"/>
        <item x="944"/>
        <item x="947"/>
        <item x="958"/>
        <item x="960"/>
        <item x="951"/>
        <item x="956"/>
        <item x="953"/>
        <item x="955"/>
        <item x="950"/>
        <item x="949"/>
        <item x="961"/>
        <item x="962"/>
        <item x="967"/>
        <item x="964"/>
        <item x="968"/>
        <item x="965"/>
        <item x="973"/>
        <item x="963"/>
        <item x="992"/>
        <item x="976"/>
        <item x="980"/>
        <item x="969"/>
        <item x="972"/>
        <item x="977"/>
        <item x="970"/>
        <item x="975"/>
        <item x="971"/>
        <item x="988"/>
        <item x="974"/>
        <item x="978"/>
        <item x="979"/>
        <item x="989"/>
        <item x="986"/>
        <item x="984"/>
        <item x="1003"/>
        <item x="993"/>
        <item x="991"/>
        <item x="990"/>
        <item x="982"/>
        <item x="985"/>
        <item x="983"/>
        <item x="987"/>
        <item x="981"/>
        <item x="997"/>
        <item x="1009"/>
        <item x="996"/>
        <item x="1000"/>
        <item x="998"/>
        <item x="1001"/>
        <item x="995"/>
        <item x="994"/>
        <item x="1018"/>
        <item x="1017"/>
        <item x="1007"/>
        <item x="1002"/>
        <item x="1005"/>
        <item x="1004"/>
        <item x="999"/>
        <item x="1020"/>
        <item x="1011"/>
        <item x="1012"/>
        <item x="1006"/>
        <item x="1015"/>
        <item x="1008"/>
        <item x="1010"/>
        <item x="1013"/>
        <item x="1016"/>
        <item x="1014"/>
        <item x="1023"/>
        <item x="1021"/>
        <item x="1028"/>
        <item x="1022"/>
        <item x="1019"/>
        <item x="1031"/>
        <item x="1053"/>
        <item x="1035"/>
        <item x="1033"/>
        <item x="1040"/>
        <item x="1057"/>
        <item x="1038"/>
        <item x="1041"/>
        <item x="1039"/>
        <item x="1024"/>
        <item x="1026"/>
        <item x="1027"/>
        <item x="1025"/>
        <item x="1030"/>
        <item x="1029"/>
        <item x="1032"/>
        <item x="1059"/>
        <item x="1061"/>
        <item x="1052"/>
        <item x="1051"/>
        <item x="1054"/>
        <item x="1056"/>
        <item x="1055"/>
        <item x="1066"/>
        <item x="1058"/>
        <item x="1036"/>
        <item x="1047"/>
        <item x="1048"/>
        <item x="1046"/>
        <item x="1044"/>
        <item x="1042"/>
        <item x="1043"/>
        <item x="1060"/>
        <item x="1034"/>
        <item x="1037"/>
        <item x="1045"/>
        <item x="1050"/>
        <item x="1049"/>
        <item x="1062"/>
        <item x="1065"/>
        <item x="1064"/>
        <item x="1070"/>
        <item x="1063"/>
        <item x="1069"/>
        <item x="1081"/>
        <item x="1067"/>
        <item x="1068"/>
        <item x="1071"/>
        <item x="1089"/>
        <item x="1072"/>
        <item x="1075"/>
        <item x="1080"/>
        <item x="1083"/>
        <item x="1077"/>
        <item x="1074"/>
        <item x="1073"/>
        <item x="1076"/>
        <item x="1090"/>
        <item x="1091"/>
        <item x="1105"/>
        <item x="1092"/>
        <item x="1082"/>
        <item x="1078"/>
        <item x="1086"/>
        <item x="1084"/>
        <item x="1085"/>
        <item x="1099"/>
        <item x="1079"/>
        <item x="1097"/>
        <item x="1101"/>
        <item x="1104"/>
        <item x="1102"/>
        <item x="1127"/>
        <item x="1093"/>
        <item x="1088"/>
        <item x="1094"/>
        <item x="1087"/>
        <item x="1096"/>
        <item x="1100"/>
        <item x="1095"/>
        <item x="1103"/>
        <item x="1098"/>
        <item x="1137"/>
        <item x="1108"/>
        <item x="1107"/>
        <item x="1111"/>
        <item x="1120"/>
        <item x="1121"/>
        <item x="1114"/>
        <item x="1116"/>
        <item x="1109"/>
        <item x="1106"/>
        <item x="1113"/>
        <item x="1112"/>
        <item x="1110"/>
        <item x="1131"/>
        <item x="1122"/>
        <item x="1130"/>
        <item x="1129"/>
        <item x="1118"/>
        <item x="1119"/>
        <item x="1117"/>
        <item x="1123"/>
        <item x="1115"/>
        <item x="1149"/>
        <item x="1135"/>
        <item x="1133"/>
        <item x="1125"/>
        <item x="1126"/>
        <item x="1134"/>
        <item x="1140"/>
        <item x="1146"/>
        <item x="1142"/>
        <item x="1124"/>
        <item x="1128"/>
        <item x="1132"/>
        <item x="1138"/>
        <item x="1152"/>
        <item x="1151"/>
        <item x="1143"/>
        <item x="1136"/>
        <item x="1144"/>
        <item x="1139"/>
        <item x="1141"/>
        <item x="1145"/>
        <item x="1162"/>
        <item x="1147"/>
        <item x="1150"/>
        <item x="1148"/>
        <item x="1163"/>
        <item x="1153"/>
        <item x="1164"/>
        <item x="1167"/>
        <item x="1154"/>
        <item x="1156"/>
        <item x="1158"/>
        <item x="1157"/>
        <item x="1155"/>
        <item x="1159"/>
        <item x="1166"/>
        <item x="1165"/>
        <item x="1173"/>
        <item x="1181"/>
        <item x="1161"/>
        <item x="1160"/>
        <item x="1172"/>
        <item x="1176"/>
        <item x="1177"/>
        <item x="1170"/>
        <item x="1171"/>
        <item x="1168"/>
        <item x="1180"/>
        <item x="1179"/>
        <item x="1185"/>
        <item x="1182"/>
        <item x="1169"/>
        <item x="1188"/>
        <item x="1183"/>
        <item x="1184"/>
        <item x="1174"/>
        <item x="1186"/>
        <item x="1187"/>
        <item x="1189"/>
        <item x="1190"/>
        <item x="1175"/>
        <item x="1178"/>
        <item x="1193"/>
        <item x="1194"/>
        <item x="1191"/>
        <item x="1192"/>
        <item x="1208"/>
        <item x="1204"/>
        <item x="1225"/>
        <item x="1197"/>
        <item x="1196"/>
        <item x="1195"/>
        <item x="1202"/>
        <item x="1198"/>
        <item x="1199"/>
        <item x="1209"/>
        <item x="1201"/>
        <item x="1215"/>
        <item x="1203"/>
        <item x="1222"/>
        <item x="1213"/>
        <item x="1200"/>
        <item x="1210"/>
        <item x="1206"/>
        <item x="1207"/>
        <item x="1205"/>
        <item x="1211"/>
        <item x="1219"/>
        <item x="1214"/>
        <item x="1212"/>
        <item x="1216"/>
        <item x="1217"/>
        <item x="1218"/>
        <item x="1233"/>
        <item x="1227"/>
        <item x="1223"/>
        <item x="1228"/>
        <item x="1226"/>
        <item x="1224"/>
        <item x="1230"/>
        <item x="1229"/>
        <item x="1221"/>
        <item x="1220"/>
        <item x="1240"/>
        <item x="1237"/>
        <item x="1232"/>
        <item x="1243"/>
        <item x="1247"/>
        <item x="1231"/>
        <item x="1250"/>
        <item x="1254"/>
        <item x="1245"/>
        <item x="1244"/>
        <item x="1236"/>
        <item x="1235"/>
        <item x="1239"/>
        <item x="1234"/>
        <item x="1246"/>
        <item x="1242"/>
        <item x="1238"/>
        <item x="1252"/>
        <item x="1241"/>
        <item x="1253"/>
        <item x="1251"/>
        <item x="1255"/>
        <item x="1258"/>
        <item x="1256"/>
        <item x="1283"/>
        <item x="1257"/>
        <item x="1248"/>
        <item x="1249"/>
        <item x="1265"/>
        <item x="1264"/>
        <item x="1262"/>
        <item x="1263"/>
        <item x="1259"/>
        <item x="1271"/>
        <item x="1260"/>
        <item x="1261"/>
        <item x="1266"/>
        <item x="1302"/>
        <item x="1276"/>
        <item x="1274"/>
        <item x="1269"/>
        <item x="1270"/>
        <item x="1267"/>
        <item x="1268"/>
        <item x="1273"/>
        <item x="1272"/>
        <item x="1279"/>
        <item x="1277"/>
        <item x="1280"/>
        <item x="1275"/>
        <item x="1278"/>
        <item x="1285"/>
        <item x="1282"/>
        <item x="1284"/>
        <item x="1281"/>
        <item x="1289"/>
        <item x="1298"/>
        <item x="1301"/>
        <item x="1290"/>
        <item x="1287"/>
        <item x="1286"/>
        <item x="1346"/>
        <item x="1288"/>
        <item x="1296"/>
        <item x="1291"/>
        <item x="1292"/>
        <item x="1300"/>
        <item x="1297"/>
        <item x="1293"/>
        <item x="1294"/>
        <item x="1310"/>
        <item x="1299"/>
        <item x="1305"/>
        <item x="1307"/>
        <item x="1295"/>
        <item x="1303"/>
        <item x="1304"/>
        <item x="1306"/>
        <item x="1312"/>
        <item x="1308"/>
        <item x="1309"/>
        <item x="1316"/>
        <item x="1314"/>
        <item x="1315"/>
        <item x="1317"/>
        <item x="1313"/>
        <item x="1311"/>
        <item x="1319"/>
        <item x="1322"/>
        <item x="1320"/>
        <item x="1321"/>
        <item x="1325"/>
        <item x="1324"/>
        <item x="1318"/>
        <item x="1323"/>
        <item x="1326"/>
        <item x="1327"/>
        <item x="1342"/>
        <item x="1335"/>
        <item x="1332"/>
        <item x="1331"/>
        <item x="1330"/>
        <item x="1336"/>
        <item x="1333"/>
        <item x="1328"/>
        <item x="1339"/>
        <item x="1329"/>
        <item x="1341"/>
        <item x="1334"/>
        <item x="1340"/>
        <item x="1348"/>
        <item x="1337"/>
        <item x="1338"/>
        <item x="1347"/>
        <item x="1349"/>
        <item x="1344"/>
        <item x="1343"/>
        <item x="1345"/>
        <item x="1355"/>
        <item x="1357"/>
        <item x="1356"/>
        <item x="1358"/>
        <item x="1354"/>
        <item x="1353"/>
        <item x="1351"/>
        <item x="1352"/>
        <item x="1350"/>
        <item x="1360"/>
        <item x="1359"/>
        <item x="1376"/>
        <item x="1370"/>
        <item x="1367"/>
        <item x="1366"/>
        <item x="1369"/>
        <item x="1363"/>
        <item x="1362"/>
        <item x="1368"/>
        <item x="1361"/>
        <item x="1377"/>
        <item x="1371"/>
        <item x="1365"/>
        <item x="1372"/>
        <item x="1373"/>
        <item x="1374"/>
        <item x="1364"/>
        <item x="1378"/>
        <item x="1383"/>
        <item x="1380"/>
        <item x="1379"/>
        <item x="1382"/>
        <item x="1381"/>
        <item x="1375"/>
        <item x="1384"/>
        <item x="1386"/>
        <item x="1385"/>
        <item x="1387"/>
        <item x="1389"/>
        <item x="1395"/>
        <item x="1396"/>
        <item x="1392"/>
        <item x="1393"/>
        <item x="1391"/>
        <item x="1388"/>
        <item x="1390"/>
        <item x="1397"/>
        <item x="1398"/>
        <item x="1394"/>
        <item x="1399"/>
        <item x="1400"/>
        <item x="1401"/>
        <item x="1409"/>
        <item x="1402"/>
        <item x="1408"/>
        <item x="1403"/>
        <item x="1410"/>
        <item x="1404"/>
        <item x="1407"/>
        <item x="1405"/>
        <item x="1406"/>
        <item x="1414"/>
        <item x="1415"/>
        <item x="1420"/>
        <item x="1411"/>
        <item x="1412"/>
        <item x="1413"/>
        <item x="1416"/>
        <item x="1418"/>
        <item x="1419"/>
        <item x="1435"/>
        <item x="1422"/>
        <item x="1449"/>
        <item x="1428"/>
        <item x="1426"/>
        <item x="1427"/>
        <item x="1429"/>
        <item x="1424"/>
        <item x="1421"/>
        <item x="1417"/>
        <item x="1423"/>
        <item x="1433"/>
        <item x="1436"/>
        <item x="1434"/>
        <item x="1431"/>
        <item x="1430"/>
        <item x="1425"/>
        <item x="1432"/>
        <item x="1437"/>
        <item x="1438"/>
        <item x="1443"/>
        <item x="1446"/>
        <item x="1447"/>
        <item x="1444"/>
        <item x="1439"/>
        <item x="1441"/>
        <item x="1440"/>
        <item x="1442"/>
        <item x="1445"/>
        <item x="1448"/>
        <item x="1456"/>
        <item x="1451"/>
        <item x="1450"/>
        <item x="1452"/>
        <item x="1454"/>
        <item x="1457"/>
        <item x="1455"/>
        <item x="1460"/>
        <item x="1453"/>
        <item x="1464"/>
        <item x="1463"/>
        <item x="1461"/>
        <item x="1462"/>
        <item x="1458"/>
        <item x="1459"/>
        <item x="1469"/>
        <item x="1470"/>
        <item x="1467"/>
        <item x="1468"/>
        <item x="1465"/>
        <item x="1474"/>
        <item x="1477"/>
        <item x="1478"/>
        <item x="1466"/>
        <item x="1479"/>
        <item x="1475"/>
        <item x="1473"/>
        <item x="1476"/>
        <item x="1471"/>
        <item x="1472"/>
        <item t="default"/>
      </items>
    </pivotField>
    <pivotField showAll="0"/>
    <pivotField showAll="0"/>
    <pivotField showAll="0">
      <items count="9">
        <item x="0"/>
        <item x="6"/>
        <item x="3"/>
        <item x="4"/>
        <item x="1"/>
        <item x="7"/>
        <item x="5"/>
        <item x="2"/>
        <item t="default"/>
      </items>
    </pivotField>
    <pivotField numFmtId="9" showAll="0"/>
    <pivotField numFmtId="9" showAll="0"/>
    <pivotField showAll="0"/>
    <pivotField showAll="0"/>
    <pivotField showAll="0"/>
    <pivotField showAll="0"/>
    <pivotField showAll="0"/>
    <pivotField showAll="0"/>
    <pivotField showAll="0">
      <items count="51">
        <item x="23"/>
        <item x="24"/>
        <item x="25"/>
        <item x="7"/>
        <item x="17"/>
        <item x="4"/>
        <item x="32"/>
        <item x="37"/>
        <item x="49"/>
        <item x="19"/>
        <item x="44"/>
        <item x="45"/>
        <item x="12"/>
        <item x="6"/>
        <item x="38"/>
        <item x="43"/>
        <item x="42"/>
        <item x="35"/>
        <item x="8"/>
        <item x="26"/>
        <item x="31"/>
        <item x="13"/>
        <item x="36"/>
        <item x="10"/>
        <item x="18"/>
        <item x="16"/>
        <item x="21"/>
        <item x="22"/>
        <item x="11"/>
        <item x="28"/>
        <item x="1"/>
        <item x="0"/>
        <item x="40"/>
        <item x="27"/>
        <item x="30"/>
        <item x="29"/>
        <item x="15"/>
        <item x="14"/>
        <item x="48"/>
        <item x="41"/>
        <item x="47"/>
        <item x="34"/>
        <item x="46"/>
        <item x="9"/>
        <item x="3"/>
        <item x="20"/>
        <item x="2"/>
        <item x="33"/>
        <item x="39"/>
        <item x="5"/>
        <item t="default"/>
      </items>
    </pivotField>
    <pivotField showAll="0">
      <items count="96">
        <item x="93"/>
        <item x="94"/>
        <item x="3"/>
        <item x="82"/>
        <item x="90"/>
        <item x="61"/>
        <item x="10"/>
        <item x="29"/>
        <item x="58"/>
        <item x="84"/>
        <item x="66"/>
        <item x="8"/>
        <item x="85"/>
        <item x="23"/>
        <item x="70"/>
        <item x="44"/>
        <item x="63"/>
        <item x="57"/>
        <item x="51"/>
        <item x="54"/>
        <item x="20"/>
        <item x="72"/>
        <item x="22"/>
        <item x="35"/>
        <item x="69"/>
        <item x="86"/>
        <item x="65"/>
        <item x="18"/>
        <item x="64"/>
        <item x="13"/>
        <item x="30"/>
        <item x="77"/>
        <item x="0"/>
        <item x="71"/>
        <item x="11"/>
        <item x="56"/>
        <item x="92"/>
        <item x="16"/>
        <item x="25"/>
        <item x="19"/>
        <item x="12"/>
        <item x="80"/>
        <item x="39"/>
        <item x="38"/>
        <item x="33"/>
        <item x="17"/>
        <item x="73"/>
        <item x="79"/>
        <item x="5"/>
        <item x="7"/>
        <item x="2"/>
        <item x="14"/>
        <item x="78"/>
        <item x="53"/>
        <item x="59"/>
        <item x="32"/>
        <item x="15"/>
        <item x="88"/>
        <item x="74"/>
        <item x="48"/>
        <item x="36"/>
        <item x="46"/>
        <item x="31"/>
        <item x="62"/>
        <item x="21"/>
        <item x="49"/>
        <item x="68"/>
        <item x="28"/>
        <item x="87"/>
        <item x="4"/>
        <item x="81"/>
        <item x="67"/>
        <item x="76"/>
        <item x="37"/>
        <item x="89"/>
        <item x="1"/>
        <item x="75"/>
        <item x="55"/>
        <item x="34"/>
        <item x="43"/>
        <item x="91"/>
        <item x="24"/>
        <item x="47"/>
        <item x="40"/>
        <item x="52"/>
        <item x="6"/>
        <item x="60"/>
        <item x="83"/>
        <item x="50"/>
        <item x="45"/>
        <item x="27"/>
        <item x="41"/>
        <item x="42"/>
        <item x="26"/>
        <item x="9"/>
        <item t="default"/>
      </items>
    </pivotField>
    <pivotField showAll="0"/>
  </pivotFields>
  <rowFields count="1">
    <field x="1"/>
  </rowFields>
  <rowItems count="10">
    <i>
      <x/>
    </i>
    <i>
      <x v="1"/>
    </i>
    <i>
      <x v="2"/>
    </i>
    <i>
      <x v="3"/>
    </i>
    <i>
      <x v="4"/>
    </i>
    <i>
      <x v="5"/>
    </i>
    <i>
      <x v="6"/>
    </i>
    <i>
      <x v="7"/>
    </i>
    <i>
      <x v="8"/>
    </i>
    <i t="grand">
      <x/>
    </i>
  </rowItems>
  <colFields count="1">
    <field x="2"/>
  </colFields>
  <colItems count="3">
    <i>
      <x/>
    </i>
    <i>
      <x v="1"/>
    </i>
    <i t="grand">
      <x/>
    </i>
  </colItems>
  <dataFields count="1">
    <dataField name="Nombre de Numero ot" fld="4" subtotal="count" baseField="0" baseItem="0"/>
  </dataFields>
  <chartFormats count="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4251D1-DF9C-AA40-A89E-C83EE06C72BA}" name="Tableau croisé dynamique3" cacheId="7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A3:D14" firstHeaderRow="1" firstDataRow="2" firstDataCol="1"/>
  <pivotFields count="19">
    <pivotField showAll="0"/>
    <pivotField axis="axisRow" showAll="0">
      <items count="10">
        <item x="0"/>
        <item x="1"/>
        <item x="2"/>
        <item x="3"/>
        <item x="4"/>
        <item x="5"/>
        <item x="6"/>
        <item x="7"/>
        <item x="8"/>
        <item t="default"/>
      </items>
    </pivotField>
    <pivotField axis="axisCol" showAll="0">
      <items count="3">
        <item x="0"/>
        <item x="1"/>
        <item t="default"/>
      </items>
    </pivotField>
    <pivotField showAll="0"/>
    <pivotField showAll="0"/>
    <pivotField dataField="1" showAll="0"/>
    <pivotField showAll="0"/>
    <pivotField showAll="0"/>
    <pivotField numFmtId="9" showAll="0"/>
    <pivotField numFmtId="9" showAll="0"/>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3">
    <i>
      <x/>
    </i>
    <i>
      <x v="1"/>
    </i>
    <i t="grand">
      <x/>
    </i>
  </colItems>
  <dataFields count="1">
    <dataField name="Somme de Poids OT (kg)" fld="5"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760CF1-34CB-B24B-9C90-882B6C94F25B}" name="Tableau croisé dynamique4" cacheId="7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A3:D14" firstHeaderRow="1" firstDataRow="2" firstDataCol="1"/>
  <pivotFields count="19">
    <pivotField showAll="0"/>
    <pivotField axis="axisRow" showAll="0">
      <items count="10">
        <item x="0"/>
        <item x="1"/>
        <item x="2"/>
        <item x="3"/>
        <item x="4"/>
        <item x="5"/>
        <item x="6"/>
        <item x="7"/>
        <item x="8"/>
        <item t="default"/>
      </items>
    </pivotField>
    <pivotField axis="axisCol" showAll="0">
      <items count="3">
        <item x="0"/>
        <item x="1"/>
        <item t="default"/>
      </items>
    </pivotField>
    <pivotField showAll="0"/>
    <pivotField showAll="0"/>
    <pivotField showAll="0"/>
    <pivotField showAll="0"/>
    <pivotField showAll="0"/>
    <pivotField numFmtId="9" showAll="0"/>
    <pivotField numFmtId="9" showAll="0"/>
    <pivotField showAll="0"/>
    <pivotField showAll="0"/>
    <pivotField showAll="0"/>
    <pivotField showAll="0"/>
    <pivotField showAll="0"/>
    <pivotField showAll="0"/>
    <pivotField showAll="0"/>
    <pivotField showAll="0"/>
    <pivotField dataField="1" showAll="0"/>
  </pivotFields>
  <rowFields count="1">
    <field x="1"/>
  </rowFields>
  <rowItems count="10">
    <i>
      <x/>
    </i>
    <i>
      <x v="1"/>
    </i>
    <i>
      <x v="2"/>
    </i>
    <i>
      <x v="3"/>
    </i>
    <i>
      <x v="4"/>
    </i>
    <i>
      <x v="5"/>
    </i>
    <i>
      <x v="6"/>
    </i>
    <i>
      <x v="7"/>
    </i>
    <i>
      <x v="8"/>
    </i>
    <i t="grand">
      <x/>
    </i>
  </rowItems>
  <colFields count="1">
    <field x="2"/>
  </colFields>
  <colItems count="3">
    <i>
      <x/>
    </i>
    <i>
      <x v="1"/>
    </i>
    <i t="grand">
      <x/>
    </i>
  </colItems>
  <dataFields count="1">
    <dataField name="Somme de Distance en km" fld="18"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60A3BB-C279-4E4B-9453-1A5E3FEA37D7}" name="Tableau croisé dynamique5" cacheId="7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
  <location ref="A3:D14" firstHeaderRow="1" firstDataRow="2" firstDataCol="1"/>
  <pivotFields count="19">
    <pivotField showAll="0"/>
    <pivotField axis="axisRow" showAll="0">
      <items count="10">
        <item x="0"/>
        <item x="1"/>
        <item x="2"/>
        <item x="3"/>
        <item x="4"/>
        <item x="5"/>
        <item x="6"/>
        <item x="7"/>
        <item x="8"/>
        <item t="default"/>
      </items>
    </pivotField>
    <pivotField axis="axisCol" showAll="0">
      <items count="3">
        <item x="0"/>
        <item x="1"/>
        <item t="default"/>
      </items>
    </pivotField>
    <pivotField showAll="0"/>
    <pivotField showAll="0"/>
    <pivotField showAll="0"/>
    <pivotField showAll="0"/>
    <pivotField showAll="0"/>
    <pivotField numFmtId="9" showAll="0"/>
    <pivotField numFmtId="9" showAll="0"/>
    <pivotField showAll="0"/>
    <pivotField showAll="0"/>
    <pivotField showAll="0"/>
    <pivotField showAll="0"/>
    <pivotField showAll="0"/>
    <pivotField dataField="1"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3">
    <i>
      <x/>
    </i>
    <i>
      <x v="1"/>
    </i>
    <i t="grand">
      <x/>
    </i>
  </colItems>
  <dataFields count="1">
    <dataField name="Somme de Coût  OT (€)" fld="15"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D20D8-179D-F948-9BFA-D4DBDBB6CB20}" name="Tableau croisé dynamique6" cacheId="7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
  <location ref="A3:D14" firstHeaderRow="1" firstDataRow="2" firstDataCol="1"/>
  <pivotFields count="19">
    <pivotField showAll="0"/>
    <pivotField axis="axisRow" showAll="0">
      <items count="10">
        <item x="0"/>
        <item x="1"/>
        <item x="2"/>
        <item x="3"/>
        <item x="4"/>
        <item x="5"/>
        <item x="6"/>
        <item x="7"/>
        <item x="8"/>
        <item t="default"/>
      </items>
    </pivotField>
    <pivotField axis="axisCol" showAll="0">
      <items count="3">
        <item x="0"/>
        <item x="1"/>
        <item t="default"/>
      </items>
    </pivotField>
    <pivotField showAll="0"/>
    <pivotField showAll="0"/>
    <pivotField showAll="0"/>
    <pivotField showAll="0"/>
    <pivotField showAll="0"/>
    <pivotField numFmtId="9" showAll="0"/>
    <pivotField numFmtId="9" showAll="0"/>
    <pivotField showAll="0"/>
    <pivotField showAll="0"/>
    <pivotField showAll="0"/>
    <pivotField showAll="0"/>
    <pivotField dataField="1"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3">
    <i>
      <x/>
    </i>
    <i>
      <x v="1"/>
    </i>
    <i t="grand">
      <x/>
    </i>
  </colItems>
  <dataFields count="1">
    <dataField name="Somme de Bilan CO2" fld="14" baseField="0" baseItem="0" numFmtId="2"/>
  </dataFields>
  <formats count="1">
    <format dxfId="0">
      <pivotArea outline="0" collapsedLevelsAreSubtotals="1" fieldPosition="0"/>
    </format>
  </format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 xr10:uid="{57F0E4D3-580B-3A40-889A-D400A8E6028D}" sourceName="Mois">
  <pivotTables>
    <pivotTable tabId="4" name="Tableau croisé dynamique2"/>
  </pivotTables>
  <data>
    <tabular pivotCacheId="952750380">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 xr10:uid="{18DD218F-CA58-DA4C-87D1-88DA8A090E37}" sourceName="Année">
  <pivotTables>
    <pivotTable tabId="4" name="Tableau croisé dynamique2"/>
  </pivotTables>
  <data>
    <tabular pivotCacheId="95275038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1" xr10:uid="{18792B44-A90D-1C4A-9A22-2AAE5D2D2B37}" sourceName="Mois">
  <pivotTables>
    <pivotTable tabId="5" name="Tableau croisé dynamique3"/>
  </pivotTables>
  <data>
    <tabular pivotCacheId="952750380">
      <items count="9">
        <i x="0" s="1"/>
        <i x="1" s="1"/>
        <i x="2" s="1"/>
        <i x="3" s="1"/>
        <i x="4" s="1"/>
        <i x="5" s="1"/>
        <i x="6"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1" xr10:uid="{7F676CBE-3111-7346-A45B-5859D4BB608F}" sourceName="Année">
  <pivotTables>
    <pivotTable tabId="5" name="Tableau croisé dynamique3"/>
  </pivotTables>
  <data>
    <tabular pivotCacheId="95275038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2" xr10:uid="{183E1175-890C-3842-BA4E-B427C3177333}" sourceName="Mois">
  <pivotTables>
    <pivotTable tabId="6" name="Tableau croisé dynamique4"/>
  </pivotTables>
  <data>
    <tabular pivotCacheId="952750380">
      <items count="9">
        <i x="0" s="1"/>
        <i x="1" s="1"/>
        <i x="2" s="1"/>
        <i x="3" s="1"/>
        <i x="4" s="1"/>
        <i x="5" s="1"/>
        <i x="6" s="1"/>
        <i x="7"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2" xr10:uid="{B9217DC4-1D30-074B-8433-1B5E3A2EB902}" sourceName="Année">
  <pivotTables>
    <pivotTable tabId="6" name="Tableau croisé dynamique4"/>
  </pivotTables>
  <data>
    <tabular pivotCacheId="95275038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3" xr10:uid="{6467456F-51C9-E747-A473-A167E91DEB38}" sourceName="Mois">
  <pivotTables>
    <pivotTable tabId="7" name="Tableau croisé dynamique5"/>
  </pivotTables>
  <data>
    <tabular pivotCacheId="952750380">
      <items count="9">
        <i x="0" s="1"/>
        <i x="1" s="1"/>
        <i x="2" s="1"/>
        <i x="3" s="1"/>
        <i x="4" s="1"/>
        <i x="5" s="1"/>
        <i x="6" s="1"/>
        <i x="7" s="1"/>
        <i x="8"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3" xr10:uid="{43E6D323-F905-1540-A7CC-A9C5A3EDA73D}" sourceName="Année">
  <pivotTables>
    <pivotTable tabId="7" name="Tableau croisé dynamique5"/>
  </pivotTables>
  <data>
    <tabular pivotCacheId="952750380">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4" xr10:uid="{E2EAF42B-E808-2E4F-A6A7-8F87E6D13432}" sourceName="Mois">
  <pivotTables>
    <pivotTable tabId="8" name="Tableau croisé dynamique6"/>
  </pivotTables>
  <data>
    <tabular pivotCacheId="952750380">
      <items count="9">
        <i x="0" s="1"/>
        <i x="1" s="1"/>
        <i x="2" s="1"/>
        <i x="3" s="1"/>
        <i x="4" s="1"/>
        <i x="5" s="1"/>
        <i x="6" s="1"/>
        <i x="7" s="1"/>
        <i x="8"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ée4" xr10:uid="{E5FDE8FA-3882-6B46-B7ED-CD1E2D1D01A4}" sourceName="Année">
  <pivotTables>
    <pivotTable tabId="8" name="Tableau croisé dynamique6"/>
  </pivotTables>
  <data>
    <tabular pivotCacheId="95275038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is" xr10:uid="{9E163DA0-4787-0944-9748-2290D758B1F1}" cache="Segment_Mois" caption="Mois" rowHeight="209550"/>
  <slicer name="Année" xr10:uid="{6AF6475B-A7D7-1F48-8033-4B4D0D603C4D}" cache="Segment_Année" caption="Année"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is 1" xr10:uid="{5605822B-4907-BA47-B78B-F50FEC3978A3}" cache="Segment_Mois1" caption="Mois" rowHeight="209550"/>
  <slicer name="Année 1" xr10:uid="{3B54B90E-A608-524C-9991-D0331BC7EF42}" cache="Segment_Année1" caption="Année"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is 2" xr10:uid="{37BF78FD-D139-2C48-8133-DD111D64F4AE}" cache="Segment_Mois2" caption="Mois" rowHeight="209550"/>
  <slicer name="Année 2" xr10:uid="{CD109410-7037-B44B-966A-54D4F04C755A}" cache="Segment_Année2" caption="Année"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is 3" xr10:uid="{A3325351-0D75-8045-A804-8E4A2B48EA62}" cache="Segment_Mois3" caption="Mois" rowHeight="209550"/>
  <slicer name="Année 3" xr10:uid="{6CC142FA-F9E5-6945-B139-36DE491E8333}" cache="Segment_Année3" caption="Année"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is 4" xr10:uid="{3328645C-3EEC-F443-8B0B-291B74CDE389}" cache="Segment_Mois4" caption="Mois" rowHeight="209550"/>
  <slicer name="Année 4" xr10:uid="{3DEC3743-3E81-5243-B22E-6850B54EC619}" cache="Segment_Année4" caption="Anné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7A80-DFC8-5E46-92FF-7D50D3F6BF90}">
  <dimension ref="A1:S1482"/>
  <sheetViews>
    <sheetView zoomScale="197" zoomScaleNormal="197" workbookViewId="0">
      <selection activeCell="A6" sqref="A6"/>
    </sheetView>
  </sheetViews>
  <sheetFormatPr baseColWidth="10" defaultRowHeight="13" outlineLevelCol="1" x14ac:dyDescent="0.15"/>
  <cols>
    <col min="2" max="4" width="10.83203125" customWidth="1" outlineLevel="1"/>
    <col min="8" max="8" width="13.83203125" bestFit="1" customWidth="1"/>
    <col min="9" max="10" width="19" style="97" bestFit="1" customWidth="1"/>
    <col min="12" max="12" width="18.6640625" bestFit="1" customWidth="1"/>
    <col min="13" max="13" width="13.1640625" bestFit="1" customWidth="1"/>
    <col min="14" max="14" width="18.6640625" customWidth="1"/>
    <col min="15" max="15" width="11.33203125" bestFit="1" customWidth="1"/>
    <col min="17" max="17" width="15.83203125" bestFit="1" customWidth="1"/>
    <col min="18" max="18" width="16.33203125" bestFit="1" customWidth="1"/>
  </cols>
  <sheetData>
    <row r="1" spans="1:19" x14ac:dyDescent="0.15">
      <c r="A1" s="87" t="s">
        <v>1479</v>
      </c>
      <c r="B1" s="87" t="s">
        <v>51</v>
      </c>
      <c r="C1" s="87" t="s">
        <v>1468</v>
      </c>
      <c r="D1" s="87" t="s">
        <v>1472</v>
      </c>
      <c r="E1" s="88" t="s">
        <v>1477</v>
      </c>
      <c r="F1" s="88" t="s">
        <v>1480</v>
      </c>
      <c r="G1" s="88" t="s">
        <v>1475</v>
      </c>
      <c r="H1" s="87" t="s">
        <v>1476</v>
      </c>
      <c r="I1" s="95" t="s">
        <v>30</v>
      </c>
      <c r="J1" s="95" t="s">
        <v>50</v>
      </c>
      <c r="K1" s="87" t="s">
        <v>1474</v>
      </c>
      <c r="L1" s="87" t="s">
        <v>1469</v>
      </c>
      <c r="M1" s="87" t="s">
        <v>1481</v>
      </c>
      <c r="N1" s="87" t="s">
        <v>1470</v>
      </c>
      <c r="O1" s="87" t="s">
        <v>1471</v>
      </c>
      <c r="P1" s="87" t="s">
        <v>1494</v>
      </c>
      <c r="Q1" s="89" t="s">
        <v>1482</v>
      </c>
      <c r="R1" s="89" t="s">
        <v>1493</v>
      </c>
      <c r="S1" s="89" t="s">
        <v>1478</v>
      </c>
    </row>
    <row r="2" spans="1:19" x14ac:dyDescent="0.15">
      <c r="A2" s="90">
        <v>44200</v>
      </c>
      <c r="B2" s="90" t="str">
        <f>TEXT(A2,"mmmm")</f>
        <v>janvier</v>
      </c>
      <c r="C2" s="90" t="str">
        <f>TEXT(A2,"aaaa")</f>
        <v>2021</v>
      </c>
      <c r="D2" s="90" t="str">
        <f>B2&amp;C2</f>
        <v>janvier2021</v>
      </c>
      <c r="E2" s="91">
        <v>1308270</v>
      </c>
      <c r="F2" s="91">
        <v>185</v>
      </c>
      <c r="G2" s="94">
        <f>F2/1000</f>
        <v>0.185</v>
      </c>
      <c r="H2" s="92" t="s">
        <v>32</v>
      </c>
      <c r="I2" s="96">
        <f t="shared" ref="I2:I65" si="0">VLOOKUP(H2,Segment1,2,FALSE)</f>
        <v>1</v>
      </c>
      <c r="J2" s="96">
        <f t="shared" ref="J2:J65" si="1">VLOOKUP(H2,Segment2,2,FALSE)</f>
        <v>0</v>
      </c>
      <c r="K2" s="92">
        <f>VLOOKUP(H2,'Taux émission CO2e'!$A$5:$D$16,4,FALSE)</f>
        <v>6.7400000000000002E-2</v>
      </c>
      <c r="L2" s="93">
        <f>IFERROR(I2*K2*G2*S2,"0")</f>
        <v>6.7355667649999997</v>
      </c>
      <c r="M2" s="92">
        <f>VLOOKUP(H2,'Taux émission CO2e'!$A$20:$D$31,4,FALSE)</f>
        <v>0</v>
      </c>
      <c r="N2" s="105">
        <f>IFERROR(J2*M2*G2*S2,"0")</f>
        <v>0</v>
      </c>
      <c r="O2" s="93">
        <f>L2+N2</f>
        <v>6.7355667649999997</v>
      </c>
      <c r="P2" s="92">
        <v>165</v>
      </c>
      <c r="Q2" s="92" t="s">
        <v>52</v>
      </c>
      <c r="R2" s="92" t="s">
        <v>53</v>
      </c>
      <c r="S2" s="20">
        <v>540.18499999999995</v>
      </c>
    </row>
    <row r="3" spans="1:19" x14ac:dyDescent="0.15">
      <c r="A3" s="90">
        <v>44200</v>
      </c>
      <c r="B3" s="90" t="str">
        <f t="shared" ref="B3:B66" si="2">TEXT(A3,"mmmm")</f>
        <v>janvier</v>
      </c>
      <c r="C3" s="90" t="str">
        <f t="shared" ref="C3:C66" si="3">TEXT(A3,"aaaa")</f>
        <v>2021</v>
      </c>
      <c r="D3" s="90" t="str">
        <f t="shared" ref="D3:D66" si="4">B3&amp;C3</f>
        <v>janvier2021</v>
      </c>
      <c r="E3" s="91">
        <v>1308264</v>
      </c>
      <c r="F3" s="91">
        <v>452</v>
      </c>
      <c r="G3" s="94">
        <f t="shared" ref="G3:G66" si="5">F3/1000</f>
        <v>0.45200000000000001</v>
      </c>
      <c r="H3" s="92" t="s">
        <v>45</v>
      </c>
      <c r="I3" s="96">
        <f t="shared" si="0"/>
        <v>0.3</v>
      </c>
      <c r="J3" s="96">
        <f t="shared" si="1"/>
        <v>0.7</v>
      </c>
      <c r="K3" s="92">
        <f>VLOOKUP(H3,'Taux émission CO2e'!$A$5:$D$16,4,FALSE)</f>
        <v>0.16</v>
      </c>
      <c r="L3" s="93">
        <f t="shared" ref="L3:L66" si="6">IFERROR(I3*K3*G3*S3,"0")</f>
        <v>11.025429888</v>
      </c>
      <c r="M3" s="92">
        <f>VLOOKUP(H3,'Taux émission CO2e'!$A$20:$D$31,4,FALSE)</f>
        <v>6.7400000000000002E-2</v>
      </c>
      <c r="N3" s="105">
        <f t="shared" ref="N3:N66" si="7">IFERROR(J3*M3*G3*S3,"0")</f>
        <v>10.83707879408</v>
      </c>
      <c r="O3" s="93">
        <f t="shared" ref="O3:O66" si="8">L3+N3</f>
        <v>21.862508682079998</v>
      </c>
      <c r="P3" s="92">
        <v>220</v>
      </c>
      <c r="Q3" s="92" t="s">
        <v>54</v>
      </c>
      <c r="R3" s="92" t="s">
        <v>55</v>
      </c>
      <c r="S3" s="20">
        <v>508.178</v>
      </c>
    </row>
    <row r="4" spans="1:19" x14ac:dyDescent="0.15">
      <c r="A4" s="90">
        <v>44201</v>
      </c>
      <c r="B4" s="90" t="str">
        <f t="shared" si="2"/>
        <v>janvier</v>
      </c>
      <c r="C4" s="90" t="str">
        <f t="shared" si="3"/>
        <v>2021</v>
      </c>
      <c r="D4" s="90" t="str">
        <f t="shared" si="4"/>
        <v>janvier2021</v>
      </c>
      <c r="E4" s="91">
        <v>1308432</v>
      </c>
      <c r="F4" s="91">
        <v>249</v>
      </c>
      <c r="G4" s="94">
        <f t="shared" si="5"/>
        <v>0.249</v>
      </c>
      <c r="H4" s="92" t="s">
        <v>45</v>
      </c>
      <c r="I4" s="96">
        <f t="shared" si="0"/>
        <v>0.3</v>
      </c>
      <c r="J4" s="96">
        <f t="shared" si="1"/>
        <v>0.7</v>
      </c>
      <c r="K4" s="92">
        <f>VLOOKUP(H4,'Taux émission CO2e'!$A$5:$D$16,4,FALSE)</f>
        <v>0.16</v>
      </c>
      <c r="L4" s="93">
        <f t="shared" si="6"/>
        <v>5.9988641760000005</v>
      </c>
      <c r="M4" s="92">
        <f>VLOOKUP(H4,'Taux émission CO2e'!$A$20:$D$31,4,FALSE)</f>
        <v>6.7400000000000002E-2</v>
      </c>
      <c r="N4" s="105">
        <f t="shared" si="7"/>
        <v>5.8963835796599993</v>
      </c>
      <c r="O4" s="93">
        <f t="shared" si="8"/>
        <v>11.89524775566</v>
      </c>
      <c r="P4" s="92">
        <v>220</v>
      </c>
      <c r="Q4" s="92" t="s">
        <v>56</v>
      </c>
      <c r="R4" s="92" t="s">
        <v>57</v>
      </c>
      <c r="S4" s="20">
        <v>501.91300000000001</v>
      </c>
    </row>
    <row r="5" spans="1:19" x14ac:dyDescent="0.15">
      <c r="A5" s="90">
        <v>44201</v>
      </c>
      <c r="B5" s="90" t="str">
        <f t="shared" si="2"/>
        <v>janvier</v>
      </c>
      <c r="C5" s="90" t="str">
        <f t="shared" si="3"/>
        <v>2021</v>
      </c>
      <c r="D5" s="90" t="str">
        <f t="shared" si="4"/>
        <v>janvier2021</v>
      </c>
      <c r="E5" s="91">
        <v>1309250</v>
      </c>
      <c r="F5" s="91">
        <v>500</v>
      </c>
      <c r="G5" s="94">
        <f t="shared" si="5"/>
        <v>0.5</v>
      </c>
      <c r="H5" s="92" t="s">
        <v>45</v>
      </c>
      <c r="I5" s="96">
        <f t="shared" si="0"/>
        <v>0.3</v>
      </c>
      <c r="J5" s="96">
        <f t="shared" si="1"/>
        <v>0.7</v>
      </c>
      <c r="K5" s="92">
        <f>VLOOKUP(H5,'Taux émission CO2e'!$A$5:$D$16,4,FALSE)</f>
        <v>0.16</v>
      </c>
      <c r="L5" s="93">
        <f t="shared" si="6"/>
        <v>17.770680000000002</v>
      </c>
      <c r="M5" s="92">
        <f>VLOOKUP(H5,'Taux émission CO2e'!$A$20:$D$31,4,FALSE)</f>
        <v>6.7400000000000002E-2</v>
      </c>
      <c r="N5" s="105">
        <f t="shared" si="7"/>
        <v>17.467097550000002</v>
      </c>
      <c r="O5" s="93">
        <f t="shared" si="8"/>
        <v>35.237777550000004</v>
      </c>
      <c r="P5" s="92">
        <v>345</v>
      </c>
      <c r="Q5" s="92" t="s">
        <v>58</v>
      </c>
      <c r="R5" s="92" t="s">
        <v>59</v>
      </c>
      <c r="S5" s="20">
        <v>740.44500000000005</v>
      </c>
    </row>
    <row r="6" spans="1:19" x14ac:dyDescent="0.15">
      <c r="A6" s="90">
        <v>44203</v>
      </c>
      <c r="B6" s="90" t="str">
        <f t="shared" si="2"/>
        <v>janvier</v>
      </c>
      <c r="C6" s="90" t="str">
        <f t="shared" si="3"/>
        <v>2021</v>
      </c>
      <c r="D6" s="90" t="str">
        <f t="shared" si="4"/>
        <v>janvier2021</v>
      </c>
      <c r="E6" s="91">
        <v>1309627</v>
      </c>
      <c r="F6" s="91">
        <v>500</v>
      </c>
      <c r="G6" s="94">
        <f t="shared" si="5"/>
        <v>0.5</v>
      </c>
      <c r="H6" s="92" t="s">
        <v>32</v>
      </c>
      <c r="I6" s="96">
        <f t="shared" si="0"/>
        <v>1</v>
      </c>
      <c r="J6" s="96">
        <f t="shared" si="1"/>
        <v>0</v>
      </c>
      <c r="K6" s="92">
        <f>VLOOKUP(H6,'Taux émission CO2e'!$A$5:$D$16,4,FALSE)</f>
        <v>6.7400000000000002E-2</v>
      </c>
      <c r="L6" s="93">
        <f t="shared" si="6"/>
        <v>1.8454457000000002</v>
      </c>
      <c r="M6" s="92">
        <f>VLOOKUP(H6,'Taux émission CO2e'!$A$20:$D$31,4,FALSE)</f>
        <v>0</v>
      </c>
      <c r="N6" s="105">
        <f t="shared" si="7"/>
        <v>0</v>
      </c>
      <c r="O6" s="93">
        <f t="shared" si="8"/>
        <v>1.8454457000000002</v>
      </c>
      <c r="P6" s="92">
        <v>152</v>
      </c>
      <c r="Q6" s="92" t="s">
        <v>56</v>
      </c>
      <c r="R6" s="92" t="s">
        <v>55</v>
      </c>
      <c r="S6" s="20">
        <v>54.761000000000003</v>
      </c>
    </row>
    <row r="7" spans="1:19" x14ac:dyDescent="0.15">
      <c r="A7" s="90">
        <v>44203</v>
      </c>
      <c r="B7" s="90" t="str">
        <f t="shared" si="2"/>
        <v>janvier</v>
      </c>
      <c r="C7" s="90" t="str">
        <f t="shared" si="3"/>
        <v>2021</v>
      </c>
      <c r="D7" s="90" t="str">
        <f t="shared" si="4"/>
        <v>janvier2021</v>
      </c>
      <c r="E7" s="91">
        <v>1309609</v>
      </c>
      <c r="F7" s="99">
        <v>1250</v>
      </c>
      <c r="G7" s="98">
        <f>F7/1000</f>
        <v>1.25</v>
      </c>
      <c r="H7" s="92" t="s">
        <v>32</v>
      </c>
      <c r="I7" s="96">
        <f t="shared" si="0"/>
        <v>1</v>
      </c>
      <c r="J7" s="96">
        <f t="shared" si="1"/>
        <v>0</v>
      </c>
      <c r="K7" s="92">
        <f>VLOOKUP(H7,'Taux émission CO2e'!$A$5:$D$16,4,FALSE)</f>
        <v>6.7400000000000002E-2</v>
      </c>
      <c r="L7" s="93">
        <f t="shared" si="6"/>
        <v>18.624305</v>
      </c>
      <c r="M7" s="92">
        <f>VLOOKUP(H7,'Taux émission CO2e'!$A$20:$D$31,4,FALSE)</f>
        <v>0</v>
      </c>
      <c r="N7" s="105">
        <f t="shared" si="7"/>
        <v>0</v>
      </c>
      <c r="O7" s="93">
        <f t="shared" si="8"/>
        <v>18.624305</v>
      </c>
      <c r="P7" s="92">
        <v>238</v>
      </c>
      <c r="Q7" s="92" t="s">
        <v>56</v>
      </c>
      <c r="R7" s="92" t="s">
        <v>53</v>
      </c>
      <c r="S7" s="20">
        <v>221.06</v>
      </c>
    </row>
    <row r="8" spans="1:19" x14ac:dyDescent="0.15">
      <c r="A8" s="90">
        <v>44204</v>
      </c>
      <c r="B8" s="90" t="str">
        <f t="shared" si="2"/>
        <v>janvier</v>
      </c>
      <c r="C8" s="90" t="str">
        <f t="shared" si="3"/>
        <v>2021</v>
      </c>
      <c r="D8" s="90" t="str">
        <f t="shared" si="4"/>
        <v>janvier2021</v>
      </c>
      <c r="E8" s="91">
        <v>1310495</v>
      </c>
      <c r="F8" s="91">
        <v>80</v>
      </c>
      <c r="G8" s="94">
        <f>F8/1000</f>
        <v>0.08</v>
      </c>
      <c r="H8" s="92" t="s">
        <v>46</v>
      </c>
      <c r="I8" s="96">
        <f t="shared" si="0"/>
        <v>0.3</v>
      </c>
      <c r="J8" s="96">
        <f t="shared" si="1"/>
        <v>0.7</v>
      </c>
      <c r="K8" s="92">
        <f>VLOOKUP(H8,'Taux émission CO2e'!$A$5:$D$16,4,FALSE)</f>
        <v>0.16</v>
      </c>
      <c r="L8" s="93">
        <f t="shared" si="6"/>
        <v>0.98653824000000001</v>
      </c>
      <c r="M8" s="92">
        <f>VLOOKUP(H8,'Taux émission CO2e'!$A$20:$D$31,4,FALSE)</f>
        <v>6.7400000000000002E-2</v>
      </c>
      <c r="N8" s="105">
        <f t="shared" si="7"/>
        <v>0.96968487840000006</v>
      </c>
      <c r="O8" s="93">
        <f t="shared" si="8"/>
        <v>1.9562231184000001</v>
      </c>
      <c r="P8" s="92">
        <v>110</v>
      </c>
      <c r="Q8" s="92" t="s">
        <v>58</v>
      </c>
      <c r="R8" s="92" t="s">
        <v>60</v>
      </c>
      <c r="S8" s="20">
        <v>256.911</v>
      </c>
    </row>
    <row r="9" spans="1:19" x14ac:dyDescent="0.15">
      <c r="A9" s="90">
        <v>44204</v>
      </c>
      <c r="B9" s="90" t="str">
        <f t="shared" si="2"/>
        <v>janvier</v>
      </c>
      <c r="C9" s="90" t="str">
        <f t="shared" si="3"/>
        <v>2021</v>
      </c>
      <c r="D9" s="90" t="str">
        <f t="shared" si="4"/>
        <v>janvier2021</v>
      </c>
      <c r="E9" s="91">
        <v>1310502</v>
      </c>
      <c r="F9" s="91">
        <v>40</v>
      </c>
      <c r="G9" s="94">
        <f t="shared" si="5"/>
        <v>0.04</v>
      </c>
      <c r="H9" s="92" t="s">
        <v>46</v>
      </c>
      <c r="I9" s="96">
        <f t="shared" si="0"/>
        <v>0.3</v>
      </c>
      <c r="J9" s="96">
        <f t="shared" si="1"/>
        <v>0.7</v>
      </c>
      <c r="K9" s="92">
        <f>VLOOKUP(H9,'Taux émission CO2e'!$A$5:$D$16,4,FALSE)</f>
        <v>0.16</v>
      </c>
      <c r="L9" s="93">
        <f t="shared" si="6"/>
        <v>0.99033216000000002</v>
      </c>
      <c r="M9" s="92">
        <f>VLOOKUP(H9,'Taux émission CO2e'!$A$20:$D$31,4,FALSE)</f>
        <v>6.7400000000000002E-2</v>
      </c>
      <c r="N9" s="105">
        <f t="shared" si="7"/>
        <v>0.97341398560000003</v>
      </c>
      <c r="O9" s="93">
        <f t="shared" si="8"/>
        <v>1.9637461456</v>
      </c>
      <c r="P9" s="92">
        <v>140</v>
      </c>
      <c r="Q9" s="92" t="s">
        <v>58</v>
      </c>
      <c r="R9" s="92" t="s">
        <v>57</v>
      </c>
      <c r="S9" s="20">
        <v>515.798</v>
      </c>
    </row>
    <row r="10" spans="1:19" x14ac:dyDescent="0.15">
      <c r="A10" s="90">
        <v>44204</v>
      </c>
      <c r="B10" s="90" t="str">
        <f t="shared" si="2"/>
        <v>janvier</v>
      </c>
      <c r="C10" s="90" t="str">
        <f t="shared" si="3"/>
        <v>2021</v>
      </c>
      <c r="D10" s="90" t="str">
        <f t="shared" si="4"/>
        <v>janvier2021</v>
      </c>
      <c r="E10" s="91">
        <v>1310160</v>
      </c>
      <c r="F10" s="92">
        <v>1000</v>
      </c>
      <c r="G10" s="94">
        <f t="shared" si="5"/>
        <v>1</v>
      </c>
      <c r="H10" s="92" t="s">
        <v>46</v>
      </c>
      <c r="I10" s="96">
        <f t="shared" si="0"/>
        <v>0.3</v>
      </c>
      <c r="J10" s="96">
        <f t="shared" si="1"/>
        <v>0.7</v>
      </c>
      <c r="K10" s="92">
        <f>VLOOKUP(H10,'Taux émission CO2e'!$A$5:$D$16,4,FALSE)</f>
        <v>0.16</v>
      </c>
      <c r="L10" s="93">
        <f t="shared" si="6"/>
        <v>41.250624000000002</v>
      </c>
      <c r="M10" s="92">
        <f>VLOOKUP(H10,'Taux émission CO2e'!$A$20:$D$31,4,FALSE)</f>
        <v>6.7400000000000002E-2</v>
      </c>
      <c r="N10" s="105">
        <f t="shared" si="7"/>
        <v>40.545925840000002</v>
      </c>
      <c r="O10" s="93">
        <f t="shared" si="8"/>
        <v>81.796549840000011</v>
      </c>
      <c r="P10" s="92">
        <v>385</v>
      </c>
      <c r="Q10" s="92" t="s">
        <v>56</v>
      </c>
      <c r="R10" s="92" t="s">
        <v>61</v>
      </c>
      <c r="S10" s="20">
        <v>859.38800000000003</v>
      </c>
    </row>
    <row r="11" spans="1:19" x14ac:dyDescent="0.15">
      <c r="A11" s="90">
        <v>44208</v>
      </c>
      <c r="B11" s="90" t="str">
        <f t="shared" si="2"/>
        <v>janvier</v>
      </c>
      <c r="C11" s="90" t="str">
        <f t="shared" si="3"/>
        <v>2021</v>
      </c>
      <c r="D11" s="90" t="str">
        <f t="shared" si="4"/>
        <v>janvier2021</v>
      </c>
      <c r="E11" s="91">
        <v>1310601</v>
      </c>
      <c r="F11" s="91">
        <v>675</v>
      </c>
      <c r="G11" s="94">
        <f t="shared" si="5"/>
        <v>0.67500000000000004</v>
      </c>
      <c r="H11" s="92" t="s">
        <v>46</v>
      </c>
      <c r="I11" s="96">
        <f t="shared" si="0"/>
        <v>0.3</v>
      </c>
      <c r="J11" s="96">
        <f t="shared" si="1"/>
        <v>0.7</v>
      </c>
      <c r="K11" s="92">
        <f>VLOOKUP(H11,'Taux émission CO2e'!$A$5:$D$16,4,FALSE)</f>
        <v>0.16</v>
      </c>
      <c r="L11" s="93">
        <f t="shared" si="6"/>
        <v>26.390512800000007</v>
      </c>
      <c r="M11" s="92">
        <f>VLOOKUP(H11,'Taux émission CO2e'!$A$20:$D$31,4,FALSE)</f>
        <v>6.7400000000000002E-2</v>
      </c>
      <c r="N11" s="105">
        <f t="shared" si="7"/>
        <v>25.939674873000001</v>
      </c>
      <c r="O11" s="93">
        <f t="shared" si="8"/>
        <v>52.330187673000012</v>
      </c>
      <c r="P11" s="92">
        <v>340</v>
      </c>
      <c r="Q11" s="92" t="s">
        <v>62</v>
      </c>
      <c r="R11" s="92" t="s">
        <v>53</v>
      </c>
      <c r="S11" s="20">
        <v>814.52200000000005</v>
      </c>
    </row>
    <row r="12" spans="1:19" x14ac:dyDescent="0.15">
      <c r="A12" s="90">
        <v>44209</v>
      </c>
      <c r="B12" s="90" t="str">
        <f t="shared" si="2"/>
        <v>janvier</v>
      </c>
      <c r="C12" s="90" t="str">
        <f t="shared" si="3"/>
        <v>2021</v>
      </c>
      <c r="D12" s="90" t="str">
        <f t="shared" si="4"/>
        <v>janvier2021</v>
      </c>
      <c r="E12" s="91">
        <v>1311894</v>
      </c>
      <c r="F12" s="91">
        <v>250</v>
      </c>
      <c r="G12" s="94">
        <f t="shared" si="5"/>
        <v>0.25</v>
      </c>
      <c r="H12" s="92" t="s">
        <v>38</v>
      </c>
      <c r="I12" s="96">
        <f t="shared" si="0"/>
        <v>1</v>
      </c>
      <c r="J12" s="96">
        <f t="shared" si="1"/>
        <v>0</v>
      </c>
      <c r="K12" s="92">
        <f>VLOOKUP(H12,'Taux émission CO2e'!$A$5:$D$16,4,FALSE)</f>
        <v>0.24099999999999999</v>
      </c>
      <c r="L12" s="93">
        <f t="shared" si="6"/>
        <v>3.2520539999999998</v>
      </c>
      <c r="M12" s="92">
        <f>VLOOKUP(H12,'Taux émission CO2e'!$A$20:$D$31,4,FALSE)</f>
        <v>0</v>
      </c>
      <c r="N12" s="105">
        <f t="shared" si="7"/>
        <v>0</v>
      </c>
      <c r="O12" s="93">
        <f t="shared" si="8"/>
        <v>3.2520539999999998</v>
      </c>
      <c r="P12" s="92">
        <v>98</v>
      </c>
      <c r="Q12" s="92" t="s">
        <v>58</v>
      </c>
      <c r="R12" s="92" t="s">
        <v>63</v>
      </c>
      <c r="S12" s="20">
        <v>53.975999999999999</v>
      </c>
    </row>
    <row r="13" spans="1:19" x14ac:dyDescent="0.15">
      <c r="A13" s="90">
        <v>44209</v>
      </c>
      <c r="B13" s="90" t="str">
        <f t="shared" si="2"/>
        <v>janvier</v>
      </c>
      <c r="C13" s="90" t="str">
        <f t="shared" si="3"/>
        <v>2021</v>
      </c>
      <c r="D13" s="90" t="str">
        <f t="shared" si="4"/>
        <v>janvier2021</v>
      </c>
      <c r="E13" s="91">
        <v>1312188</v>
      </c>
      <c r="F13" s="91">
        <v>47</v>
      </c>
      <c r="G13" s="94">
        <f t="shared" si="5"/>
        <v>4.7E-2</v>
      </c>
      <c r="H13" s="92" t="s">
        <v>46</v>
      </c>
      <c r="I13" s="96">
        <f t="shared" si="0"/>
        <v>0.3</v>
      </c>
      <c r="J13" s="96">
        <f t="shared" si="1"/>
        <v>0.7</v>
      </c>
      <c r="K13" s="92">
        <f>VLOOKUP(H13,'Taux émission CO2e'!$A$5:$D$16,4,FALSE)</f>
        <v>0.16</v>
      </c>
      <c r="L13" s="93">
        <f t="shared" si="6"/>
        <v>2.0065518240000002</v>
      </c>
      <c r="M13" s="92">
        <f>VLOOKUP(H13,'Taux émission CO2e'!$A$20:$D$31,4,FALSE)</f>
        <v>6.7400000000000002E-2</v>
      </c>
      <c r="N13" s="105">
        <f t="shared" si="7"/>
        <v>1.9722732303400001</v>
      </c>
      <c r="O13" s="93">
        <f t="shared" si="8"/>
        <v>3.9788250543400006</v>
      </c>
      <c r="P13" s="92">
        <v>153</v>
      </c>
      <c r="Q13" s="92" t="s">
        <v>58</v>
      </c>
      <c r="R13" s="92" t="s">
        <v>64</v>
      </c>
      <c r="S13" s="20">
        <v>889.42899999999997</v>
      </c>
    </row>
    <row r="14" spans="1:19" x14ac:dyDescent="0.15">
      <c r="A14" s="90">
        <v>44211</v>
      </c>
      <c r="B14" s="90" t="str">
        <f t="shared" si="2"/>
        <v>janvier</v>
      </c>
      <c r="C14" s="90" t="str">
        <f t="shared" si="3"/>
        <v>2021</v>
      </c>
      <c r="D14" s="90" t="str">
        <f t="shared" si="4"/>
        <v>janvier2021</v>
      </c>
      <c r="E14" s="91">
        <v>1312635</v>
      </c>
      <c r="F14" s="91">
        <v>500</v>
      </c>
      <c r="G14" s="94">
        <f t="shared" si="5"/>
        <v>0.5</v>
      </c>
      <c r="H14" s="92" t="s">
        <v>45</v>
      </c>
      <c r="I14" s="96">
        <f t="shared" si="0"/>
        <v>0.3</v>
      </c>
      <c r="J14" s="96">
        <f t="shared" si="1"/>
        <v>0.7</v>
      </c>
      <c r="K14" s="92">
        <f>VLOOKUP(H14,'Taux émission CO2e'!$A$5:$D$16,4,FALSE)</f>
        <v>0.16</v>
      </c>
      <c r="L14" s="93">
        <f t="shared" si="6"/>
        <v>14.208336000000001</v>
      </c>
      <c r="M14" s="92">
        <f>VLOOKUP(H14,'Taux émission CO2e'!$A$20:$D$31,4,FALSE)</f>
        <v>6.7400000000000002E-2</v>
      </c>
      <c r="N14" s="105">
        <f t="shared" si="7"/>
        <v>13.96561026</v>
      </c>
      <c r="O14" s="93">
        <f t="shared" si="8"/>
        <v>28.173946260000001</v>
      </c>
      <c r="P14" s="92">
        <v>269</v>
      </c>
      <c r="Q14" s="92" t="s">
        <v>56</v>
      </c>
      <c r="R14" s="92" t="s">
        <v>65</v>
      </c>
      <c r="S14" s="20">
        <v>592.01400000000001</v>
      </c>
    </row>
    <row r="15" spans="1:19" x14ac:dyDescent="0.15">
      <c r="A15" s="90">
        <v>44214</v>
      </c>
      <c r="B15" s="90" t="str">
        <f t="shared" si="2"/>
        <v>janvier</v>
      </c>
      <c r="C15" s="90" t="str">
        <f t="shared" si="3"/>
        <v>2021</v>
      </c>
      <c r="D15" s="90" t="str">
        <f t="shared" si="4"/>
        <v>janvier2021</v>
      </c>
      <c r="E15" s="92" t="s">
        <v>66</v>
      </c>
      <c r="F15" s="91">
        <v>300</v>
      </c>
      <c r="G15" s="94">
        <f t="shared" si="5"/>
        <v>0.3</v>
      </c>
      <c r="H15" s="92" t="s">
        <v>40</v>
      </c>
      <c r="I15" s="96">
        <f t="shared" si="0"/>
        <v>1</v>
      </c>
      <c r="J15" s="96">
        <f t="shared" si="1"/>
        <v>0</v>
      </c>
      <c r="K15" s="92">
        <f>VLOOKUP(H15,'Taux émission CO2e'!$A$5:$D$16,4,FALSE)</f>
        <v>1.1599999999999999</v>
      </c>
      <c r="L15" s="93" t="str">
        <f t="shared" si="6"/>
        <v>0</v>
      </c>
      <c r="M15" s="92">
        <f>VLOOKUP(H15,'Taux émission CO2e'!$A$20:$D$31,4,FALSE)</f>
        <v>0</v>
      </c>
      <c r="N15" s="105" t="str">
        <f t="shared" si="7"/>
        <v>0</v>
      </c>
      <c r="O15" s="93">
        <f>L15+N15</f>
        <v>0</v>
      </c>
      <c r="P15" s="92">
        <v>2167</v>
      </c>
      <c r="Q15" s="92" t="s">
        <v>67</v>
      </c>
      <c r="R15" s="92" t="s">
        <v>68</v>
      </c>
      <c r="S15" s="20" t="s">
        <v>69</v>
      </c>
    </row>
    <row r="16" spans="1:19" x14ac:dyDescent="0.15">
      <c r="A16" s="90">
        <v>44214</v>
      </c>
      <c r="B16" s="90" t="str">
        <f t="shared" si="2"/>
        <v>janvier</v>
      </c>
      <c r="C16" s="90" t="str">
        <f t="shared" si="3"/>
        <v>2021</v>
      </c>
      <c r="D16" s="90" t="str">
        <f t="shared" si="4"/>
        <v>janvier2021</v>
      </c>
      <c r="E16" s="91">
        <v>1311973</v>
      </c>
      <c r="F16" s="91">
        <v>300</v>
      </c>
      <c r="G16" s="94">
        <f t="shared" si="5"/>
        <v>0.3</v>
      </c>
      <c r="H16" s="92" t="s">
        <v>45</v>
      </c>
      <c r="I16" s="96">
        <f t="shared" si="0"/>
        <v>0.3</v>
      </c>
      <c r="J16" s="96">
        <f t="shared" si="1"/>
        <v>0.7</v>
      </c>
      <c r="K16" s="92">
        <f>VLOOKUP(H16,'Taux émission CO2e'!$A$5:$D$16,4,FALSE)</f>
        <v>0.16</v>
      </c>
      <c r="L16" s="93">
        <f t="shared" si="6"/>
        <v>3.6129311999999998</v>
      </c>
      <c r="M16" s="92">
        <f>VLOOKUP(H16,'Taux émission CO2e'!$A$20:$D$31,4,FALSE)</f>
        <v>6.7400000000000002E-2</v>
      </c>
      <c r="N16" s="105">
        <f t="shared" si="7"/>
        <v>3.5512102919999999</v>
      </c>
      <c r="O16" s="93">
        <f t="shared" si="8"/>
        <v>7.1641414919999997</v>
      </c>
      <c r="P16" s="92">
        <v>140</v>
      </c>
      <c r="Q16" s="92" t="s">
        <v>67</v>
      </c>
      <c r="R16" s="92" t="s">
        <v>53</v>
      </c>
      <c r="S16" s="20">
        <v>250.898</v>
      </c>
    </row>
    <row r="17" spans="1:19" x14ac:dyDescent="0.15">
      <c r="A17" s="90">
        <v>44214</v>
      </c>
      <c r="B17" s="90" t="str">
        <f t="shared" si="2"/>
        <v>janvier</v>
      </c>
      <c r="C17" s="90" t="str">
        <f t="shared" si="3"/>
        <v>2021</v>
      </c>
      <c r="D17" s="90" t="str">
        <f t="shared" si="4"/>
        <v>janvier2021</v>
      </c>
      <c r="E17" s="91">
        <v>1312078</v>
      </c>
      <c r="F17" s="91">
        <v>200</v>
      </c>
      <c r="G17" s="94">
        <f t="shared" si="5"/>
        <v>0.2</v>
      </c>
      <c r="H17" s="92" t="s">
        <v>45</v>
      </c>
      <c r="I17" s="96">
        <f t="shared" si="0"/>
        <v>0.3</v>
      </c>
      <c r="J17" s="96">
        <f t="shared" si="1"/>
        <v>0.7</v>
      </c>
      <c r="K17" s="92">
        <f>VLOOKUP(H17,'Taux émission CO2e'!$A$5:$D$16,4,FALSE)</f>
        <v>0.16</v>
      </c>
      <c r="L17" s="93">
        <f t="shared" si="6"/>
        <v>4.8785088000000005</v>
      </c>
      <c r="M17" s="92">
        <f>VLOOKUP(H17,'Taux émission CO2e'!$A$20:$D$31,4,FALSE)</f>
        <v>6.7400000000000002E-2</v>
      </c>
      <c r="N17" s="105">
        <f t="shared" si="7"/>
        <v>4.7951676079999999</v>
      </c>
      <c r="O17" s="93">
        <f t="shared" si="8"/>
        <v>9.6736764080000004</v>
      </c>
      <c r="P17" s="92">
        <v>175</v>
      </c>
      <c r="Q17" s="92" t="s">
        <v>54</v>
      </c>
      <c r="R17" s="92" t="s">
        <v>55</v>
      </c>
      <c r="S17" s="20">
        <v>508.178</v>
      </c>
    </row>
    <row r="18" spans="1:19" x14ac:dyDescent="0.15">
      <c r="A18" s="90">
        <v>44214</v>
      </c>
      <c r="B18" s="90" t="str">
        <f t="shared" si="2"/>
        <v>janvier</v>
      </c>
      <c r="C18" s="90" t="str">
        <f t="shared" si="3"/>
        <v>2021</v>
      </c>
      <c r="D18" s="90" t="str">
        <f t="shared" si="4"/>
        <v>janvier2021</v>
      </c>
      <c r="E18" s="91">
        <v>1312950</v>
      </c>
      <c r="F18" s="91">
        <v>300</v>
      </c>
      <c r="G18" s="94">
        <f t="shared" si="5"/>
        <v>0.3</v>
      </c>
      <c r="H18" s="92" t="s">
        <v>45</v>
      </c>
      <c r="I18" s="96">
        <f t="shared" si="0"/>
        <v>0.3</v>
      </c>
      <c r="J18" s="96">
        <f t="shared" si="1"/>
        <v>0.7</v>
      </c>
      <c r="K18" s="92">
        <f>VLOOKUP(H18,'Taux émission CO2e'!$A$5:$D$16,4,FALSE)</f>
        <v>0.16</v>
      </c>
      <c r="L18" s="93">
        <f t="shared" si="6"/>
        <v>4.7611151999999999</v>
      </c>
      <c r="M18" s="92">
        <f>VLOOKUP(H18,'Taux émission CO2e'!$A$20:$D$31,4,FALSE)</f>
        <v>6.7400000000000002E-2</v>
      </c>
      <c r="N18" s="105">
        <f t="shared" si="7"/>
        <v>4.6797794819999998</v>
      </c>
      <c r="O18" s="93">
        <f t="shared" si="8"/>
        <v>9.4408946819999997</v>
      </c>
      <c r="P18" s="92">
        <v>182</v>
      </c>
      <c r="Q18" s="92" t="s">
        <v>56</v>
      </c>
      <c r="R18" s="92" t="s">
        <v>70</v>
      </c>
      <c r="S18" s="20">
        <v>330.63299999999998</v>
      </c>
    </row>
    <row r="19" spans="1:19" x14ac:dyDescent="0.15">
      <c r="A19" s="90">
        <v>44218</v>
      </c>
      <c r="B19" s="90" t="str">
        <f t="shared" si="2"/>
        <v>janvier</v>
      </c>
      <c r="C19" s="90" t="str">
        <f t="shared" si="3"/>
        <v>2021</v>
      </c>
      <c r="D19" s="90" t="str">
        <f t="shared" si="4"/>
        <v>janvier2021</v>
      </c>
      <c r="E19" s="91">
        <v>1315534</v>
      </c>
      <c r="F19" s="91">
        <v>200</v>
      </c>
      <c r="G19" s="94">
        <f t="shared" si="5"/>
        <v>0.2</v>
      </c>
      <c r="H19" s="92" t="s">
        <v>45</v>
      </c>
      <c r="I19" s="96">
        <f t="shared" si="0"/>
        <v>0.3</v>
      </c>
      <c r="J19" s="96">
        <f t="shared" si="1"/>
        <v>0.7</v>
      </c>
      <c r="K19" s="92">
        <f>VLOOKUP(H19,'Taux émission CO2e'!$A$5:$D$16,4,FALSE)</f>
        <v>0.16</v>
      </c>
      <c r="L19" s="93">
        <f t="shared" si="6"/>
        <v>2.5551936000000004</v>
      </c>
      <c r="M19" s="92">
        <f>VLOOKUP(H19,'Taux émission CO2e'!$A$20:$D$31,4,FALSE)</f>
        <v>6.7400000000000002E-2</v>
      </c>
      <c r="N19" s="105">
        <f t="shared" si="7"/>
        <v>2.511542376</v>
      </c>
      <c r="O19" s="93">
        <f t="shared" si="8"/>
        <v>5.0667359760000004</v>
      </c>
      <c r="P19" s="92">
        <v>92</v>
      </c>
      <c r="Q19" s="92" t="s">
        <v>58</v>
      </c>
      <c r="R19" s="92" t="s">
        <v>53</v>
      </c>
      <c r="S19" s="20">
        <v>266.166</v>
      </c>
    </row>
    <row r="20" spans="1:19" x14ac:dyDescent="0.15">
      <c r="A20" s="90">
        <v>44218</v>
      </c>
      <c r="B20" s="90" t="str">
        <f t="shared" si="2"/>
        <v>janvier</v>
      </c>
      <c r="C20" s="90" t="str">
        <f t="shared" si="3"/>
        <v>2021</v>
      </c>
      <c r="D20" s="90" t="str">
        <f t="shared" si="4"/>
        <v>janvier2021</v>
      </c>
      <c r="E20" s="91">
        <v>1315539</v>
      </c>
      <c r="F20" s="91">
        <v>200</v>
      </c>
      <c r="G20" s="94">
        <f t="shared" si="5"/>
        <v>0.2</v>
      </c>
      <c r="H20" s="92" t="s">
        <v>45</v>
      </c>
      <c r="I20" s="96">
        <f t="shared" si="0"/>
        <v>0.3</v>
      </c>
      <c r="J20" s="96">
        <f t="shared" si="1"/>
        <v>0.7</v>
      </c>
      <c r="K20" s="92">
        <f>VLOOKUP(H20,'Taux émission CO2e'!$A$5:$D$16,4,FALSE)</f>
        <v>0.16</v>
      </c>
      <c r="L20" s="93">
        <f t="shared" si="6"/>
        <v>2.5492320000000004</v>
      </c>
      <c r="M20" s="92">
        <f>VLOOKUP(H20,'Taux émission CO2e'!$A$20:$D$31,4,FALSE)</f>
        <v>6.7400000000000002E-2</v>
      </c>
      <c r="N20" s="105">
        <f t="shared" si="7"/>
        <v>2.50568262</v>
      </c>
      <c r="O20" s="93">
        <f t="shared" si="8"/>
        <v>5.0549146199999999</v>
      </c>
      <c r="P20" s="92">
        <v>92</v>
      </c>
      <c r="Q20" s="92" t="s">
        <v>58</v>
      </c>
      <c r="R20" s="92" t="s">
        <v>71</v>
      </c>
      <c r="S20" s="20">
        <v>265.54500000000002</v>
      </c>
    </row>
    <row r="21" spans="1:19" x14ac:dyDescent="0.15">
      <c r="A21" s="90">
        <v>44218</v>
      </c>
      <c r="B21" s="90" t="str">
        <f t="shared" si="2"/>
        <v>janvier</v>
      </c>
      <c r="C21" s="90" t="str">
        <f t="shared" si="3"/>
        <v>2021</v>
      </c>
      <c r="D21" s="90" t="str">
        <f t="shared" si="4"/>
        <v>janvier2021</v>
      </c>
      <c r="E21" s="91">
        <v>1314972</v>
      </c>
      <c r="F21" s="91">
        <v>250</v>
      </c>
      <c r="G21" s="94">
        <f t="shared" si="5"/>
        <v>0.25</v>
      </c>
      <c r="H21" s="92" t="s">
        <v>45</v>
      </c>
      <c r="I21" s="96">
        <f t="shared" si="0"/>
        <v>0.3</v>
      </c>
      <c r="J21" s="96">
        <f t="shared" si="1"/>
        <v>0.7</v>
      </c>
      <c r="K21" s="92">
        <f>VLOOKUP(H21,'Taux émission CO2e'!$A$5:$D$16,4,FALSE)</f>
        <v>0.16</v>
      </c>
      <c r="L21" s="93">
        <f t="shared" si="6"/>
        <v>0.99986400000000009</v>
      </c>
      <c r="M21" s="92">
        <f>VLOOKUP(H21,'Taux émission CO2e'!$A$20:$D$31,4,FALSE)</f>
        <v>6.7400000000000002E-2</v>
      </c>
      <c r="N21" s="105">
        <f t="shared" si="7"/>
        <v>0.98278299000000002</v>
      </c>
      <c r="O21" s="93">
        <f t="shared" si="8"/>
        <v>1.9826469900000001</v>
      </c>
      <c r="P21" s="92">
        <v>100</v>
      </c>
      <c r="Q21" s="92" t="s">
        <v>56</v>
      </c>
      <c r="R21" s="92" t="s">
        <v>72</v>
      </c>
      <c r="S21" s="20">
        <v>83.322000000000003</v>
      </c>
    </row>
    <row r="22" spans="1:19" x14ac:dyDescent="0.15">
      <c r="A22" s="90">
        <v>44218</v>
      </c>
      <c r="B22" s="90" t="str">
        <f t="shared" si="2"/>
        <v>janvier</v>
      </c>
      <c r="C22" s="90" t="str">
        <f t="shared" si="3"/>
        <v>2021</v>
      </c>
      <c r="D22" s="90" t="str">
        <f t="shared" si="4"/>
        <v>janvier2021</v>
      </c>
      <c r="E22" s="91">
        <v>1315161</v>
      </c>
      <c r="F22" s="91">
        <v>250</v>
      </c>
      <c r="G22" s="94">
        <f t="shared" si="5"/>
        <v>0.25</v>
      </c>
      <c r="H22" s="92" t="s">
        <v>45</v>
      </c>
      <c r="I22" s="96">
        <f t="shared" si="0"/>
        <v>0.3</v>
      </c>
      <c r="J22" s="96">
        <f t="shared" si="1"/>
        <v>0.7</v>
      </c>
      <c r="K22" s="92">
        <f>VLOOKUP(H22,'Taux émission CO2e'!$A$5:$D$16,4,FALSE)</f>
        <v>0.16</v>
      </c>
      <c r="L22" s="93">
        <f t="shared" si="6"/>
        <v>6.0229560000000006</v>
      </c>
      <c r="M22" s="92">
        <f>VLOOKUP(H22,'Taux émission CO2e'!$A$20:$D$31,4,FALSE)</f>
        <v>6.7400000000000002E-2</v>
      </c>
      <c r="N22" s="105">
        <f t="shared" si="7"/>
        <v>5.9200638349999997</v>
      </c>
      <c r="O22" s="93">
        <f t="shared" si="8"/>
        <v>11.943019835000001</v>
      </c>
      <c r="P22" s="92">
        <v>220</v>
      </c>
      <c r="Q22" s="92" t="s">
        <v>56</v>
      </c>
      <c r="R22" s="92" t="s">
        <v>57</v>
      </c>
      <c r="S22" s="20">
        <v>501.91300000000001</v>
      </c>
    </row>
    <row r="23" spans="1:19" x14ac:dyDescent="0.15">
      <c r="A23" s="90">
        <v>44218</v>
      </c>
      <c r="B23" s="90" t="str">
        <f t="shared" si="2"/>
        <v>janvier</v>
      </c>
      <c r="C23" s="90" t="str">
        <f t="shared" si="3"/>
        <v>2021</v>
      </c>
      <c r="D23" s="90" t="str">
        <f t="shared" si="4"/>
        <v>janvier2021</v>
      </c>
      <c r="E23" s="91">
        <v>1314879</v>
      </c>
      <c r="F23" s="91">
        <v>200</v>
      </c>
      <c r="G23" s="94">
        <f t="shared" si="5"/>
        <v>0.2</v>
      </c>
      <c r="H23" s="92" t="s">
        <v>32</v>
      </c>
      <c r="I23" s="96">
        <f t="shared" si="0"/>
        <v>1</v>
      </c>
      <c r="J23" s="96">
        <f t="shared" si="1"/>
        <v>0</v>
      </c>
      <c r="K23" s="92">
        <f>VLOOKUP(H23,'Taux émission CO2e'!$A$5:$D$16,4,FALSE)</f>
        <v>6.7400000000000002E-2</v>
      </c>
      <c r="L23" s="93">
        <f t="shared" si="6"/>
        <v>3.5879176800000003</v>
      </c>
      <c r="M23" s="92">
        <f>VLOOKUP(H23,'Taux émission CO2e'!$A$20:$D$31,4,FALSE)</f>
        <v>0</v>
      </c>
      <c r="N23" s="105">
        <f t="shared" si="7"/>
        <v>0</v>
      </c>
      <c r="O23" s="93">
        <f t="shared" si="8"/>
        <v>3.5879176800000003</v>
      </c>
      <c r="P23" s="92">
        <v>600</v>
      </c>
      <c r="Q23" s="92" t="s">
        <v>58</v>
      </c>
      <c r="R23" s="92" t="s">
        <v>53</v>
      </c>
      <c r="S23" s="20">
        <v>266.166</v>
      </c>
    </row>
    <row r="24" spans="1:19" x14ac:dyDescent="0.15">
      <c r="A24" s="90">
        <v>44222</v>
      </c>
      <c r="B24" s="90" t="str">
        <f t="shared" si="2"/>
        <v>janvier</v>
      </c>
      <c r="C24" s="90" t="str">
        <f t="shared" si="3"/>
        <v>2021</v>
      </c>
      <c r="D24" s="90" t="str">
        <f t="shared" si="4"/>
        <v>janvier2021</v>
      </c>
      <c r="E24" s="91">
        <v>1315693</v>
      </c>
      <c r="F24" s="91">
        <v>500</v>
      </c>
      <c r="G24" s="94">
        <f t="shared" si="5"/>
        <v>0.5</v>
      </c>
      <c r="H24" s="92" t="s">
        <v>38</v>
      </c>
      <c r="I24" s="96">
        <f t="shared" si="0"/>
        <v>1</v>
      </c>
      <c r="J24" s="96">
        <f t="shared" si="1"/>
        <v>0</v>
      </c>
      <c r="K24" s="92">
        <f>VLOOKUP(H24,'Taux émission CO2e'!$A$5:$D$16,4,FALSE)</f>
        <v>0.24099999999999999</v>
      </c>
      <c r="L24" s="93">
        <f t="shared" si="6"/>
        <v>6.5987005000000005</v>
      </c>
      <c r="M24" s="92">
        <f>VLOOKUP(H24,'Taux émission CO2e'!$A$20:$D$31,4,FALSE)</f>
        <v>0</v>
      </c>
      <c r="N24" s="105">
        <f t="shared" si="7"/>
        <v>0</v>
      </c>
      <c r="O24" s="93">
        <f t="shared" si="8"/>
        <v>6.5987005000000005</v>
      </c>
      <c r="P24" s="92">
        <v>123</v>
      </c>
      <c r="Q24" s="92" t="s">
        <v>56</v>
      </c>
      <c r="R24" s="92" t="s">
        <v>55</v>
      </c>
      <c r="S24" s="20">
        <v>54.761000000000003</v>
      </c>
    </row>
    <row r="25" spans="1:19" x14ac:dyDescent="0.15">
      <c r="A25" s="90">
        <v>44222</v>
      </c>
      <c r="B25" s="90" t="str">
        <f t="shared" si="2"/>
        <v>janvier</v>
      </c>
      <c r="C25" s="90" t="str">
        <f t="shared" si="3"/>
        <v>2021</v>
      </c>
      <c r="D25" s="90" t="str">
        <f t="shared" si="4"/>
        <v>janvier2021</v>
      </c>
      <c r="E25" s="91">
        <v>1315964</v>
      </c>
      <c r="F25" s="92">
        <v>1000</v>
      </c>
      <c r="G25" s="94">
        <f t="shared" si="5"/>
        <v>1</v>
      </c>
      <c r="H25" s="92" t="s">
        <v>46</v>
      </c>
      <c r="I25" s="96">
        <f t="shared" si="0"/>
        <v>0.3</v>
      </c>
      <c r="J25" s="96">
        <f t="shared" si="1"/>
        <v>0.7</v>
      </c>
      <c r="K25" s="92">
        <f>VLOOKUP(H25,'Taux émission CO2e'!$A$5:$D$16,4,FALSE)</f>
        <v>0.16</v>
      </c>
      <c r="L25" s="93">
        <f t="shared" si="6"/>
        <v>28.416672000000002</v>
      </c>
      <c r="M25" s="92">
        <f>VLOOKUP(H25,'Taux émission CO2e'!$A$20:$D$31,4,FALSE)</f>
        <v>6.7400000000000002E-2</v>
      </c>
      <c r="N25" s="105">
        <f t="shared" si="7"/>
        <v>27.93122052</v>
      </c>
      <c r="O25" s="93">
        <f t="shared" si="8"/>
        <v>56.347892520000002</v>
      </c>
      <c r="P25" s="92">
        <v>269</v>
      </c>
      <c r="Q25" s="92" t="s">
        <v>56</v>
      </c>
      <c r="R25" s="92" t="s">
        <v>65</v>
      </c>
      <c r="S25" s="20">
        <v>592.01400000000001</v>
      </c>
    </row>
    <row r="26" spans="1:19" x14ac:dyDescent="0.15">
      <c r="A26" s="90">
        <v>44223</v>
      </c>
      <c r="B26" s="90" t="str">
        <f t="shared" si="2"/>
        <v>janvier</v>
      </c>
      <c r="C26" s="90" t="str">
        <f t="shared" si="3"/>
        <v>2021</v>
      </c>
      <c r="D26" s="90" t="str">
        <f t="shared" si="4"/>
        <v>janvier2021</v>
      </c>
      <c r="E26" s="91">
        <v>1316628</v>
      </c>
      <c r="F26" s="91">
        <v>225</v>
      </c>
      <c r="G26" s="94">
        <f t="shared" si="5"/>
        <v>0.22500000000000001</v>
      </c>
      <c r="H26" s="92" t="s">
        <v>45</v>
      </c>
      <c r="I26" s="96">
        <f t="shared" si="0"/>
        <v>0.3</v>
      </c>
      <c r="J26" s="96">
        <f t="shared" si="1"/>
        <v>0.7</v>
      </c>
      <c r="K26" s="92">
        <f>VLOOKUP(H26,'Taux émission CO2e'!$A$5:$D$16,4,FALSE)</f>
        <v>0.16</v>
      </c>
      <c r="L26" s="93">
        <f t="shared" si="6"/>
        <v>10.656964800000001</v>
      </c>
      <c r="M26" s="92">
        <f>VLOOKUP(H26,'Taux émission CO2e'!$A$20:$D$31,4,FALSE)</f>
        <v>6.7400000000000002E-2</v>
      </c>
      <c r="N26" s="105">
        <f t="shared" si="7"/>
        <v>10.474908317999999</v>
      </c>
      <c r="O26" s="93">
        <f t="shared" si="8"/>
        <v>21.131873118000001</v>
      </c>
      <c r="P26" s="92">
        <v>175</v>
      </c>
      <c r="Q26" s="92" t="s">
        <v>73</v>
      </c>
      <c r="R26" s="92" t="s">
        <v>53</v>
      </c>
      <c r="S26" s="20">
        <v>986.75599999999997</v>
      </c>
    </row>
    <row r="27" spans="1:19" x14ac:dyDescent="0.15">
      <c r="A27" s="90">
        <v>44223</v>
      </c>
      <c r="B27" s="90" t="str">
        <f t="shared" si="2"/>
        <v>janvier</v>
      </c>
      <c r="C27" s="90" t="str">
        <f t="shared" si="3"/>
        <v>2021</v>
      </c>
      <c r="D27" s="90" t="str">
        <f t="shared" si="4"/>
        <v>janvier2021</v>
      </c>
      <c r="E27" s="91">
        <v>1316391</v>
      </c>
      <c r="F27" s="91">
        <v>450</v>
      </c>
      <c r="G27" s="94">
        <f t="shared" si="5"/>
        <v>0.45</v>
      </c>
      <c r="H27" s="92" t="s">
        <v>46</v>
      </c>
      <c r="I27" s="96">
        <f t="shared" si="0"/>
        <v>0.3</v>
      </c>
      <c r="J27" s="96">
        <f t="shared" si="1"/>
        <v>0.7</v>
      </c>
      <c r="K27" s="92">
        <f>VLOOKUP(H27,'Taux émission CO2e'!$A$5:$D$16,4,FALSE)</f>
        <v>0.16</v>
      </c>
      <c r="L27" s="93">
        <f t="shared" si="6"/>
        <v>17.593675200000003</v>
      </c>
      <c r="M27" s="92">
        <f>VLOOKUP(H27,'Taux émission CO2e'!$A$20:$D$31,4,FALSE)</f>
        <v>6.7400000000000002E-2</v>
      </c>
      <c r="N27" s="105">
        <f t="shared" si="7"/>
        <v>17.293116582</v>
      </c>
      <c r="O27" s="93">
        <f t="shared" si="8"/>
        <v>34.886791782000003</v>
      </c>
      <c r="P27" s="92">
        <v>288</v>
      </c>
      <c r="Q27" s="92" t="s">
        <v>62</v>
      </c>
      <c r="R27" s="92" t="s">
        <v>53</v>
      </c>
      <c r="S27" s="20">
        <v>814.52200000000005</v>
      </c>
    </row>
    <row r="28" spans="1:19" x14ac:dyDescent="0.15">
      <c r="A28" s="90">
        <v>44223</v>
      </c>
      <c r="B28" s="90" t="str">
        <f t="shared" si="2"/>
        <v>janvier</v>
      </c>
      <c r="C28" s="90" t="str">
        <f t="shared" si="3"/>
        <v>2021</v>
      </c>
      <c r="D28" s="90" t="str">
        <f t="shared" si="4"/>
        <v>janvier2021</v>
      </c>
      <c r="E28" s="91">
        <v>1315511</v>
      </c>
      <c r="F28" s="92">
        <v>1950</v>
      </c>
      <c r="G28" s="94">
        <f t="shared" si="5"/>
        <v>1.95</v>
      </c>
      <c r="H28" s="92" t="s">
        <v>32</v>
      </c>
      <c r="I28" s="96">
        <f t="shared" si="0"/>
        <v>1</v>
      </c>
      <c r="J28" s="96">
        <f t="shared" si="1"/>
        <v>0</v>
      </c>
      <c r="K28" s="92">
        <f>VLOOKUP(H28,'Taux émission CO2e'!$A$5:$D$16,4,FALSE)</f>
        <v>6.7400000000000002E-2</v>
      </c>
      <c r="L28" s="93">
        <f t="shared" si="6"/>
        <v>17.543933550000002</v>
      </c>
      <c r="M28" s="92">
        <f>VLOOKUP(H28,'Taux émission CO2e'!$A$20:$D$31,4,FALSE)</f>
        <v>0</v>
      </c>
      <c r="N28" s="105">
        <f t="shared" si="7"/>
        <v>0</v>
      </c>
      <c r="O28" s="93">
        <f t="shared" si="8"/>
        <v>17.543933550000002</v>
      </c>
      <c r="P28" s="92">
        <v>350</v>
      </c>
      <c r="Q28" s="92" t="s">
        <v>58</v>
      </c>
      <c r="R28" s="92" t="s">
        <v>72</v>
      </c>
      <c r="S28" s="20">
        <v>133.48500000000001</v>
      </c>
    </row>
    <row r="29" spans="1:19" x14ac:dyDescent="0.15">
      <c r="A29" s="90">
        <v>44223</v>
      </c>
      <c r="B29" s="90" t="str">
        <f t="shared" si="2"/>
        <v>janvier</v>
      </c>
      <c r="C29" s="90" t="str">
        <f t="shared" si="3"/>
        <v>2021</v>
      </c>
      <c r="D29" s="90" t="str">
        <f t="shared" si="4"/>
        <v>janvier2021</v>
      </c>
      <c r="E29" s="91">
        <v>1315510</v>
      </c>
      <c r="F29" s="92">
        <v>4950</v>
      </c>
      <c r="G29" s="94">
        <f t="shared" si="5"/>
        <v>4.95</v>
      </c>
      <c r="H29" s="92" t="s">
        <v>43</v>
      </c>
      <c r="I29" s="96">
        <f t="shared" si="0"/>
        <v>1</v>
      </c>
      <c r="J29" s="96">
        <f t="shared" si="1"/>
        <v>0</v>
      </c>
      <c r="K29" s="92">
        <f>VLOOKUP(H29,'Taux émission CO2e'!$A$5:$D$16,4,FALSE)</f>
        <v>0.16</v>
      </c>
      <c r="L29" s="93">
        <f t="shared" si="6"/>
        <v>105.72012000000002</v>
      </c>
      <c r="M29" s="92">
        <f>VLOOKUP(H29,'Taux émission CO2e'!$A$20:$D$31,4,FALSE)</f>
        <v>0</v>
      </c>
      <c r="N29" s="105">
        <f t="shared" si="7"/>
        <v>0</v>
      </c>
      <c r="O29" s="93">
        <f t="shared" si="8"/>
        <v>105.72012000000002</v>
      </c>
      <c r="P29" s="92">
        <v>518</v>
      </c>
      <c r="Q29" s="92" t="s">
        <v>58</v>
      </c>
      <c r="R29" s="92" t="s">
        <v>72</v>
      </c>
      <c r="S29" s="20">
        <v>133.48500000000001</v>
      </c>
    </row>
    <row r="30" spans="1:19" x14ac:dyDescent="0.15">
      <c r="A30" s="90">
        <v>44224</v>
      </c>
      <c r="B30" s="90" t="str">
        <f t="shared" si="2"/>
        <v>janvier</v>
      </c>
      <c r="C30" s="90" t="str">
        <f t="shared" si="3"/>
        <v>2021</v>
      </c>
      <c r="D30" s="90" t="str">
        <f t="shared" si="4"/>
        <v>janvier2021</v>
      </c>
      <c r="E30" s="91">
        <v>1317054</v>
      </c>
      <c r="F30" s="91">
        <v>250</v>
      </c>
      <c r="G30" s="94">
        <f t="shared" si="5"/>
        <v>0.25</v>
      </c>
      <c r="H30" s="92" t="s">
        <v>38</v>
      </c>
      <c r="I30" s="96">
        <f t="shared" si="0"/>
        <v>1</v>
      </c>
      <c r="J30" s="96">
        <f t="shared" si="1"/>
        <v>0</v>
      </c>
      <c r="K30" s="92">
        <f>VLOOKUP(H30,'Taux émission CO2e'!$A$5:$D$16,4,FALSE)</f>
        <v>0.24099999999999999</v>
      </c>
      <c r="L30" s="93">
        <f t="shared" si="6"/>
        <v>3.2520539999999998</v>
      </c>
      <c r="M30" s="92">
        <f>VLOOKUP(H30,'Taux émission CO2e'!$A$20:$D$31,4,FALSE)</f>
        <v>0</v>
      </c>
      <c r="N30" s="105">
        <f t="shared" si="7"/>
        <v>0</v>
      </c>
      <c r="O30" s="93">
        <f t="shared" si="8"/>
        <v>3.2520539999999998</v>
      </c>
      <c r="P30" s="92">
        <v>98</v>
      </c>
      <c r="Q30" s="92" t="s">
        <v>58</v>
      </c>
      <c r="R30" s="92" t="s">
        <v>63</v>
      </c>
      <c r="S30" s="20">
        <v>53.975999999999999</v>
      </c>
    </row>
    <row r="31" spans="1:19" x14ac:dyDescent="0.15">
      <c r="A31" s="90">
        <v>44224</v>
      </c>
      <c r="B31" s="90" t="str">
        <f t="shared" si="2"/>
        <v>janvier</v>
      </c>
      <c r="C31" s="90" t="str">
        <f t="shared" si="3"/>
        <v>2021</v>
      </c>
      <c r="D31" s="90" t="str">
        <f t="shared" si="4"/>
        <v>janvier2021</v>
      </c>
      <c r="E31" s="91">
        <v>1316891</v>
      </c>
      <c r="F31" s="91">
        <v>450</v>
      </c>
      <c r="G31" s="94">
        <f t="shared" si="5"/>
        <v>0.45</v>
      </c>
      <c r="H31" s="92" t="s">
        <v>45</v>
      </c>
      <c r="I31" s="96">
        <f t="shared" si="0"/>
        <v>0.3</v>
      </c>
      <c r="J31" s="96">
        <f t="shared" si="1"/>
        <v>0.7</v>
      </c>
      <c r="K31" s="92">
        <f>VLOOKUP(H31,'Taux émission CO2e'!$A$5:$D$16,4,FALSE)</f>
        <v>0.16</v>
      </c>
      <c r="L31" s="93">
        <f t="shared" si="6"/>
        <v>11.245219199999999</v>
      </c>
      <c r="M31" s="92">
        <f>VLOOKUP(H31,'Taux émission CO2e'!$A$20:$D$31,4,FALSE)</f>
        <v>6.7400000000000002E-2</v>
      </c>
      <c r="N31" s="105">
        <f t="shared" si="7"/>
        <v>11.053113371999999</v>
      </c>
      <c r="O31" s="93">
        <f t="shared" si="8"/>
        <v>22.298332572</v>
      </c>
      <c r="P31" s="92">
        <v>170</v>
      </c>
      <c r="Q31" s="92" t="s">
        <v>74</v>
      </c>
      <c r="R31" s="92" t="s">
        <v>53</v>
      </c>
      <c r="S31" s="20">
        <v>520.61199999999997</v>
      </c>
    </row>
    <row r="32" spans="1:19" x14ac:dyDescent="0.15">
      <c r="A32" s="90">
        <v>44224</v>
      </c>
      <c r="B32" s="90" t="str">
        <f t="shared" si="2"/>
        <v>janvier</v>
      </c>
      <c r="C32" s="90" t="str">
        <f t="shared" si="3"/>
        <v>2021</v>
      </c>
      <c r="D32" s="90" t="str">
        <f t="shared" si="4"/>
        <v>janvier2021</v>
      </c>
      <c r="E32" s="91">
        <v>1316253</v>
      </c>
      <c r="F32" s="91">
        <v>350</v>
      </c>
      <c r="G32" s="94">
        <f t="shared" si="5"/>
        <v>0.35</v>
      </c>
      <c r="H32" s="92" t="s">
        <v>32</v>
      </c>
      <c r="I32" s="96">
        <f t="shared" si="0"/>
        <v>1</v>
      </c>
      <c r="J32" s="96">
        <f t="shared" si="1"/>
        <v>0</v>
      </c>
      <c r="K32" s="92">
        <f>VLOOKUP(H32,'Taux émission CO2e'!$A$5:$D$16,4,FALSE)</f>
        <v>6.7400000000000002E-2</v>
      </c>
      <c r="L32" s="93">
        <f t="shared" si="6"/>
        <v>5.6137830700000002</v>
      </c>
      <c r="M32" s="92">
        <f>VLOOKUP(H32,'Taux émission CO2e'!$A$20:$D$31,4,FALSE)</f>
        <v>0</v>
      </c>
      <c r="N32" s="105">
        <f t="shared" si="7"/>
        <v>0</v>
      </c>
      <c r="O32" s="93">
        <f t="shared" si="8"/>
        <v>5.6137830700000002</v>
      </c>
      <c r="P32" s="92">
        <v>230</v>
      </c>
      <c r="Q32" s="92" t="s">
        <v>58</v>
      </c>
      <c r="R32" s="92" t="s">
        <v>75</v>
      </c>
      <c r="S32" s="20">
        <v>237.97300000000001</v>
      </c>
    </row>
    <row r="33" spans="1:19" x14ac:dyDescent="0.15">
      <c r="A33" s="90">
        <v>44228</v>
      </c>
      <c r="B33" s="90" t="str">
        <f t="shared" si="2"/>
        <v>février</v>
      </c>
      <c r="C33" s="90" t="str">
        <f t="shared" si="3"/>
        <v>2021</v>
      </c>
      <c r="D33" s="90" t="str">
        <f t="shared" si="4"/>
        <v>février2021</v>
      </c>
      <c r="E33" s="91">
        <v>1318392</v>
      </c>
      <c r="F33" s="91">
        <v>100</v>
      </c>
      <c r="G33" s="94">
        <f t="shared" si="5"/>
        <v>0.1</v>
      </c>
      <c r="H33" s="92" t="s">
        <v>46</v>
      </c>
      <c r="I33" s="96">
        <f t="shared" si="0"/>
        <v>0.3</v>
      </c>
      <c r="J33" s="96">
        <f t="shared" si="1"/>
        <v>0.7</v>
      </c>
      <c r="K33" s="92">
        <f>VLOOKUP(H33,'Taux émission CO2e'!$A$5:$D$16,4,FALSE)</f>
        <v>0.16</v>
      </c>
      <c r="L33" s="93">
        <f t="shared" si="6"/>
        <v>2.4165264</v>
      </c>
      <c r="M33" s="92">
        <f>VLOOKUP(H33,'Taux émission CO2e'!$A$20:$D$31,4,FALSE)</f>
        <v>6.7400000000000002E-2</v>
      </c>
      <c r="N33" s="105">
        <f t="shared" si="7"/>
        <v>2.3752440739999998</v>
      </c>
      <c r="O33" s="93">
        <f t="shared" si="8"/>
        <v>4.7917704739999998</v>
      </c>
      <c r="P33" s="92">
        <v>140</v>
      </c>
      <c r="Q33" s="92" t="s">
        <v>58</v>
      </c>
      <c r="R33" s="92" t="s">
        <v>76</v>
      </c>
      <c r="S33" s="20">
        <v>503.44299999999998</v>
      </c>
    </row>
    <row r="34" spans="1:19" x14ac:dyDescent="0.15">
      <c r="A34" s="90">
        <v>44230</v>
      </c>
      <c r="B34" s="90" t="str">
        <f t="shared" si="2"/>
        <v>février</v>
      </c>
      <c r="C34" s="90" t="str">
        <f t="shared" si="3"/>
        <v>2021</v>
      </c>
      <c r="D34" s="90" t="str">
        <f t="shared" si="4"/>
        <v>février2021</v>
      </c>
      <c r="E34" s="91">
        <v>1319314</v>
      </c>
      <c r="F34" s="91">
        <v>130</v>
      </c>
      <c r="G34" s="94">
        <f t="shared" si="5"/>
        <v>0.13</v>
      </c>
      <c r="H34" s="92" t="s">
        <v>45</v>
      </c>
      <c r="I34" s="96">
        <f t="shared" si="0"/>
        <v>0.3</v>
      </c>
      <c r="J34" s="96">
        <f t="shared" si="1"/>
        <v>0.7</v>
      </c>
      <c r="K34" s="92">
        <f>VLOOKUP(H34,'Taux émission CO2e'!$A$5:$D$16,4,FALSE)</f>
        <v>0.16</v>
      </c>
      <c r="L34" s="93">
        <f t="shared" si="6"/>
        <v>1.6608758400000001</v>
      </c>
      <c r="M34" s="92">
        <f>VLOOKUP(H34,'Taux émission CO2e'!$A$20:$D$31,4,FALSE)</f>
        <v>6.7400000000000002E-2</v>
      </c>
      <c r="N34" s="105">
        <f t="shared" si="7"/>
        <v>1.6325025443999999</v>
      </c>
      <c r="O34" s="93">
        <f t="shared" si="8"/>
        <v>3.2933783844</v>
      </c>
      <c r="P34" s="92">
        <v>92</v>
      </c>
      <c r="Q34" s="92" t="s">
        <v>58</v>
      </c>
      <c r="R34" s="92" t="s">
        <v>53</v>
      </c>
      <c r="S34" s="20">
        <v>266.166</v>
      </c>
    </row>
    <row r="35" spans="1:19" x14ac:dyDescent="0.15">
      <c r="A35" s="90">
        <v>44230</v>
      </c>
      <c r="B35" s="90" t="str">
        <f t="shared" si="2"/>
        <v>février</v>
      </c>
      <c r="C35" s="90" t="str">
        <f t="shared" si="3"/>
        <v>2021</v>
      </c>
      <c r="D35" s="90" t="str">
        <f t="shared" si="4"/>
        <v>février2021</v>
      </c>
      <c r="E35" s="91">
        <v>1319315</v>
      </c>
      <c r="F35" s="91">
        <v>60</v>
      </c>
      <c r="G35" s="94">
        <f t="shared" si="5"/>
        <v>0.06</v>
      </c>
      <c r="H35" s="92" t="s">
        <v>46</v>
      </c>
      <c r="I35" s="96">
        <f t="shared" si="0"/>
        <v>0.3</v>
      </c>
      <c r="J35" s="96">
        <f t="shared" si="1"/>
        <v>0.7</v>
      </c>
      <c r="K35" s="92">
        <f>VLOOKUP(H35,'Taux émission CO2e'!$A$5:$D$16,4,FALSE)</f>
        <v>0.16</v>
      </c>
      <c r="L35" s="93">
        <f t="shared" si="6"/>
        <v>0.73990367999999995</v>
      </c>
      <c r="M35" s="92">
        <f>VLOOKUP(H35,'Taux émission CO2e'!$A$20:$D$31,4,FALSE)</f>
        <v>6.7400000000000002E-2</v>
      </c>
      <c r="N35" s="105">
        <f t="shared" si="7"/>
        <v>0.72726365879999999</v>
      </c>
      <c r="O35" s="93">
        <f t="shared" si="8"/>
        <v>1.4671673387999999</v>
      </c>
      <c r="P35" s="92">
        <v>110</v>
      </c>
      <c r="Q35" s="92" t="s">
        <v>58</v>
      </c>
      <c r="R35" s="92" t="s">
        <v>60</v>
      </c>
      <c r="S35" s="20">
        <v>256.911</v>
      </c>
    </row>
    <row r="36" spans="1:19" x14ac:dyDescent="0.15">
      <c r="A36" s="90">
        <v>44230</v>
      </c>
      <c r="B36" s="90" t="str">
        <f t="shared" si="2"/>
        <v>février</v>
      </c>
      <c r="C36" s="90" t="str">
        <f t="shared" si="3"/>
        <v>2021</v>
      </c>
      <c r="D36" s="90" t="str">
        <f t="shared" si="4"/>
        <v>février2021</v>
      </c>
      <c r="E36" s="91">
        <v>1318700</v>
      </c>
      <c r="F36" s="91">
        <v>120</v>
      </c>
      <c r="G36" s="94">
        <f t="shared" si="5"/>
        <v>0.12</v>
      </c>
      <c r="H36" s="92" t="s">
        <v>46</v>
      </c>
      <c r="I36" s="96">
        <f t="shared" si="0"/>
        <v>0.3</v>
      </c>
      <c r="J36" s="96">
        <f t="shared" si="1"/>
        <v>0.7</v>
      </c>
      <c r="K36" s="92">
        <f>VLOOKUP(H36,'Taux émission CO2e'!$A$5:$D$16,4,FALSE)</f>
        <v>0.16</v>
      </c>
      <c r="L36" s="93">
        <f t="shared" si="6"/>
        <v>1.3444588799999999</v>
      </c>
      <c r="M36" s="92">
        <f>VLOOKUP(H36,'Taux émission CO2e'!$A$20:$D$31,4,FALSE)</f>
        <v>6.7400000000000002E-2</v>
      </c>
      <c r="N36" s="105">
        <f t="shared" si="7"/>
        <v>1.3214910408</v>
      </c>
      <c r="O36" s="93">
        <f t="shared" si="8"/>
        <v>2.6659499208000002</v>
      </c>
      <c r="P36" s="92">
        <v>130</v>
      </c>
      <c r="Q36" s="92" t="s">
        <v>77</v>
      </c>
      <c r="R36" s="92" t="s">
        <v>78</v>
      </c>
      <c r="S36" s="20">
        <v>233.41300000000001</v>
      </c>
    </row>
    <row r="37" spans="1:19" x14ac:dyDescent="0.15">
      <c r="A37" s="90">
        <v>44235</v>
      </c>
      <c r="B37" s="90" t="str">
        <f t="shared" si="2"/>
        <v>février</v>
      </c>
      <c r="C37" s="90" t="str">
        <f t="shared" si="3"/>
        <v>2021</v>
      </c>
      <c r="D37" s="90" t="str">
        <f t="shared" si="4"/>
        <v>février2021</v>
      </c>
      <c r="E37" s="91">
        <v>1320298</v>
      </c>
      <c r="F37" s="91">
        <v>420</v>
      </c>
      <c r="G37" s="94">
        <f t="shared" si="5"/>
        <v>0.42</v>
      </c>
      <c r="H37" s="92" t="s">
        <v>45</v>
      </c>
      <c r="I37" s="96">
        <f t="shared" si="0"/>
        <v>0.3</v>
      </c>
      <c r="J37" s="96">
        <f t="shared" si="1"/>
        <v>0.7</v>
      </c>
      <c r="K37" s="92">
        <f>VLOOKUP(H37,'Taux émission CO2e'!$A$5:$D$16,4,FALSE)</f>
        <v>0.16</v>
      </c>
      <c r="L37" s="93">
        <f t="shared" si="6"/>
        <v>5.0516726400000005</v>
      </c>
      <c r="M37" s="92">
        <f>VLOOKUP(H37,'Taux émission CO2e'!$A$20:$D$31,4,FALSE)</f>
        <v>6.7400000000000002E-2</v>
      </c>
      <c r="N37" s="105">
        <f t="shared" si="7"/>
        <v>4.9653732324000002</v>
      </c>
      <c r="O37" s="93">
        <f t="shared" si="8"/>
        <v>10.017045872400001</v>
      </c>
      <c r="P37" s="92">
        <v>92</v>
      </c>
      <c r="Q37" s="92" t="s">
        <v>58</v>
      </c>
      <c r="R37" s="92" t="s">
        <v>79</v>
      </c>
      <c r="S37" s="20">
        <v>250.57900000000001</v>
      </c>
    </row>
    <row r="38" spans="1:19" x14ac:dyDescent="0.15">
      <c r="A38" s="90">
        <v>44235</v>
      </c>
      <c r="B38" s="90" t="str">
        <f t="shared" si="2"/>
        <v>février</v>
      </c>
      <c r="C38" s="90" t="str">
        <f t="shared" si="3"/>
        <v>2021</v>
      </c>
      <c r="D38" s="90" t="str">
        <f t="shared" si="4"/>
        <v>février2021</v>
      </c>
      <c r="E38" s="91">
        <v>1320301</v>
      </c>
      <c r="F38" s="91">
        <v>420</v>
      </c>
      <c r="G38" s="94">
        <f t="shared" si="5"/>
        <v>0.42</v>
      </c>
      <c r="H38" s="92" t="s">
        <v>45</v>
      </c>
      <c r="I38" s="96">
        <f t="shared" si="0"/>
        <v>0.3</v>
      </c>
      <c r="J38" s="96">
        <f t="shared" si="1"/>
        <v>0.7</v>
      </c>
      <c r="K38" s="92">
        <f>VLOOKUP(H38,'Taux émission CO2e'!$A$5:$D$16,4,FALSE)</f>
        <v>0.16</v>
      </c>
      <c r="L38" s="93">
        <f t="shared" si="6"/>
        <v>5.6588716799999998</v>
      </c>
      <c r="M38" s="92">
        <f>VLOOKUP(H38,'Taux émission CO2e'!$A$20:$D$31,4,FALSE)</f>
        <v>6.7400000000000002E-2</v>
      </c>
      <c r="N38" s="105">
        <f t="shared" si="7"/>
        <v>5.5621992887999996</v>
      </c>
      <c r="O38" s="93">
        <f t="shared" si="8"/>
        <v>11.221070968799999</v>
      </c>
      <c r="P38" s="92">
        <v>100</v>
      </c>
      <c r="Q38" s="92" t="s">
        <v>58</v>
      </c>
      <c r="R38" s="92" t="s">
        <v>80</v>
      </c>
      <c r="S38" s="20">
        <v>280.69799999999998</v>
      </c>
    </row>
    <row r="39" spans="1:19" x14ac:dyDescent="0.15">
      <c r="A39" s="90">
        <v>44235</v>
      </c>
      <c r="B39" s="90" t="str">
        <f t="shared" si="2"/>
        <v>février</v>
      </c>
      <c r="C39" s="90" t="str">
        <f t="shared" si="3"/>
        <v>2021</v>
      </c>
      <c r="D39" s="90" t="str">
        <f t="shared" si="4"/>
        <v>février2021</v>
      </c>
      <c r="E39" s="91">
        <v>1320812</v>
      </c>
      <c r="F39" s="91">
        <v>50</v>
      </c>
      <c r="G39" s="94">
        <f t="shared" si="5"/>
        <v>0.05</v>
      </c>
      <c r="H39" s="92" t="s">
        <v>45</v>
      </c>
      <c r="I39" s="96">
        <f t="shared" si="0"/>
        <v>0.3</v>
      </c>
      <c r="J39" s="96">
        <f t="shared" si="1"/>
        <v>0.7</v>
      </c>
      <c r="K39" s="92">
        <f>VLOOKUP(H39,'Taux émission CO2e'!$A$5:$D$16,4,FALSE)</f>
        <v>0.16</v>
      </c>
      <c r="L39" s="93">
        <f t="shared" si="6"/>
        <v>0.99285120000000004</v>
      </c>
      <c r="M39" s="92">
        <f>VLOOKUP(H39,'Taux émission CO2e'!$A$20:$D$31,4,FALSE)</f>
        <v>6.7400000000000002E-2</v>
      </c>
      <c r="N39" s="105">
        <f t="shared" si="7"/>
        <v>0.97588999199999993</v>
      </c>
      <c r="O39" s="93">
        <f t="shared" si="8"/>
        <v>1.968741192</v>
      </c>
      <c r="P39" s="92">
        <v>102</v>
      </c>
      <c r="Q39" s="92" t="s">
        <v>58</v>
      </c>
      <c r="R39" s="92" t="s">
        <v>81</v>
      </c>
      <c r="S39" s="20">
        <v>413.68799999999999</v>
      </c>
    </row>
    <row r="40" spans="1:19" x14ac:dyDescent="0.15">
      <c r="A40" s="90">
        <v>44235</v>
      </c>
      <c r="B40" s="90" t="str">
        <f t="shared" si="2"/>
        <v>février</v>
      </c>
      <c r="C40" s="90" t="str">
        <f t="shared" si="3"/>
        <v>2021</v>
      </c>
      <c r="D40" s="90" t="str">
        <f t="shared" si="4"/>
        <v>février2021</v>
      </c>
      <c r="E40" s="91">
        <v>1320276</v>
      </c>
      <c r="F40" s="91">
        <v>200</v>
      </c>
      <c r="G40" s="94">
        <f t="shared" si="5"/>
        <v>0.2</v>
      </c>
      <c r="H40" s="92" t="s">
        <v>45</v>
      </c>
      <c r="I40" s="96">
        <f t="shared" si="0"/>
        <v>0.3</v>
      </c>
      <c r="J40" s="96">
        <f t="shared" si="1"/>
        <v>0.7</v>
      </c>
      <c r="K40" s="92">
        <f>VLOOKUP(H40,'Taux émission CO2e'!$A$5:$D$16,4,FALSE)</f>
        <v>0.16</v>
      </c>
      <c r="L40" s="93">
        <f t="shared" si="6"/>
        <v>2.6860704000000002</v>
      </c>
      <c r="M40" s="92">
        <f>VLOOKUP(H40,'Taux émission CO2e'!$A$20:$D$31,4,FALSE)</f>
        <v>6.7400000000000002E-2</v>
      </c>
      <c r="N40" s="105">
        <f t="shared" si="7"/>
        <v>2.6401833639999999</v>
      </c>
      <c r="O40" s="93">
        <f t="shared" si="8"/>
        <v>5.3262537640000005</v>
      </c>
      <c r="P40" s="92">
        <v>105</v>
      </c>
      <c r="Q40" s="92" t="s">
        <v>58</v>
      </c>
      <c r="R40" s="92" t="s">
        <v>70</v>
      </c>
      <c r="S40" s="20">
        <v>279.79899999999998</v>
      </c>
    </row>
    <row r="41" spans="1:19" x14ac:dyDescent="0.15">
      <c r="A41" s="90">
        <v>44235</v>
      </c>
      <c r="B41" s="90" t="str">
        <f t="shared" si="2"/>
        <v>février</v>
      </c>
      <c r="C41" s="90" t="str">
        <f t="shared" si="3"/>
        <v>2021</v>
      </c>
      <c r="D41" s="90" t="str">
        <f t="shared" si="4"/>
        <v>février2021</v>
      </c>
      <c r="E41" s="91">
        <v>1320285</v>
      </c>
      <c r="F41" s="91">
        <v>130</v>
      </c>
      <c r="G41" s="94">
        <f t="shared" si="5"/>
        <v>0.13</v>
      </c>
      <c r="H41" s="92" t="s">
        <v>45</v>
      </c>
      <c r="I41" s="96">
        <f t="shared" si="0"/>
        <v>0.3</v>
      </c>
      <c r="J41" s="96">
        <f t="shared" si="1"/>
        <v>0.7</v>
      </c>
      <c r="K41" s="92">
        <f>VLOOKUP(H41,'Taux émission CO2e'!$A$5:$D$16,4,FALSE)</f>
        <v>0.16</v>
      </c>
      <c r="L41" s="93">
        <f t="shared" si="6"/>
        <v>1.6031246400000001</v>
      </c>
      <c r="M41" s="92">
        <f>VLOOKUP(H41,'Taux émission CO2e'!$A$20:$D$31,4,FALSE)</f>
        <v>6.7400000000000002E-2</v>
      </c>
      <c r="N41" s="105">
        <f t="shared" si="7"/>
        <v>1.5757379273999998</v>
      </c>
      <c r="O41" s="93">
        <f t="shared" si="8"/>
        <v>3.1788625673999999</v>
      </c>
      <c r="P41" s="92">
        <v>110</v>
      </c>
      <c r="Q41" s="92" t="s">
        <v>58</v>
      </c>
      <c r="R41" s="92" t="s">
        <v>60</v>
      </c>
      <c r="S41" s="20">
        <v>256.911</v>
      </c>
    </row>
    <row r="42" spans="1:19" x14ac:dyDescent="0.15">
      <c r="A42" s="90">
        <v>44235</v>
      </c>
      <c r="B42" s="90" t="str">
        <f t="shared" si="2"/>
        <v>février</v>
      </c>
      <c r="C42" s="90" t="str">
        <f t="shared" si="3"/>
        <v>2021</v>
      </c>
      <c r="D42" s="90" t="str">
        <f t="shared" si="4"/>
        <v>février2021</v>
      </c>
      <c r="E42" s="91">
        <v>1320287</v>
      </c>
      <c r="F42" s="91">
        <v>330</v>
      </c>
      <c r="G42" s="94">
        <f t="shared" si="5"/>
        <v>0.33</v>
      </c>
      <c r="H42" s="92" t="s">
        <v>45</v>
      </c>
      <c r="I42" s="96">
        <f t="shared" si="0"/>
        <v>0.3</v>
      </c>
      <c r="J42" s="96">
        <f t="shared" si="1"/>
        <v>0.7</v>
      </c>
      <c r="K42" s="92">
        <f>VLOOKUP(H42,'Taux émission CO2e'!$A$5:$D$16,4,FALSE)</f>
        <v>0.16</v>
      </c>
      <c r="L42" s="93">
        <f t="shared" si="6"/>
        <v>3.9409444799999997</v>
      </c>
      <c r="M42" s="92">
        <f>VLOOKUP(H42,'Taux émission CO2e'!$A$20:$D$31,4,FALSE)</f>
        <v>6.7400000000000002E-2</v>
      </c>
      <c r="N42" s="105">
        <f t="shared" si="7"/>
        <v>3.8736200117999999</v>
      </c>
      <c r="O42" s="93">
        <f t="shared" si="8"/>
        <v>7.8145644917999997</v>
      </c>
      <c r="P42" s="92">
        <v>120</v>
      </c>
      <c r="Q42" s="92" t="s">
        <v>58</v>
      </c>
      <c r="R42" s="92" t="s">
        <v>82</v>
      </c>
      <c r="S42" s="20">
        <v>248.797</v>
      </c>
    </row>
    <row r="43" spans="1:19" x14ac:dyDescent="0.15">
      <c r="A43" s="90">
        <v>44235</v>
      </c>
      <c r="B43" s="90" t="str">
        <f t="shared" si="2"/>
        <v>février</v>
      </c>
      <c r="C43" s="90" t="str">
        <f t="shared" si="3"/>
        <v>2021</v>
      </c>
      <c r="D43" s="90" t="str">
        <f t="shared" si="4"/>
        <v>février2021</v>
      </c>
      <c r="E43" s="91">
        <v>1320292</v>
      </c>
      <c r="F43" s="91">
        <v>380</v>
      </c>
      <c r="G43" s="94">
        <f t="shared" si="5"/>
        <v>0.38</v>
      </c>
      <c r="H43" s="92" t="s">
        <v>45</v>
      </c>
      <c r="I43" s="96">
        <f t="shared" si="0"/>
        <v>0.3</v>
      </c>
      <c r="J43" s="96">
        <f t="shared" si="1"/>
        <v>0.7</v>
      </c>
      <c r="K43" s="92">
        <f>VLOOKUP(H43,'Taux émission CO2e'!$A$5:$D$16,4,FALSE)</f>
        <v>0.16</v>
      </c>
      <c r="L43" s="93">
        <f t="shared" si="6"/>
        <v>6.9394991999999993</v>
      </c>
      <c r="M43" s="92">
        <f>VLOOKUP(H43,'Taux émission CO2e'!$A$20:$D$31,4,FALSE)</f>
        <v>6.7400000000000002E-2</v>
      </c>
      <c r="N43" s="105">
        <f t="shared" si="7"/>
        <v>6.820949422</v>
      </c>
      <c r="O43" s="93">
        <f t="shared" si="8"/>
        <v>13.760448621999998</v>
      </c>
      <c r="P43" s="92">
        <v>121</v>
      </c>
      <c r="Q43" s="92" t="s">
        <v>58</v>
      </c>
      <c r="R43" s="92" t="s">
        <v>83</v>
      </c>
      <c r="S43" s="20">
        <v>380.45499999999998</v>
      </c>
    </row>
    <row r="44" spans="1:19" x14ac:dyDescent="0.15">
      <c r="A44" s="90">
        <v>44235</v>
      </c>
      <c r="B44" s="90" t="str">
        <f t="shared" si="2"/>
        <v>février</v>
      </c>
      <c r="C44" s="90" t="str">
        <f t="shared" si="3"/>
        <v>2021</v>
      </c>
      <c r="D44" s="90" t="str">
        <f t="shared" si="4"/>
        <v>février2021</v>
      </c>
      <c r="E44" s="91">
        <v>1320290</v>
      </c>
      <c r="F44" s="91">
        <v>370</v>
      </c>
      <c r="G44" s="94">
        <f t="shared" si="5"/>
        <v>0.37</v>
      </c>
      <c r="H44" s="92" t="s">
        <v>46</v>
      </c>
      <c r="I44" s="96">
        <f t="shared" si="0"/>
        <v>0.3</v>
      </c>
      <c r="J44" s="96">
        <f t="shared" si="1"/>
        <v>0.7</v>
      </c>
      <c r="K44" s="92">
        <f>VLOOKUP(H44,'Taux émission CO2e'!$A$5:$D$16,4,FALSE)</f>
        <v>0.16</v>
      </c>
      <c r="L44" s="93">
        <f t="shared" si="6"/>
        <v>9.6113567999999994</v>
      </c>
      <c r="M44" s="92">
        <f>VLOOKUP(H44,'Taux émission CO2e'!$A$20:$D$31,4,FALSE)</f>
        <v>6.7400000000000002E-2</v>
      </c>
      <c r="N44" s="105">
        <f t="shared" si="7"/>
        <v>9.4471627879999982</v>
      </c>
      <c r="O44" s="93">
        <f t="shared" si="8"/>
        <v>19.058519587999996</v>
      </c>
      <c r="P44" s="92">
        <v>123</v>
      </c>
      <c r="Q44" s="92" t="s">
        <v>58</v>
      </c>
      <c r="R44" s="92" t="s">
        <v>65</v>
      </c>
      <c r="S44" s="20">
        <v>541.17999999999995</v>
      </c>
    </row>
    <row r="45" spans="1:19" x14ac:dyDescent="0.15">
      <c r="A45" s="90">
        <v>44235</v>
      </c>
      <c r="B45" s="90" t="str">
        <f t="shared" si="2"/>
        <v>février</v>
      </c>
      <c r="C45" s="90" t="str">
        <f t="shared" si="3"/>
        <v>2021</v>
      </c>
      <c r="D45" s="90" t="str">
        <f t="shared" si="4"/>
        <v>février2021</v>
      </c>
      <c r="E45" s="91">
        <v>1320281</v>
      </c>
      <c r="F45" s="91">
        <v>420</v>
      </c>
      <c r="G45" s="94">
        <f t="shared" si="5"/>
        <v>0.42</v>
      </c>
      <c r="H45" s="92" t="s">
        <v>46</v>
      </c>
      <c r="I45" s="96">
        <f t="shared" si="0"/>
        <v>0.3</v>
      </c>
      <c r="J45" s="96">
        <f t="shared" si="1"/>
        <v>0.7</v>
      </c>
      <c r="K45" s="92">
        <f>VLOOKUP(H45,'Taux émission CO2e'!$A$5:$D$16,4,FALSE)</f>
        <v>0.16</v>
      </c>
      <c r="L45" s="93">
        <f t="shared" si="6"/>
        <v>10.398487680000001</v>
      </c>
      <c r="M45" s="92">
        <f>VLOOKUP(H45,'Taux émission CO2e'!$A$20:$D$31,4,FALSE)</f>
        <v>6.7400000000000002E-2</v>
      </c>
      <c r="N45" s="105">
        <f t="shared" si="7"/>
        <v>10.220846848799999</v>
      </c>
      <c r="O45" s="93">
        <f t="shared" si="8"/>
        <v>20.6193345288</v>
      </c>
      <c r="P45" s="92">
        <v>140</v>
      </c>
      <c r="Q45" s="92" t="s">
        <v>58</v>
      </c>
      <c r="R45" s="92" t="s">
        <v>57</v>
      </c>
      <c r="S45" s="20">
        <v>515.798</v>
      </c>
    </row>
    <row r="46" spans="1:19" x14ac:dyDescent="0.15">
      <c r="A46" s="90">
        <v>44235</v>
      </c>
      <c r="B46" s="90" t="str">
        <f t="shared" si="2"/>
        <v>février</v>
      </c>
      <c r="C46" s="90" t="str">
        <f t="shared" si="3"/>
        <v>2021</v>
      </c>
      <c r="D46" s="90" t="str">
        <f t="shared" si="4"/>
        <v>février2021</v>
      </c>
      <c r="E46" s="91">
        <v>1320294</v>
      </c>
      <c r="F46" s="91">
        <v>420</v>
      </c>
      <c r="G46" s="94">
        <f t="shared" si="5"/>
        <v>0.42</v>
      </c>
      <c r="H46" s="92" t="s">
        <v>46</v>
      </c>
      <c r="I46" s="96">
        <f t="shared" si="0"/>
        <v>0.3</v>
      </c>
      <c r="J46" s="96">
        <f t="shared" si="1"/>
        <v>0.7</v>
      </c>
      <c r="K46" s="92">
        <f>VLOOKUP(H46,'Taux émission CO2e'!$A$5:$D$16,4,FALSE)</f>
        <v>0.16</v>
      </c>
      <c r="L46" s="93">
        <f t="shared" si="6"/>
        <v>16.882246080000002</v>
      </c>
      <c r="M46" s="92">
        <f>VLOOKUP(H46,'Taux émission CO2e'!$A$20:$D$31,4,FALSE)</f>
        <v>6.7400000000000002E-2</v>
      </c>
      <c r="N46" s="105">
        <f t="shared" si="7"/>
        <v>16.593841042800001</v>
      </c>
      <c r="O46" s="93">
        <f t="shared" si="8"/>
        <v>33.476087122800003</v>
      </c>
      <c r="P46" s="92">
        <v>147</v>
      </c>
      <c r="Q46" s="92" t="s">
        <v>58</v>
      </c>
      <c r="R46" s="92" t="s">
        <v>61</v>
      </c>
      <c r="S46" s="20">
        <v>837.41300000000001</v>
      </c>
    </row>
    <row r="47" spans="1:19" x14ac:dyDescent="0.15">
      <c r="A47" s="90">
        <v>44235</v>
      </c>
      <c r="B47" s="90" t="str">
        <f t="shared" si="2"/>
        <v>février</v>
      </c>
      <c r="C47" s="90" t="str">
        <f t="shared" si="3"/>
        <v>2021</v>
      </c>
      <c r="D47" s="90" t="str">
        <f t="shared" si="4"/>
        <v>février2021</v>
      </c>
      <c r="E47" s="91">
        <v>1320347</v>
      </c>
      <c r="F47" s="91">
        <v>60</v>
      </c>
      <c r="G47" s="94">
        <f t="shared" si="5"/>
        <v>0.06</v>
      </c>
      <c r="H47" s="92" t="s">
        <v>32</v>
      </c>
      <c r="I47" s="96">
        <f t="shared" si="0"/>
        <v>1</v>
      </c>
      <c r="J47" s="96">
        <f t="shared" si="1"/>
        <v>0</v>
      </c>
      <c r="K47" s="92">
        <f>VLOOKUP(H47,'Taux émission CO2e'!$A$5:$D$16,4,FALSE)</f>
        <v>6.7400000000000002E-2</v>
      </c>
      <c r="L47" s="93">
        <f t="shared" si="6"/>
        <v>0.30228495599999999</v>
      </c>
      <c r="M47" s="92">
        <f>VLOOKUP(H47,'Taux émission CO2e'!$A$20:$D$31,4,FALSE)</f>
        <v>0</v>
      </c>
      <c r="N47" s="105">
        <f t="shared" si="7"/>
        <v>0</v>
      </c>
      <c r="O47" s="93">
        <f t="shared" si="8"/>
        <v>0.30228495599999999</v>
      </c>
      <c r="P47" s="92">
        <v>154</v>
      </c>
      <c r="Q47" s="92" t="s">
        <v>58</v>
      </c>
      <c r="R47" s="92" t="s">
        <v>84</v>
      </c>
      <c r="S47" s="20">
        <v>74.748999999999995</v>
      </c>
    </row>
    <row r="48" spans="1:19" x14ac:dyDescent="0.15">
      <c r="A48" s="90">
        <v>44235</v>
      </c>
      <c r="B48" s="90" t="str">
        <f t="shared" si="2"/>
        <v>février</v>
      </c>
      <c r="C48" s="90" t="str">
        <f t="shared" si="3"/>
        <v>2021</v>
      </c>
      <c r="D48" s="90" t="str">
        <f t="shared" si="4"/>
        <v>février2021</v>
      </c>
      <c r="E48" s="91">
        <v>1320762</v>
      </c>
      <c r="F48" s="91">
        <v>250</v>
      </c>
      <c r="G48" s="94">
        <f t="shared" si="5"/>
        <v>0.25</v>
      </c>
      <c r="H48" s="92" t="s">
        <v>45</v>
      </c>
      <c r="I48" s="96">
        <f t="shared" si="0"/>
        <v>0.3</v>
      </c>
      <c r="J48" s="96">
        <f t="shared" si="1"/>
        <v>0.7</v>
      </c>
      <c r="K48" s="92">
        <f>VLOOKUP(H48,'Taux émission CO2e'!$A$5:$D$16,4,FALSE)</f>
        <v>0.16</v>
      </c>
      <c r="L48" s="93">
        <f t="shared" si="6"/>
        <v>9.2917439999999996</v>
      </c>
      <c r="M48" s="92">
        <f>VLOOKUP(H48,'Taux émission CO2e'!$A$20:$D$31,4,FALSE)</f>
        <v>6.7400000000000002E-2</v>
      </c>
      <c r="N48" s="105">
        <f t="shared" si="7"/>
        <v>9.1330100400000003</v>
      </c>
      <c r="O48" s="93">
        <f t="shared" si="8"/>
        <v>18.42475404</v>
      </c>
      <c r="P48" s="92">
        <v>293</v>
      </c>
      <c r="Q48" s="92" t="s">
        <v>56</v>
      </c>
      <c r="R48" s="92" t="s">
        <v>85</v>
      </c>
      <c r="S48" s="20">
        <v>774.31200000000001</v>
      </c>
    </row>
    <row r="49" spans="1:19" x14ac:dyDescent="0.15">
      <c r="A49" s="90">
        <v>44236</v>
      </c>
      <c r="B49" s="90" t="str">
        <f t="shared" si="2"/>
        <v>février</v>
      </c>
      <c r="C49" s="90" t="str">
        <f t="shared" si="3"/>
        <v>2021</v>
      </c>
      <c r="D49" s="90" t="str">
        <f t="shared" si="4"/>
        <v>février2021</v>
      </c>
      <c r="E49" s="91">
        <v>1320752</v>
      </c>
      <c r="F49" s="91">
        <v>250</v>
      </c>
      <c r="G49" s="94">
        <f t="shared" si="5"/>
        <v>0.25</v>
      </c>
      <c r="H49" s="92" t="s">
        <v>45</v>
      </c>
      <c r="I49" s="96">
        <f t="shared" si="0"/>
        <v>0.3</v>
      </c>
      <c r="J49" s="96">
        <f t="shared" si="1"/>
        <v>0.7</v>
      </c>
      <c r="K49" s="92">
        <f>VLOOKUP(H49,'Taux émission CO2e'!$A$5:$D$16,4,FALSE)</f>
        <v>0.16</v>
      </c>
      <c r="L49" s="93">
        <f t="shared" si="6"/>
        <v>3.9675959999999999</v>
      </c>
      <c r="M49" s="92">
        <f>VLOOKUP(H49,'Taux émission CO2e'!$A$20:$D$31,4,FALSE)</f>
        <v>6.7400000000000002E-2</v>
      </c>
      <c r="N49" s="105">
        <f t="shared" si="7"/>
        <v>3.8998162349999999</v>
      </c>
      <c r="O49" s="93">
        <f t="shared" si="8"/>
        <v>7.8674122349999998</v>
      </c>
      <c r="P49" s="92">
        <v>182</v>
      </c>
      <c r="Q49" s="92" t="s">
        <v>56</v>
      </c>
      <c r="R49" s="92" t="s">
        <v>70</v>
      </c>
      <c r="S49" s="20">
        <v>330.63299999999998</v>
      </c>
    </row>
    <row r="50" spans="1:19" x14ac:dyDescent="0.15">
      <c r="A50" s="90">
        <v>44238</v>
      </c>
      <c r="B50" s="90" t="str">
        <f t="shared" si="2"/>
        <v>février</v>
      </c>
      <c r="C50" s="90" t="str">
        <f t="shared" si="3"/>
        <v>2021</v>
      </c>
      <c r="D50" s="90" t="str">
        <f t="shared" si="4"/>
        <v>février2021</v>
      </c>
      <c r="E50" s="91">
        <v>1322249</v>
      </c>
      <c r="F50" s="91">
        <v>40</v>
      </c>
      <c r="G50" s="94">
        <f t="shared" si="5"/>
        <v>0.04</v>
      </c>
      <c r="H50" s="92" t="s">
        <v>45</v>
      </c>
      <c r="I50" s="96">
        <f t="shared" si="0"/>
        <v>0.3</v>
      </c>
      <c r="J50" s="96">
        <f t="shared" si="1"/>
        <v>0.7</v>
      </c>
      <c r="K50" s="92">
        <f>VLOOKUP(H50,'Taux émission CO2e'!$A$5:$D$16,4,FALSE)</f>
        <v>0.16</v>
      </c>
      <c r="L50" s="93">
        <f t="shared" si="6"/>
        <v>0.99033216000000002</v>
      </c>
      <c r="M50" s="92">
        <f>VLOOKUP(H50,'Taux émission CO2e'!$A$20:$D$31,4,FALSE)</f>
        <v>6.7400000000000002E-2</v>
      </c>
      <c r="N50" s="105">
        <f t="shared" si="7"/>
        <v>0.97341398560000003</v>
      </c>
      <c r="O50" s="93">
        <f t="shared" si="8"/>
        <v>1.9637461456</v>
      </c>
      <c r="P50" s="92">
        <v>140</v>
      </c>
      <c r="Q50" s="92" t="s">
        <v>58</v>
      </c>
      <c r="R50" s="92" t="s">
        <v>57</v>
      </c>
      <c r="S50" s="20">
        <v>515.798</v>
      </c>
    </row>
    <row r="51" spans="1:19" x14ac:dyDescent="0.15">
      <c r="A51" s="90">
        <v>44238</v>
      </c>
      <c r="B51" s="90" t="str">
        <f t="shared" si="2"/>
        <v>février</v>
      </c>
      <c r="C51" s="90" t="str">
        <f t="shared" si="3"/>
        <v>2021</v>
      </c>
      <c r="D51" s="90" t="str">
        <f t="shared" si="4"/>
        <v>février2021</v>
      </c>
      <c r="E51" s="91">
        <v>1322227</v>
      </c>
      <c r="F51" s="91">
        <v>50</v>
      </c>
      <c r="G51" s="94">
        <f t="shared" si="5"/>
        <v>0.05</v>
      </c>
      <c r="H51" s="92" t="s">
        <v>46</v>
      </c>
      <c r="I51" s="96">
        <f t="shared" si="0"/>
        <v>0.3</v>
      </c>
      <c r="J51" s="96">
        <f t="shared" si="1"/>
        <v>0.7</v>
      </c>
      <c r="K51" s="92">
        <f>VLOOKUP(H51,'Taux émission CO2e'!$A$5:$D$16,4,FALSE)</f>
        <v>0.16</v>
      </c>
      <c r="L51" s="93">
        <f t="shared" si="6"/>
        <v>2.0097912</v>
      </c>
      <c r="M51" s="92">
        <f>VLOOKUP(H51,'Taux émission CO2e'!$A$20:$D$31,4,FALSE)</f>
        <v>6.7400000000000002E-2</v>
      </c>
      <c r="N51" s="105">
        <f t="shared" si="7"/>
        <v>1.9754572669999999</v>
      </c>
      <c r="O51" s="93">
        <f t="shared" si="8"/>
        <v>3.9852484669999999</v>
      </c>
      <c r="P51" s="92">
        <v>147</v>
      </c>
      <c r="Q51" s="92" t="s">
        <v>58</v>
      </c>
      <c r="R51" s="92" t="s">
        <v>61</v>
      </c>
      <c r="S51" s="20">
        <v>837.41300000000001</v>
      </c>
    </row>
    <row r="52" spans="1:19" x14ac:dyDescent="0.15">
      <c r="A52" s="90">
        <v>44242</v>
      </c>
      <c r="B52" s="90" t="str">
        <f t="shared" si="2"/>
        <v>février</v>
      </c>
      <c r="C52" s="90" t="str">
        <f t="shared" si="3"/>
        <v>2021</v>
      </c>
      <c r="D52" s="90" t="str">
        <f t="shared" si="4"/>
        <v>février2021</v>
      </c>
      <c r="E52" s="91">
        <v>1323371</v>
      </c>
      <c r="F52" s="91">
        <v>40</v>
      </c>
      <c r="G52" s="94">
        <f t="shared" si="5"/>
        <v>0.04</v>
      </c>
      <c r="H52" s="92" t="s">
        <v>45</v>
      </c>
      <c r="I52" s="96">
        <f t="shared" si="0"/>
        <v>0.3</v>
      </c>
      <c r="J52" s="96">
        <f t="shared" si="1"/>
        <v>0.7</v>
      </c>
      <c r="K52" s="92">
        <f>VLOOKUP(H52,'Taux émission CO2e'!$A$5:$D$16,4,FALSE)</f>
        <v>0.16</v>
      </c>
      <c r="L52" s="93">
        <f t="shared" si="6"/>
        <v>0.96661056000000001</v>
      </c>
      <c r="M52" s="92">
        <f>VLOOKUP(H52,'Taux émission CO2e'!$A$20:$D$31,4,FALSE)</f>
        <v>6.7400000000000002E-2</v>
      </c>
      <c r="N52" s="105">
        <f t="shared" si="7"/>
        <v>0.95009762959999999</v>
      </c>
      <c r="O52" s="93">
        <f t="shared" si="8"/>
        <v>1.9167081896</v>
      </c>
      <c r="P52" s="92">
        <v>140</v>
      </c>
      <c r="Q52" s="92" t="s">
        <v>58</v>
      </c>
      <c r="R52" s="92" t="s">
        <v>76</v>
      </c>
      <c r="S52" s="20">
        <v>503.44299999999998</v>
      </c>
    </row>
    <row r="53" spans="1:19" x14ac:dyDescent="0.15">
      <c r="A53" s="90">
        <v>44243</v>
      </c>
      <c r="B53" s="90" t="str">
        <f t="shared" si="2"/>
        <v>février</v>
      </c>
      <c r="C53" s="90" t="str">
        <f t="shared" si="3"/>
        <v>2021</v>
      </c>
      <c r="D53" s="90" t="str">
        <f t="shared" si="4"/>
        <v>février2021</v>
      </c>
      <c r="E53" s="91">
        <v>1323675</v>
      </c>
      <c r="F53" s="91">
        <v>450</v>
      </c>
      <c r="G53" s="94">
        <f t="shared" si="5"/>
        <v>0.45</v>
      </c>
      <c r="H53" s="92" t="s">
        <v>46</v>
      </c>
      <c r="I53" s="96">
        <f t="shared" si="0"/>
        <v>0.3</v>
      </c>
      <c r="J53" s="96">
        <f t="shared" si="1"/>
        <v>0.7</v>
      </c>
      <c r="K53" s="92">
        <f>VLOOKUP(H53,'Taux émission CO2e'!$A$5:$D$16,4,FALSE)</f>
        <v>0.16</v>
      </c>
      <c r="L53" s="93">
        <f t="shared" si="6"/>
        <v>17.593675200000003</v>
      </c>
      <c r="M53" s="92">
        <f>VLOOKUP(H53,'Taux émission CO2e'!$A$20:$D$31,4,FALSE)</f>
        <v>6.7400000000000002E-2</v>
      </c>
      <c r="N53" s="105">
        <f t="shared" si="7"/>
        <v>17.293116582</v>
      </c>
      <c r="O53" s="93">
        <f t="shared" si="8"/>
        <v>34.886791782000003</v>
      </c>
      <c r="P53" s="92">
        <v>340</v>
      </c>
      <c r="Q53" s="92" t="s">
        <v>62</v>
      </c>
      <c r="R53" s="92" t="s">
        <v>53</v>
      </c>
      <c r="S53" s="20">
        <v>814.52200000000005</v>
      </c>
    </row>
    <row r="54" spans="1:19" x14ac:dyDescent="0.15">
      <c r="A54" s="90">
        <v>44244</v>
      </c>
      <c r="B54" s="90" t="str">
        <f t="shared" si="2"/>
        <v>février</v>
      </c>
      <c r="C54" s="90" t="str">
        <f t="shared" si="3"/>
        <v>2021</v>
      </c>
      <c r="D54" s="90" t="str">
        <f t="shared" si="4"/>
        <v>février2021</v>
      </c>
      <c r="E54" s="91">
        <v>1325259</v>
      </c>
      <c r="F54" s="91">
        <v>250</v>
      </c>
      <c r="G54" s="94">
        <f t="shared" si="5"/>
        <v>0.25</v>
      </c>
      <c r="H54" s="92" t="s">
        <v>38</v>
      </c>
      <c r="I54" s="96">
        <f t="shared" si="0"/>
        <v>1</v>
      </c>
      <c r="J54" s="96">
        <f t="shared" si="1"/>
        <v>0</v>
      </c>
      <c r="K54" s="92">
        <f>VLOOKUP(H54,'Taux émission CO2e'!$A$5:$D$16,4,FALSE)</f>
        <v>0.24099999999999999</v>
      </c>
      <c r="L54" s="93">
        <f t="shared" si="6"/>
        <v>3.2520539999999998</v>
      </c>
      <c r="M54" s="92">
        <f>VLOOKUP(H54,'Taux émission CO2e'!$A$20:$D$31,4,FALSE)</f>
        <v>0</v>
      </c>
      <c r="N54" s="105">
        <f t="shared" si="7"/>
        <v>0</v>
      </c>
      <c r="O54" s="93">
        <f t="shared" si="8"/>
        <v>3.2520539999999998</v>
      </c>
      <c r="P54" s="92">
        <v>98</v>
      </c>
      <c r="Q54" s="92" t="s">
        <v>58</v>
      </c>
      <c r="R54" s="92" t="s">
        <v>63</v>
      </c>
      <c r="S54" s="20">
        <v>53.975999999999999</v>
      </c>
    </row>
    <row r="55" spans="1:19" x14ac:dyDescent="0.15">
      <c r="A55" s="90">
        <v>44244</v>
      </c>
      <c r="B55" s="90" t="str">
        <f t="shared" si="2"/>
        <v>février</v>
      </c>
      <c r="C55" s="90" t="str">
        <f t="shared" si="3"/>
        <v>2021</v>
      </c>
      <c r="D55" s="90" t="str">
        <f t="shared" si="4"/>
        <v>février2021</v>
      </c>
      <c r="E55" s="91">
        <v>1325060</v>
      </c>
      <c r="F55" s="91">
        <v>500</v>
      </c>
      <c r="G55" s="94">
        <f t="shared" si="5"/>
        <v>0.5</v>
      </c>
      <c r="H55" s="92" t="s">
        <v>38</v>
      </c>
      <c r="I55" s="96">
        <f t="shared" si="0"/>
        <v>1</v>
      </c>
      <c r="J55" s="96">
        <f t="shared" si="1"/>
        <v>0</v>
      </c>
      <c r="K55" s="92">
        <f>VLOOKUP(H55,'Taux émission CO2e'!$A$5:$D$16,4,FALSE)</f>
        <v>0.24099999999999999</v>
      </c>
      <c r="L55" s="93">
        <f t="shared" si="6"/>
        <v>6.5987005000000005</v>
      </c>
      <c r="M55" s="92">
        <f>VLOOKUP(H55,'Taux émission CO2e'!$A$20:$D$31,4,FALSE)</f>
        <v>0</v>
      </c>
      <c r="N55" s="105">
        <f t="shared" si="7"/>
        <v>0</v>
      </c>
      <c r="O55" s="93">
        <f t="shared" si="8"/>
        <v>6.5987005000000005</v>
      </c>
      <c r="P55" s="92">
        <v>123</v>
      </c>
      <c r="Q55" s="92" t="s">
        <v>56</v>
      </c>
      <c r="R55" s="92" t="s">
        <v>55</v>
      </c>
      <c r="S55" s="20">
        <v>54.761000000000003</v>
      </c>
    </row>
    <row r="56" spans="1:19" x14ac:dyDescent="0.15">
      <c r="A56" s="90">
        <v>44244</v>
      </c>
      <c r="B56" s="90" t="str">
        <f t="shared" si="2"/>
        <v>février</v>
      </c>
      <c r="C56" s="90" t="str">
        <f t="shared" si="3"/>
        <v>2021</v>
      </c>
      <c r="D56" s="90" t="str">
        <f t="shared" si="4"/>
        <v>février2021</v>
      </c>
      <c r="E56" s="91">
        <v>1325048</v>
      </c>
      <c r="F56" s="92">
        <v>1250</v>
      </c>
      <c r="G56" s="94">
        <f t="shared" si="5"/>
        <v>1.25</v>
      </c>
      <c r="H56" s="92" t="s">
        <v>46</v>
      </c>
      <c r="I56" s="96">
        <f t="shared" si="0"/>
        <v>0.3</v>
      </c>
      <c r="J56" s="96">
        <f t="shared" si="1"/>
        <v>0.7</v>
      </c>
      <c r="K56" s="92">
        <f>VLOOKUP(H56,'Taux émission CO2e'!$A$5:$D$16,4,FALSE)</f>
        <v>0.16</v>
      </c>
      <c r="L56" s="93">
        <f t="shared" si="6"/>
        <v>35.52084</v>
      </c>
      <c r="M56" s="92">
        <f>VLOOKUP(H56,'Taux émission CO2e'!$A$20:$D$31,4,FALSE)</f>
        <v>6.7400000000000002E-2</v>
      </c>
      <c r="N56" s="105">
        <f t="shared" si="7"/>
        <v>34.914025649999999</v>
      </c>
      <c r="O56" s="93">
        <f t="shared" si="8"/>
        <v>70.434865650000006</v>
      </c>
      <c r="P56" s="92">
        <v>308</v>
      </c>
      <c r="Q56" s="92" t="s">
        <v>56</v>
      </c>
      <c r="R56" s="92" t="s">
        <v>65</v>
      </c>
      <c r="S56" s="20">
        <v>592.01400000000001</v>
      </c>
    </row>
    <row r="57" spans="1:19" x14ac:dyDescent="0.15">
      <c r="A57" s="90">
        <v>44245</v>
      </c>
      <c r="B57" s="90" t="str">
        <f t="shared" si="2"/>
        <v>février</v>
      </c>
      <c r="C57" s="90" t="str">
        <f t="shared" si="3"/>
        <v>2021</v>
      </c>
      <c r="D57" s="90" t="str">
        <f t="shared" si="4"/>
        <v>février2021</v>
      </c>
      <c r="E57" s="91">
        <v>1326061</v>
      </c>
      <c r="F57" s="91">
        <v>150</v>
      </c>
      <c r="G57" s="94">
        <f t="shared" si="5"/>
        <v>0.15</v>
      </c>
      <c r="H57" s="92" t="s">
        <v>36</v>
      </c>
      <c r="I57" s="96">
        <f t="shared" si="0"/>
        <v>1</v>
      </c>
      <c r="J57" s="96">
        <f t="shared" si="1"/>
        <v>0</v>
      </c>
      <c r="K57" s="92">
        <f>VLOOKUP(H57,'Taux émission CO2e'!$A$5:$D$16,4,FALSE)</f>
        <v>0.378</v>
      </c>
      <c r="L57" s="93">
        <f t="shared" si="6"/>
        <v>4.9932287999999998</v>
      </c>
      <c r="M57" s="92">
        <f>VLOOKUP(H57,'Taux émission CO2e'!$A$20:$D$31,4,FALSE)</f>
        <v>0</v>
      </c>
      <c r="N57" s="105">
        <f t="shared" si="7"/>
        <v>0</v>
      </c>
      <c r="O57" s="93">
        <f t="shared" si="8"/>
        <v>4.9932287999999998</v>
      </c>
      <c r="P57" s="92">
        <v>237.5</v>
      </c>
      <c r="Q57" s="92" t="s">
        <v>58</v>
      </c>
      <c r="R57" s="92" t="s">
        <v>86</v>
      </c>
      <c r="S57" s="20">
        <v>88.063999999999993</v>
      </c>
    </row>
    <row r="58" spans="1:19" x14ac:dyDescent="0.15">
      <c r="A58" s="90">
        <v>44246</v>
      </c>
      <c r="B58" s="90" t="str">
        <f t="shared" si="2"/>
        <v>février</v>
      </c>
      <c r="C58" s="90" t="str">
        <f t="shared" si="3"/>
        <v>2021</v>
      </c>
      <c r="D58" s="90" t="str">
        <f t="shared" si="4"/>
        <v>février2021</v>
      </c>
      <c r="E58" s="91">
        <v>1325782</v>
      </c>
      <c r="F58" s="91">
        <v>868</v>
      </c>
      <c r="G58" s="94">
        <f t="shared" si="5"/>
        <v>0.86799999999999999</v>
      </c>
      <c r="H58" s="92" t="s">
        <v>32</v>
      </c>
      <c r="I58" s="96">
        <f t="shared" si="0"/>
        <v>1</v>
      </c>
      <c r="J58" s="96">
        <f t="shared" si="1"/>
        <v>0</v>
      </c>
      <c r="K58" s="92">
        <f>VLOOKUP(H58,'Taux émission CO2e'!$A$5:$D$16,4,FALSE)</f>
        <v>6.7400000000000002E-2</v>
      </c>
      <c r="L58" s="93">
        <f t="shared" si="6"/>
        <v>31.602551091999995</v>
      </c>
      <c r="M58" s="92">
        <f>VLOOKUP(H58,'Taux émission CO2e'!$A$20:$D$31,4,FALSE)</f>
        <v>0</v>
      </c>
      <c r="N58" s="105">
        <f t="shared" si="7"/>
        <v>0</v>
      </c>
      <c r="O58" s="93">
        <f t="shared" si="8"/>
        <v>31.602551091999995</v>
      </c>
      <c r="P58" s="92">
        <v>358</v>
      </c>
      <c r="Q58" s="92" t="s">
        <v>52</v>
      </c>
      <c r="R58" s="92" t="s">
        <v>53</v>
      </c>
      <c r="S58" s="20">
        <v>540.18499999999995</v>
      </c>
    </row>
    <row r="59" spans="1:19" x14ac:dyDescent="0.15">
      <c r="A59" s="90">
        <v>44249</v>
      </c>
      <c r="B59" s="90" t="str">
        <f t="shared" si="2"/>
        <v>février</v>
      </c>
      <c r="C59" s="90" t="str">
        <f t="shared" si="3"/>
        <v>2021</v>
      </c>
      <c r="D59" s="90" t="str">
        <f t="shared" si="4"/>
        <v>février2021</v>
      </c>
      <c r="E59" s="91">
        <v>1326889</v>
      </c>
      <c r="F59" s="91">
        <v>180</v>
      </c>
      <c r="G59" s="94">
        <f t="shared" si="5"/>
        <v>0.18</v>
      </c>
      <c r="H59" s="92" t="s">
        <v>45</v>
      </c>
      <c r="I59" s="96">
        <f t="shared" si="0"/>
        <v>0.3</v>
      </c>
      <c r="J59" s="96">
        <f t="shared" si="1"/>
        <v>0.7</v>
      </c>
      <c r="K59" s="92">
        <f>VLOOKUP(H59,'Taux émission CO2e'!$A$5:$D$16,4,FALSE)</f>
        <v>0.16</v>
      </c>
      <c r="L59" s="93">
        <f t="shared" si="6"/>
        <v>2.16500256</v>
      </c>
      <c r="M59" s="92">
        <f>VLOOKUP(H59,'Taux émission CO2e'!$A$20:$D$31,4,FALSE)</f>
        <v>6.7400000000000002E-2</v>
      </c>
      <c r="N59" s="105">
        <f t="shared" si="7"/>
        <v>2.1280170995999996</v>
      </c>
      <c r="O59" s="93">
        <f t="shared" si="8"/>
        <v>4.2930196595999996</v>
      </c>
      <c r="P59" s="92">
        <v>92</v>
      </c>
      <c r="Q59" s="92" t="s">
        <v>58</v>
      </c>
      <c r="R59" s="92" t="s">
        <v>79</v>
      </c>
      <c r="S59" s="20">
        <v>250.57900000000001</v>
      </c>
    </row>
    <row r="60" spans="1:19" x14ac:dyDescent="0.15">
      <c r="A60" s="90">
        <v>44249</v>
      </c>
      <c r="B60" s="90" t="str">
        <f t="shared" si="2"/>
        <v>février</v>
      </c>
      <c r="C60" s="90" t="str">
        <f t="shared" si="3"/>
        <v>2021</v>
      </c>
      <c r="D60" s="90" t="str">
        <f t="shared" si="4"/>
        <v>février2021</v>
      </c>
      <c r="E60" s="91">
        <v>1326899</v>
      </c>
      <c r="F60" s="91">
        <v>200</v>
      </c>
      <c r="G60" s="94">
        <f t="shared" si="5"/>
        <v>0.2</v>
      </c>
      <c r="H60" s="92" t="s">
        <v>45</v>
      </c>
      <c r="I60" s="96">
        <f t="shared" si="0"/>
        <v>0.3</v>
      </c>
      <c r="J60" s="96">
        <f t="shared" si="1"/>
        <v>0.7</v>
      </c>
      <c r="K60" s="92">
        <f>VLOOKUP(H60,'Taux émission CO2e'!$A$5:$D$16,4,FALSE)</f>
        <v>0.16</v>
      </c>
      <c r="L60" s="93">
        <f t="shared" si="6"/>
        <v>2.3884512</v>
      </c>
      <c r="M60" s="92">
        <f>VLOOKUP(H60,'Taux émission CO2e'!$A$20:$D$31,4,FALSE)</f>
        <v>6.7400000000000002E-2</v>
      </c>
      <c r="N60" s="105">
        <f t="shared" si="7"/>
        <v>2.3476484919999998</v>
      </c>
      <c r="O60" s="93">
        <f t="shared" si="8"/>
        <v>4.7360996919999998</v>
      </c>
      <c r="P60" s="92">
        <v>92</v>
      </c>
      <c r="Q60" s="92" t="s">
        <v>58</v>
      </c>
      <c r="R60" s="92" t="s">
        <v>82</v>
      </c>
      <c r="S60" s="20">
        <v>248.797</v>
      </c>
    </row>
    <row r="61" spans="1:19" x14ac:dyDescent="0.15">
      <c r="A61" s="90">
        <v>44249</v>
      </c>
      <c r="B61" s="90" t="str">
        <f t="shared" si="2"/>
        <v>février</v>
      </c>
      <c r="C61" s="90" t="str">
        <f t="shared" si="3"/>
        <v>2021</v>
      </c>
      <c r="D61" s="90" t="str">
        <f t="shared" si="4"/>
        <v>février2021</v>
      </c>
      <c r="E61" s="91">
        <v>1326926</v>
      </c>
      <c r="F61" s="91">
        <v>180</v>
      </c>
      <c r="G61" s="94">
        <f t="shared" si="5"/>
        <v>0.18</v>
      </c>
      <c r="H61" s="92" t="s">
        <v>45</v>
      </c>
      <c r="I61" s="96">
        <f t="shared" si="0"/>
        <v>0.3</v>
      </c>
      <c r="J61" s="96">
        <f t="shared" si="1"/>
        <v>0.7</v>
      </c>
      <c r="K61" s="92">
        <f>VLOOKUP(H61,'Taux émission CO2e'!$A$5:$D$16,4,FALSE)</f>
        <v>0.16</v>
      </c>
      <c r="L61" s="93">
        <f t="shared" si="6"/>
        <v>2.4252307200000001</v>
      </c>
      <c r="M61" s="92">
        <f>VLOOKUP(H61,'Taux émission CO2e'!$A$20:$D$31,4,FALSE)</f>
        <v>6.7400000000000002E-2</v>
      </c>
      <c r="N61" s="105">
        <f t="shared" si="7"/>
        <v>2.3837996951999996</v>
      </c>
      <c r="O61" s="93">
        <f t="shared" si="8"/>
        <v>4.8090304151999996</v>
      </c>
      <c r="P61" s="92">
        <v>100</v>
      </c>
      <c r="Q61" s="92" t="s">
        <v>58</v>
      </c>
      <c r="R61" s="92" t="s">
        <v>80</v>
      </c>
      <c r="S61" s="20">
        <v>280.69799999999998</v>
      </c>
    </row>
    <row r="62" spans="1:19" x14ac:dyDescent="0.15">
      <c r="A62" s="90">
        <v>44249</v>
      </c>
      <c r="B62" s="90" t="str">
        <f t="shared" si="2"/>
        <v>février</v>
      </c>
      <c r="C62" s="90" t="str">
        <f t="shared" si="3"/>
        <v>2021</v>
      </c>
      <c r="D62" s="90" t="str">
        <f t="shared" si="4"/>
        <v>février2021</v>
      </c>
      <c r="E62" s="91">
        <v>1326895</v>
      </c>
      <c r="F62" s="91">
        <v>140</v>
      </c>
      <c r="G62" s="94">
        <f t="shared" si="5"/>
        <v>0.14000000000000001</v>
      </c>
      <c r="H62" s="92" t="s">
        <v>45</v>
      </c>
      <c r="I62" s="96">
        <f t="shared" si="0"/>
        <v>0.3</v>
      </c>
      <c r="J62" s="96">
        <f t="shared" si="1"/>
        <v>0.7</v>
      </c>
      <c r="K62" s="92">
        <f>VLOOKUP(H62,'Taux émission CO2e'!$A$5:$D$16,4,FALSE)</f>
        <v>0.16</v>
      </c>
      <c r="L62" s="93">
        <f t="shared" si="6"/>
        <v>2.5566576000000003</v>
      </c>
      <c r="M62" s="92">
        <f>VLOOKUP(H62,'Taux émission CO2e'!$A$20:$D$31,4,FALSE)</f>
        <v>6.7400000000000002E-2</v>
      </c>
      <c r="N62" s="105">
        <f t="shared" si="7"/>
        <v>2.512981366</v>
      </c>
      <c r="O62" s="93">
        <f t="shared" si="8"/>
        <v>5.0696389660000003</v>
      </c>
      <c r="P62" s="92">
        <v>123</v>
      </c>
      <c r="Q62" s="92" t="s">
        <v>58</v>
      </c>
      <c r="R62" s="92" t="s">
        <v>83</v>
      </c>
      <c r="S62" s="20">
        <v>380.45499999999998</v>
      </c>
    </row>
    <row r="63" spans="1:19" x14ac:dyDescent="0.15">
      <c r="A63" s="90">
        <v>44249</v>
      </c>
      <c r="B63" s="90" t="str">
        <f t="shared" si="2"/>
        <v>février</v>
      </c>
      <c r="C63" s="90" t="str">
        <f t="shared" si="3"/>
        <v>2021</v>
      </c>
      <c r="D63" s="90" t="str">
        <f t="shared" si="4"/>
        <v>février2021</v>
      </c>
      <c r="E63" s="91">
        <v>1326918</v>
      </c>
      <c r="F63" s="91">
        <v>140</v>
      </c>
      <c r="G63" s="94">
        <f t="shared" si="5"/>
        <v>0.14000000000000001</v>
      </c>
      <c r="H63" s="92" t="s">
        <v>46</v>
      </c>
      <c r="I63" s="96">
        <f t="shared" si="0"/>
        <v>0.3</v>
      </c>
      <c r="J63" s="96">
        <f t="shared" si="1"/>
        <v>0.7</v>
      </c>
      <c r="K63" s="92">
        <f>VLOOKUP(H63,'Taux émission CO2e'!$A$5:$D$16,4,FALSE)</f>
        <v>0.16</v>
      </c>
      <c r="L63" s="93">
        <f t="shared" si="6"/>
        <v>3.6367296000000002</v>
      </c>
      <c r="M63" s="92">
        <f>VLOOKUP(H63,'Taux émission CO2e'!$A$20:$D$31,4,FALSE)</f>
        <v>6.7400000000000002E-2</v>
      </c>
      <c r="N63" s="105">
        <f t="shared" si="7"/>
        <v>3.5746021359999998</v>
      </c>
      <c r="O63" s="93">
        <f t="shared" si="8"/>
        <v>7.211331736</v>
      </c>
      <c r="P63" s="92">
        <v>123</v>
      </c>
      <c r="Q63" s="92" t="s">
        <v>58</v>
      </c>
      <c r="R63" s="92" t="s">
        <v>65</v>
      </c>
      <c r="S63" s="20">
        <v>541.17999999999995</v>
      </c>
    </row>
    <row r="64" spans="1:19" x14ac:dyDescent="0.15">
      <c r="A64" s="90">
        <v>44249</v>
      </c>
      <c r="B64" s="90" t="str">
        <f t="shared" si="2"/>
        <v>février</v>
      </c>
      <c r="C64" s="90" t="str">
        <f t="shared" si="3"/>
        <v>2021</v>
      </c>
      <c r="D64" s="90" t="str">
        <f t="shared" si="4"/>
        <v>février2021</v>
      </c>
      <c r="E64" s="91">
        <v>1326972</v>
      </c>
      <c r="F64" s="92">
        <v>1000</v>
      </c>
      <c r="G64" s="94">
        <f t="shared" si="5"/>
        <v>1</v>
      </c>
      <c r="H64" s="92" t="s">
        <v>40</v>
      </c>
      <c r="I64" s="96">
        <f t="shared" si="0"/>
        <v>1</v>
      </c>
      <c r="J64" s="96">
        <f t="shared" si="1"/>
        <v>0</v>
      </c>
      <c r="K64" s="92">
        <f>VLOOKUP(H64,'Taux émission CO2e'!$A$5:$D$16,4,FALSE)</f>
        <v>1.1599999999999999</v>
      </c>
      <c r="L64" s="93">
        <f t="shared" si="6"/>
        <v>67.892479999999992</v>
      </c>
      <c r="M64" s="92">
        <f>VLOOKUP(H64,'Taux émission CO2e'!$A$20:$D$31,4,FALSE)</f>
        <v>0</v>
      </c>
      <c r="N64" s="105">
        <f t="shared" si="7"/>
        <v>0</v>
      </c>
      <c r="O64" s="93">
        <f t="shared" si="8"/>
        <v>67.892479999999992</v>
      </c>
      <c r="P64" s="92">
        <v>123</v>
      </c>
      <c r="Q64" s="92" t="s">
        <v>87</v>
      </c>
      <c r="R64" s="92" t="s">
        <v>88</v>
      </c>
      <c r="S64" s="20">
        <v>58.527999999999999</v>
      </c>
    </row>
    <row r="65" spans="1:19" x14ac:dyDescent="0.15">
      <c r="A65" s="90">
        <v>44249</v>
      </c>
      <c r="B65" s="90" t="str">
        <f t="shared" si="2"/>
        <v>février</v>
      </c>
      <c r="C65" s="90" t="str">
        <f t="shared" si="3"/>
        <v>2021</v>
      </c>
      <c r="D65" s="90" t="str">
        <f t="shared" si="4"/>
        <v>février2021</v>
      </c>
      <c r="E65" s="91">
        <v>1326652</v>
      </c>
      <c r="F65" s="91">
        <v>50</v>
      </c>
      <c r="G65" s="94">
        <f t="shared" si="5"/>
        <v>0.05</v>
      </c>
      <c r="H65" s="92" t="s">
        <v>45</v>
      </c>
      <c r="I65" s="96">
        <f t="shared" si="0"/>
        <v>0.3</v>
      </c>
      <c r="J65" s="96">
        <f t="shared" si="1"/>
        <v>0.7</v>
      </c>
      <c r="K65" s="92">
        <f>VLOOKUP(H65,'Taux émission CO2e'!$A$5:$D$16,4,FALSE)</f>
        <v>0.16</v>
      </c>
      <c r="L65" s="93">
        <f t="shared" si="6"/>
        <v>1.2082632</v>
      </c>
      <c r="M65" s="92">
        <f>VLOOKUP(H65,'Taux émission CO2e'!$A$20:$D$31,4,FALSE)</f>
        <v>6.7400000000000002E-2</v>
      </c>
      <c r="N65" s="105">
        <f t="shared" si="7"/>
        <v>1.1876220369999999</v>
      </c>
      <c r="O65" s="93">
        <f t="shared" si="8"/>
        <v>2.3958852369999999</v>
      </c>
      <c r="P65" s="92">
        <v>140</v>
      </c>
      <c r="Q65" s="92" t="s">
        <v>58</v>
      </c>
      <c r="R65" s="92" t="s">
        <v>76</v>
      </c>
      <c r="S65" s="20">
        <v>503.44299999999998</v>
      </c>
    </row>
    <row r="66" spans="1:19" x14ac:dyDescent="0.15">
      <c r="A66" s="90">
        <v>44249</v>
      </c>
      <c r="B66" s="90" t="str">
        <f t="shared" si="2"/>
        <v>février</v>
      </c>
      <c r="C66" s="90" t="str">
        <f t="shared" si="3"/>
        <v>2021</v>
      </c>
      <c r="D66" s="90" t="str">
        <f t="shared" si="4"/>
        <v>février2021</v>
      </c>
      <c r="E66" s="91">
        <v>1326892</v>
      </c>
      <c r="F66" s="91">
        <v>180</v>
      </c>
      <c r="G66" s="94">
        <f t="shared" si="5"/>
        <v>0.18</v>
      </c>
      <c r="H66" s="92" t="s">
        <v>45</v>
      </c>
      <c r="I66" s="96">
        <f t="shared" ref="I66:I129" si="9">VLOOKUP(H66,Segment1,2,FALSE)</f>
        <v>0.3</v>
      </c>
      <c r="J66" s="96">
        <f t="shared" ref="J66:J129" si="10">VLOOKUP(H66,Segment2,2,FALSE)</f>
        <v>0.7</v>
      </c>
      <c r="K66" s="92">
        <f>VLOOKUP(H66,'Taux émission CO2e'!$A$5:$D$16,4,FALSE)</f>
        <v>0.16</v>
      </c>
      <c r="L66" s="93">
        <f t="shared" si="6"/>
        <v>4.4564947200000002</v>
      </c>
      <c r="M66" s="92">
        <f>VLOOKUP(H66,'Taux émission CO2e'!$A$20:$D$31,4,FALSE)</f>
        <v>6.7400000000000002E-2</v>
      </c>
      <c r="N66" s="105">
        <f t="shared" si="7"/>
        <v>4.3803629351999991</v>
      </c>
      <c r="O66" s="93">
        <f t="shared" si="8"/>
        <v>8.8368576551999993</v>
      </c>
      <c r="P66" s="92">
        <v>140</v>
      </c>
      <c r="Q66" s="92" t="s">
        <v>58</v>
      </c>
      <c r="R66" s="92" t="s">
        <v>57</v>
      </c>
      <c r="S66" s="20">
        <v>515.798</v>
      </c>
    </row>
    <row r="67" spans="1:19" x14ac:dyDescent="0.15">
      <c r="A67" s="90">
        <v>44249</v>
      </c>
      <c r="B67" s="90" t="str">
        <f t="shared" ref="B67:B130" si="11">TEXT(A67,"mmmm")</f>
        <v>février</v>
      </c>
      <c r="C67" s="90" t="str">
        <f t="shared" ref="C67:C130" si="12">TEXT(A67,"aaaa")</f>
        <v>2021</v>
      </c>
      <c r="D67" s="90" t="str">
        <f t="shared" ref="D67:D130" si="13">B67&amp;C67</f>
        <v>février2021</v>
      </c>
      <c r="E67" s="91">
        <v>1326923</v>
      </c>
      <c r="F67" s="91">
        <v>180</v>
      </c>
      <c r="G67" s="94">
        <f t="shared" ref="G67:G130" si="14">F67/1000</f>
        <v>0.18</v>
      </c>
      <c r="H67" s="92" t="s">
        <v>46</v>
      </c>
      <c r="I67" s="96">
        <f t="shared" si="9"/>
        <v>0.3</v>
      </c>
      <c r="J67" s="96">
        <f t="shared" si="10"/>
        <v>0.7</v>
      </c>
      <c r="K67" s="92">
        <f>VLOOKUP(H67,'Taux émission CO2e'!$A$5:$D$16,4,FALSE)</f>
        <v>0.16</v>
      </c>
      <c r="L67" s="93">
        <f t="shared" ref="L67:L130" si="15">IFERROR(I67*K67*G67*S67,"0")</f>
        <v>7.2352483200000002</v>
      </c>
      <c r="M67" s="92">
        <f>VLOOKUP(H67,'Taux émission CO2e'!$A$20:$D$31,4,FALSE)</f>
        <v>6.7400000000000002E-2</v>
      </c>
      <c r="N67" s="105">
        <f t="shared" ref="N67:N130" si="16">IFERROR(J67*M67*G67*S67,"0")</f>
        <v>7.1116461611999995</v>
      </c>
      <c r="O67" s="93">
        <f t="shared" ref="O67:O130" si="17">L67+N67</f>
        <v>14.3468944812</v>
      </c>
      <c r="P67" s="92">
        <v>210</v>
      </c>
      <c r="Q67" s="92" t="s">
        <v>58</v>
      </c>
      <c r="R67" s="92" t="s">
        <v>61</v>
      </c>
      <c r="S67" s="20">
        <v>837.41300000000001</v>
      </c>
    </row>
    <row r="68" spans="1:19" x14ac:dyDescent="0.15">
      <c r="A68" s="90">
        <v>44249</v>
      </c>
      <c r="B68" s="90" t="str">
        <f t="shared" si="11"/>
        <v>février</v>
      </c>
      <c r="C68" s="90" t="str">
        <f t="shared" si="12"/>
        <v>2021</v>
      </c>
      <c r="D68" s="90" t="str">
        <f t="shared" si="13"/>
        <v>février2021</v>
      </c>
      <c r="E68" s="91">
        <v>1326518</v>
      </c>
      <c r="F68" s="91">
        <v>250</v>
      </c>
      <c r="G68" s="94">
        <f t="shared" si="14"/>
        <v>0.25</v>
      </c>
      <c r="H68" s="92" t="s">
        <v>45</v>
      </c>
      <c r="I68" s="96">
        <f t="shared" si="9"/>
        <v>0.3</v>
      </c>
      <c r="J68" s="96">
        <f t="shared" si="10"/>
        <v>0.7</v>
      </c>
      <c r="K68" s="92">
        <f>VLOOKUP(H68,'Taux émission CO2e'!$A$5:$D$16,4,FALSE)</f>
        <v>0.16</v>
      </c>
      <c r="L68" s="93">
        <f t="shared" si="15"/>
        <v>6.0229560000000006</v>
      </c>
      <c r="M68" s="92">
        <f>VLOOKUP(H68,'Taux émission CO2e'!$A$20:$D$31,4,FALSE)</f>
        <v>6.7400000000000002E-2</v>
      </c>
      <c r="N68" s="105">
        <f t="shared" si="16"/>
        <v>5.9200638349999997</v>
      </c>
      <c r="O68" s="93">
        <f t="shared" si="17"/>
        <v>11.943019835000001</v>
      </c>
      <c r="P68" s="92">
        <v>332</v>
      </c>
      <c r="Q68" s="92" t="s">
        <v>56</v>
      </c>
      <c r="R68" s="92" t="s">
        <v>57</v>
      </c>
      <c r="S68" s="20">
        <v>501.91300000000001</v>
      </c>
    </row>
    <row r="69" spans="1:19" x14ac:dyDescent="0.15">
      <c r="A69" s="90">
        <v>44250</v>
      </c>
      <c r="B69" s="90" t="str">
        <f t="shared" si="11"/>
        <v>février</v>
      </c>
      <c r="C69" s="90" t="str">
        <f t="shared" si="12"/>
        <v>2021</v>
      </c>
      <c r="D69" s="90" t="str">
        <f t="shared" si="13"/>
        <v>février2021</v>
      </c>
      <c r="E69" s="91">
        <v>1326081</v>
      </c>
      <c r="F69" s="91">
        <v>440</v>
      </c>
      <c r="G69" s="94">
        <f t="shared" si="14"/>
        <v>0.44</v>
      </c>
      <c r="H69" s="92" t="s">
        <v>45</v>
      </c>
      <c r="I69" s="96">
        <f t="shared" si="9"/>
        <v>0.3</v>
      </c>
      <c r="J69" s="96">
        <f t="shared" si="10"/>
        <v>0.7</v>
      </c>
      <c r="K69" s="92">
        <f>VLOOKUP(H69,'Taux émission CO2e'!$A$5:$D$16,4,FALSE)</f>
        <v>0.16</v>
      </c>
      <c r="L69" s="93">
        <f t="shared" si="15"/>
        <v>5.2989657599999997</v>
      </c>
      <c r="M69" s="92">
        <f>VLOOKUP(H69,'Taux émission CO2e'!$A$20:$D$31,4,FALSE)</f>
        <v>6.7400000000000002E-2</v>
      </c>
      <c r="N69" s="105">
        <f t="shared" si="16"/>
        <v>5.2084417615999996</v>
      </c>
      <c r="O69" s="93">
        <f t="shared" si="17"/>
        <v>10.507407521599999</v>
      </c>
      <c r="P69" s="92">
        <v>140</v>
      </c>
      <c r="Q69" s="92" t="s">
        <v>67</v>
      </c>
      <c r="R69" s="92" t="s">
        <v>53</v>
      </c>
      <c r="S69" s="20">
        <v>250.898</v>
      </c>
    </row>
    <row r="70" spans="1:19" x14ac:dyDescent="0.15">
      <c r="A70" s="90">
        <v>44252</v>
      </c>
      <c r="B70" s="90" t="str">
        <f t="shared" si="11"/>
        <v>février</v>
      </c>
      <c r="C70" s="90" t="str">
        <f t="shared" si="12"/>
        <v>2021</v>
      </c>
      <c r="D70" s="90" t="str">
        <f t="shared" si="13"/>
        <v>février2021</v>
      </c>
      <c r="E70" s="91">
        <v>1331245</v>
      </c>
      <c r="F70" s="91">
        <v>70</v>
      </c>
      <c r="G70" s="94">
        <f t="shared" si="14"/>
        <v>7.0000000000000007E-2</v>
      </c>
      <c r="H70" s="92" t="s">
        <v>32</v>
      </c>
      <c r="I70" s="96">
        <f t="shared" si="9"/>
        <v>1</v>
      </c>
      <c r="J70" s="96">
        <f t="shared" si="10"/>
        <v>0</v>
      </c>
      <c r="K70" s="92">
        <f>VLOOKUP(H70,'Taux émission CO2e'!$A$5:$D$16,4,FALSE)</f>
        <v>6.7400000000000002E-2</v>
      </c>
      <c r="L70" s="93">
        <f t="shared" si="15"/>
        <v>0.35266578200000004</v>
      </c>
      <c r="M70" s="92">
        <f>VLOOKUP(H70,'Taux émission CO2e'!$A$20:$D$31,4,FALSE)</f>
        <v>0</v>
      </c>
      <c r="N70" s="105">
        <f t="shared" si="16"/>
        <v>0</v>
      </c>
      <c r="O70" s="93">
        <f t="shared" si="17"/>
        <v>0.35266578200000004</v>
      </c>
      <c r="P70" s="92">
        <v>154</v>
      </c>
      <c r="Q70" s="92" t="s">
        <v>58</v>
      </c>
      <c r="R70" s="92" t="s">
        <v>84</v>
      </c>
      <c r="S70" s="20">
        <v>74.748999999999995</v>
      </c>
    </row>
    <row r="71" spans="1:19" x14ac:dyDescent="0.15">
      <c r="A71" s="90">
        <v>44253</v>
      </c>
      <c r="B71" s="90" t="str">
        <f t="shared" si="11"/>
        <v>février</v>
      </c>
      <c r="C71" s="90" t="str">
        <f t="shared" si="12"/>
        <v>2021</v>
      </c>
      <c r="D71" s="90" t="str">
        <f t="shared" si="13"/>
        <v>février2021</v>
      </c>
      <c r="E71" s="91">
        <v>1331948</v>
      </c>
      <c r="F71" s="91">
        <v>160</v>
      </c>
      <c r="G71" s="94">
        <f t="shared" si="14"/>
        <v>0.16</v>
      </c>
      <c r="H71" s="92" t="s">
        <v>45</v>
      </c>
      <c r="I71" s="96">
        <f t="shared" si="9"/>
        <v>0.3</v>
      </c>
      <c r="J71" s="96">
        <f t="shared" si="10"/>
        <v>0.7</v>
      </c>
      <c r="K71" s="92">
        <f>VLOOKUP(H71,'Taux émission CO2e'!$A$5:$D$16,4,FALSE)</f>
        <v>0.16</v>
      </c>
      <c r="L71" s="93">
        <f t="shared" si="15"/>
        <v>1.91076096</v>
      </c>
      <c r="M71" s="92">
        <f>VLOOKUP(H71,'Taux émission CO2e'!$A$20:$D$31,4,FALSE)</f>
        <v>6.7400000000000002E-2</v>
      </c>
      <c r="N71" s="105">
        <f t="shared" si="16"/>
        <v>1.8781187936000001</v>
      </c>
      <c r="O71" s="93">
        <f t="shared" si="17"/>
        <v>3.7888797535999998</v>
      </c>
      <c r="P71" s="92">
        <v>92</v>
      </c>
      <c r="Q71" s="92" t="s">
        <v>58</v>
      </c>
      <c r="R71" s="92" t="s">
        <v>82</v>
      </c>
      <c r="S71" s="20">
        <v>248.797</v>
      </c>
    </row>
    <row r="72" spans="1:19" x14ac:dyDescent="0.15">
      <c r="A72" s="90">
        <v>44253</v>
      </c>
      <c r="B72" s="90" t="str">
        <f t="shared" si="11"/>
        <v>février</v>
      </c>
      <c r="C72" s="90" t="str">
        <f t="shared" si="12"/>
        <v>2021</v>
      </c>
      <c r="D72" s="90" t="str">
        <f t="shared" si="13"/>
        <v>février2021</v>
      </c>
      <c r="E72" s="91">
        <v>1331950</v>
      </c>
      <c r="F72" s="91">
        <v>180</v>
      </c>
      <c r="G72" s="94">
        <f t="shared" si="14"/>
        <v>0.18</v>
      </c>
      <c r="H72" s="92" t="s">
        <v>45</v>
      </c>
      <c r="I72" s="96">
        <f t="shared" si="9"/>
        <v>0.3</v>
      </c>
      <c r="J72" s="96">
        <f t="shared" si="10"/>
        <v>0.7</v>
      </c>
      <c r="K72" s="92">
        <f>VLOOKUP(H72,'Taux émission CO2e'!$A$5:$D$16,4,FALSE)</f>
        <v>0.16</v>
      </c>
      <c r="L72" s="93">
        <f t="shared" si="15"/>
        <v>2.4174633599999997</v>
      </c>
      <c r="M72" s="92">
        <f>VLOOKUP(H72,'Taux émission CO2e'!$A$20:$D$31,4,FALSE)</f>
        <v>6.7400000000000002E-2</v>
      </c>
      <c r="N72" s="105">
        <f t="shared" si="16"/>
        <v>2.3761650275999995</v>
      </c>
      <c r="O72" s="93">
        <f t="shared" si="17"/>
        <v>4.7936283875999992</v>
      </c>
      <c r="P72" s="92">
        <v>105</v>
      </c>
      <c r="Q72" s="92" t="s">
        <v>58</v>
      </c>
      <c r="R72" s="92" t="s">
        <v>70</v>
      </c>
      <c r="S72" s="20">
        <v>279.79899999999998</v>
      </c>
    </row>
    <row r="73" spans="1:19" x14ac:dyDescent="0.15">
      <c r="A73" s="90">
        <v>44253</v>
      </c>
      <c r="B73" s="90" t="str">
        <f t="shared" si="11"/>
        <v>février</v>
      </c>
      <c r="C73" s="90" t="str">
        <f t="shared" si="12"/>
        <v>2021</v>
      </c>
      <c r="D73" s="90" t="str">
        <f t="shared" si="13"/>
        <v>février2021</v>
      </c>
      <c r="E73" s="91">
        <v>1331949</v>
      </c>
      <c r="F73" s="91">
        <v>140</v>
      </c>
      <c r="G73" s="94">
        <f t="shared" si="14"/>
        <v>0.14000000000000001</v>
      </c>
      <c r="H73" s="92" t="s">
        <v>45</v>
      </c>
      <c r="I73" s="96">
        <f t="shared" si="9"/>
        <v>0.3</v>
      </c>
      <c r="J73" s="96">
        <f t="shared" si="10"/>
        <v>0.7</v>
      </c>
      <c r="K73" s="92">
        <f>VLOOKUP(H73,'Taux émission CO2e'!$A$5:$D$16,4,FALSE)</f>
        <v>0.16</v>
      </c>
      <c r="L73" s="93">
        <f t="shared" si="15"/>
        <v>1.7264419200000003</v>
      </c>
      <c r="M73" s="92">
        <f>VLOOKUP(H73,'Taux émission CO2e'!$A$20:$D$31,4,FALSE)</f>
        <v>6.7400000000000002E-2</v>
      </c>
      <c r="N73" s="105">
        <f t="shared" si="16"/>
        <v>1.6969485372000002</v>
      </c>
      <c r="O73" s="93">
        <f t="shared" si="17"/>
        <v>3.4233904572000005</v>
      </c>
      <c r="P73" s="92">
        <v>110</v>
      </c>
      <c r="Q73" s="92" t="s">
        <v>58</v>
      </c>
      <c r="R73" s="92" t="s">
        <v>60</v>
      </c>
      <c r="S73" s="20">
        <v>256.911</v>
      </c>
    </row>
    <row r="74" spans="1:19" x14ac:dyDescent="0.15">
      <c r="A74" s="90">
        <v>44253</v>
      </c>
      <c r="B74" s="90" t="str">
        <f t="shared" si="11"/>
        <v>février</v>
      </c>
      <c r="C74" s="90" t="str">
        <f t="shared" si="12"/>
        <v>2021</v>
      </c>
      <c r="D74" s="90" t="str">
        <f t="shared" si="13"/>
        <v>février2021</v>
      </c>
      <c r="E74" s="91">
        <v>1327119</v>
      </c>
      <c r="F74" s="92">
        <v>1000</v>
      </c>
      <c r="G74" s="94">
        <f t="shared" si="14"/>
        <v>1</v>
      </c>
      <c r="H74" s="92" t="s">
        <v>45</v>
      </c>
      <c r="I74" s="96">
        <f t="shared" si="9"/>
        <v>0.3</v>
      </c>
      <c r="J74" s="96">
        <f t="shared" si="10"/>
        <v>0.7</v>
      </c>
      <c r="K74" s="92">
        <f>VLOOKUP(H74,'Taux émission CO2e'!$A$5:$D$16,4,FALSE)</f>
        <v>0.16</v>
      </c>
      <c r="L74" s="93">
        <f t="shared" si="15"/>
        <v>24.790752000000001</v>
      </c>
      <c r="M74" s="92">
        <f>VLOOKUP(H74,'Taux émission CO2e'!$A$20:$D$31,4,FALSE)</f>
        <v>6.7400000000000002E-2</v>
      </c>
      <c r="N74" s="105">
        <f t="shared" si="16"/>
        <v>24.367243320000004</v>
      </c>
      <c r="O74" s="93">
        <f t="shared" si="17"/>
        <v>49.157995320000005</v>
      </c>
      <c r="P74" s="92">
        <v>190</v>
      </c>
      <c r="Q74" s="92" t="s">
        <v>52</v>
      </c>
      <c r="R74" s="92" t="s">
        <v>55</v>
      </c>
      <c r="S74" s="20">
        <v>516.47400000000005</v>
      </c>
    </row>
    <row r="75" spans="1:19" x14ac:dyDescent="0.15">
      <c r="A75" s="90">
        <v>44257</v>
      </c>
      <c r="B75" s="90" t="str">
        <f t="shared" si="11"/>
        <v>mars</v>
      </c>
      <c r="C75" s="90" t="str">
        <f t="shared" si="12"/>
        <v>2021</v>
      </c>
      <c r="D75" s="90" t="str">
        <f t="shared" si="13"/>
        <v>mars2021</v>
      </c>
      <c r="E75" s="91">
        <v>1331227</v>
      </c>
      <c r="F75" s="91">
        <v>250</v>
      </c>
      <c r="G75" s="94">
        <f t="shared" si="14"/>
        <v>0.25</v>
      </c>
      <c r="H75" s="92" t="s">
        <v>46</v>
      </c>
      <c r="I75" s="96">
        <f t="shared" si="9"/>
        <v>0.3</v>
      </c>
      <c r="J75" s="96">
        <f t="shared" si="10"/>
        <v>0.7</v>
      </c>
      <c r="K75" s="92">
        <f>VLOOKUP(H75,'Taux émission CO2e'!$A$5:$D$16,4,FALSE)</f>
        <v>0.16</v>
      </c>
      <c r="L75" s="93">
        <f t="shared" si="15"/>
        <v>3.003336</v>
      </c>
      <c r="M75" s="92">
        <f>VLOOKUP(H75,'Taux émission CO2e'!$A$20:$D$31,4,FALSE)</f>
        <v>6.7400000000000002E-2</v>
      </c>
      <c r="N75" s="105">
        <f t="shared" si="16"/>
        <v>2.95202901</v>
      </c>
      <c r="O75" s="93">
        <f t="shared" si="17"/>
        <v>5.9553650099999995</v>
      </c>
      <c r="P75" s="92">
        <v>135.77000000000001</v>
      </c>
      <c r="Q75" s="92" t="s">
        <v>89</v>
      </c>
      <c r="R75" s="92" t="s">
        <v>55</v>
      </c>
      <c r="S75" s="20">
        <v>250.27799999999999</v>
      </c>
    </row>
    <row r="76" spans="1:19" x14ac:dyDescent="0.15">
      <c r="A76" s="90">
        <v>44257</v>
      </c>
      <c r="B76" s="90" t="str">
        <f t="shared" si="11"/>
        <v>mars</v>
      </c>
      <c r="C76" s="90" t="str">
        <f t="shared" si="12"/>
        <v>2021</v>
      </c>
      <c r="D76" s="90" t="str">
        <f t="shared" si="13"/>
        <v>mars2021</v>
      </c>
      <c r="E76" s="91">
        <v>1332477</v>
      </c>
      <c r="F76" s="92">
        <v>1000</v>
      </c>
      <c r="G76" s="94">
        <f t="shared" si="14"/>
        <v>1</v>
      </c>
      <c r="H76" s="92" t="s">
        <v>38</v>
      </c>
      <c r="I76" s="96">
        <f t="shared" si="9"/>
        <v>1</v>
      </c>
      <c r="J76" s="96">
        <f t="shared" si="10"/>
        <v>0</v>
      </c>
      <c r="K76" s="92">
        <f>VLOOKUP(H76,'Taux émission CO2e'!$A$5:$D$16,4,FALSE)</f>
        <v>0.24099999999999999</v>
      </c>
      <c r="L76" s="93">
        <f t="shared" si="15"/>
        <v>64.191073000000003</v>
      </c>
      <c r="M76" s="92">
        <f>VLOOKUP(H76,'Taux émission CO2e'!$A$20:$D$31,4,FALSE)</f>
        <v>0</v>
      </c>
      <c r="N76" s="105">
        <f t="shared" si="16"/>
        <v>0</v>
      </c>
      <c r="O76" s="93">
        <f t="shared" si="17"/>
        <v>64.191073000000003</v>
      </c>
      <c r="P76" s="92">
        <v>637.20000000000005</v>
      </c>
      <c r="Q76" s="92" t="s">
        <v>77</v>
      </c>
      <c r="R76" s="92" t="s">
        <v>55</v>
      </c>
      <c r="S76" s="20">
        <v>266.35300000000001</v>
      </c>
    </row>
    <row r="77" spans="1:19" x14ac:dyDescent="0.15">
      <c r="A77" s="90">
        <v>44258</v>
      </c>
      <c r="B77" s="90" t="str">
        <f t="shared" si="11"/>
        <v>mars</v>
      </c>
      <c r="C77" s="90" t="str">
        <f t="shared" si="12"/>
        <v>2021</v>
      </c>
      <c r="D77" s="90" t="str">
        <f t="shared" si="13"/>
        <v>mars2021</v>
      </c>
      <c r="E77" s="91">
        <v>1327958</v>
      </c>
      <c r="F77" s="91">
        <v>250</v>
      </c>
      <c r="G77" s="94">
        <f t="shared" si="14"/>
        <v>0.25</v>
      </c>
      <c r="H77" s="92" t="s">
        <v>46</v>
      </c>
      <c r="I77" s="96">
        <f t="shared" si="9"/>
        <v>0.3</v>
      </c>
      <c r="J77" s="96">
        <f t="shared" si="10"/>
        <v>0.7</v>
      </c>
      <c r="K77" s="92">
        <f>VLOOKUP(H77,'Taux émission CO2e'!$A$5:$D$16,4,FALSE)</f>
        <v>0.16</v>
      </c>
      <c r="L77" s="93">
        <f t="shared" si="15"/>
        <v>3.3377399999999997</v>
      </c>
      <c r="M77" s="92">
        <f>VLOOKUP(H77,'Taux émission CO2e'!$A$20:$D$31,4,FALSE)</f>
        <v>6.7400000000000002E-2</v>
      </c>
      <c r="N77" s="105">
        <f t="shared" si="16"/>
        <v>3.2807202749999997</v>
      </c>
      <c r="O77" s="93">
        <f t="shared" si="17"/>
        <v>6.6184602749999994</v>
      </c>
      <c r="P77" s="92">
        <v>90</v>
      </c>
      <c r="Q77" s="92" t="s">
        <v>74</v>
      </c>
      <c r="R77" s="92" t="s">
        <v>55</v>
      </c>
      <c r="S77" s="20">
        <v>278.14499999999998</v>
      </c>
    </row>
    <row r="78" spans="1:19" x14ac:dyDescent="0.15">
      <c r="A78" s="90">
        <v>44258</v>
      </c>
      <c r="B78" s="90" t="str">
        <f t="shared" si="11"/>
        <v>mars</v>
      </c>
      <c r="C78" s="90" t="str">
        <f t="shared" si="12"/>
        <v>2021</v>
      </c>
      <c r="D78" s="90" t="str">
        <f t="shared" si="13"/>
        <v>mars2021</v>
      </c>
      <c r="E78" s="91">
        <v>1333227</v>
      </c>
      <c r="F78" s="91">
        <v>200</v>
      </c>
      <c r="G78" s="94">
        <f t="shared" si="14"/>
        <v>0.2</v>
      </c>
      <c r="H78" s="92" t="s">
        <v>46</v>
      </c>
      <c r="I78" s="96">
        <f t="shared" si="9"/>
        <v>0.3</v>
      </c>
      <c r="J78" s="96">
        <f t="shared" si="10"/>
        <v>0.7</v>
      </c>
      <c r="K78" s="92">
        <f>VLOOKUP(H78,'Taux émission CO2e'!$A$5:$D$16,4,FALSE)</f>
        <v>0.16</v>
      </c>
      <c r="L78" s="93">
        <f t="shared" si="15"/>
        <v>2.3884512</v>
      </c>
      <c r="M78" s="92">
        <f>VLOOKUP(H78,'Taux émission CO2e'!$A$20:$D$31,4,FALSE)</f>
        <v>6.7400000000000002E-2</v>
      </c>
      <c r="N78" s="105">
        <f t="shared" si="16"/>
        <v>2.3476484919999998</v>
      </c>
      <c r="O78" s="93">
        <f t="shared" si="17"/>
        <v>4.7360996919999998</v>
      </c>
      <c r="P78" s="92">
        <v>120</v>
      </c>
      <c r="Q78" s="92" t="s">
        <v>58</v>
      </c>
      <c r="R78" s="92" t="s">
        <v>82</v>
      </c>
      <c r="S78" s="20">
        <v>248.797</v>
      </c>
    </row>
    <row r="79" spans="1:19" x14ac:dyDescent="0.15">
      <c r="A79" s="90">
        <v>44259</v>
      </c>
      <c r="B79" s="90" t="str">
        <f t="shared" si="11"/>
        <v>mars</v>
      </c>
      <c r="C79" s="90" t="str">
        <f t="shared" si="12"/>
        <v>2021</v>
      </c>
      <c r="D79" s="90" t="str">
        <f t="shared" si="13"/>
        <v>mars2021</v>
      </c>
      <c r="E79" s="91">
        <v>1333235</v>
      </c>
      <c r="F79" s="91">
        <v>200</v>
      </c>
      <c r="G79" s="94">
        <f t="shared" si="14"/>
        <v>0.2</v>
      </c>
      <c r="H79" s="92" t="s">
        <v>46</v>
      </c>
      <c r="I79" s="96">
        <f t="shared" si="9"/>
        <v>0.3</v>
      </c>
      <c r="J79" s="96">
        <f t="shared" si="10"/>
        <v>0.7</v>
      </c>
      <c r="K79" s="92">
        <f>VLOOKUP(H79,'Taux émission CO2e'!$A$5:$D$16,4,FALSE)</f>
        <v>0.16</v>
      </c>
      <c r="L79" s="93">
        <f t="shared" si="15"/>
        <v>2.4026688000000003</v>
      </c>
      <c r="M79" s="92">
        <f>VLOOKUP(H79,'Taux émission CO2e'!$A$20:$D$31,4,FALSE)</f>
        <v>6.7400000000000002E-2</v>
      </c>
      <c r="N79" s="105">
        <f t="shared" si="16"/>
        <v>2.3616232079999997</v>
      </c>
      <c r="O79" s="93">
        <f t="shared" si="17"/>
        <v>4.764292008</v>
      </c>
      <c r="P79" s="92">
        <v>115</v>
      </c>
      <c r="Q79" s="92" t="s">
        <v>89</v>
      </c>
      <c r="R79" s="92" t="s">
        <v>55</v>
      </c>
      <c r="S79" s="20">
        <v>250.27799999999999</v>
      </c>
    </row>
    <row r="80" spans="1:19" x14ac:dyDescent="0.15">
      <c r="A80" s="90">
        <v>44259</v>
      </c>
      <c r="B80" s="90" t="str">
        <f t="shared" si="11"/>
        <v>mars</v>
      </c>
      <c r="C80" s="90" t="str">
        <f t="shared" si="12"/>
        <v>2021</v>
      </c>
      <c r="D80" s="90" t="str">
        <f t="shared" si="13"/>
        <v>mars2021</v>
      </c>
      <c r="E80" s="91">
        <v>1331212</v>
      </c>
      <c r="F80" s="91">
        <v>250</v>
      </c>
      <c r="G80" s="94">
        <f t="shared" si="14"/>
        <v>0.25</v>
      </c>
      <c r="H80" s="92" t="s">
        <v>46</v>
      </c>
      <c r="I80" s="96">
        <f t="shared" si="9"/>
        <v>0.3</v>
      </c>
      <c r="J80" s="96">
        <f t="shared" si="10"/>
        <v>0.7</v>
      </c>
      <c r="K80" s="92">
        <f>VLOOKUP(H80,'Taux émission CO2e'!$A$5:$D$16,4,FALSE)</f>
        <v>0.16</v>
      </c>
      <c r="L80" s="93">
        <f t="shared" si="15"/>
        <v>3.3419640000000004</v>
      </c>
      <c r="M80" s="92">
        <f>VLOOKUP(H80,'Taux émission CO2e'!$A$20:$D$31,4,FALSE)</f>
        <v>6.7400000000000002E-2</v>
      </c>
      <c r="N80" s="105">
        <f t="shared" si="16"/>
        <v>3.2848721150000002</v>
      </c>
      <c r="O80" s="93">
        <f t="shared" si="17"/>
        <v>6.6268361150000006</v>
      </c>
      <c r="P80" s="92">
        <v>158</v>
      </c>
      <c r="Q80" s="92" t="s">
        <v>90</v>
      </c>
      <c r="R80" s="92" t="s">
        <v>55</v>
      </c>
      <c r="S80" s="20">
        <v>278.49700000000001</v>
      </c>
    </row>
    <row r="81" spans="1:19" x14ac:dyDescent="0.15">
      <c r="A81" s="90">
        <v>44260</v>
      </c>
      <c r="B81" s="90" t="str">
        <f t="shared" si="11"/>
        <v>mars</v>
      </c>
      <c r="C81" s="90" t="str">
        <f t="shared" si="12"/>
        <v>2021</v>
      </c>
      <c r="D81" s="90" t="str">
        <f t="shared" si="13"/>
        <v>mars2021</v>
      </c>
      <c r="E81" s="91">
        <v>1334249</v>
      </c>
      <c r="F81" s="91">
        <v>250</v>
      </c>
      <c r="G81" s="94">
        <f t="shared" si="14"/>
        <v>0.25</v>
      </c>
      <c r="H81" s="92" t="s">
        <v>38</v>
      </c>
      <c r="I81" s="96">
        <f t="shared" si="9"/>
        <v>1</v>
      </c>
      <c r="J81" s="96">
        <f t="shared" si="10"/>
        <v>0</v>
      </c>
      <c r="K81" s="92">
        <f>VLOOKUP(H81,'Taux émission CO2e'!$A$5:$D$16,4,FALSE)</f>
        <v>0.24099999999999999</v>
      </c>
      <c r="L81" s="93">
        <f t="shared" si="15"/>
        <v>3.2520539999999998</v>
      </c>
      <c r="M81" s="92">
        <f>VLOOKUP(H81,'Taux émission CO2e'!$A$20:$D$31,4,FALSE)</f>
        <v>0</v>
      </c>
      <c r="N81" s="105">
        <f t="shared" si="16"/>
        <v>0</v>
      </c>
      <c r="O81" s="93">
        <f t="shared" si="17"/>
        <v>3.2520539999999998</v>
      </c>
      <c r="P81" s="92">
        <v>98</v>
      </c>
      <c r="Q81" s="92" t="s">
        <v>58</v>
      </c>
      <c r="R81" s="92" t="s">
        <v>63</v>
      </c>
      <c r="S81" s="20">
        <v>53.975999999999999</v>
      </c>
    </row>
    <row r="82" spans="1:19" x14ac:dyDescent="0.15">
      <c r="A82" s="90">
        <v>44260</v>
      </c>
      <c r="B82" s="90" t="str">
        <f t="shared" si="11"/>
        <v>mars</v>
      </c>
      <c r="C82" s="90" t="str">
        <f t="shared" si="12"/>
        <v>2021</v>
      </c>
      <c r="D82" s="90" t="str">
        <f t="shared" si="13"/>
        <v>mars2021</v>
      </c>
      <c r="E82" s="91">
        <v>1334029</v>
      </c>
      <c r="F82" s="91">
        <v>200</v>
      </c>
      <c r="G82" s="94">
        <f t="shared" si="14"/>
        <v>0.2</v>
      </c>
      <c r="H82" s="92" t="s">
        <v>46</v>
      </c>
      <c r="I82" s="96">
        <f t="shared" si="9"/>
        <v>0.3</v>
      </c>
      <c r="J82" s="96">
        <f t="shared" si="10"/>
        <v>0.7</v>
      </c>
      <c r="K82" s="92">
        <f>VLOOKUP(H82,'Taux émission CO2e'!$A$5:$D$16,4,FALSE)</f>
        <v>0.16</v>
      </c>
      <c r="L82" s="93">
        <f t="shared" si="15"/>
        <v>3.6536256000000003</v>
      </c>
      <c r="M82" s="92">
        <f>VLOOKUP(H82,'Taux émission CO2e'!$A$20:$D$31,4,FALSE)</f>
        <v>6.7400000000000002E-2</v>
      </c>
      <c r="N82" s="105">
        <f t="shared" si="16"/>
        <v>3.5912094960000003</v>
      </c>
      <c r="O82" s="93">
        <f t="shared" si="17"/>
        <v>7.244835096000001</v>
      </c>
      <c r="P82" s="92">
        <v>110.58</v>
      </c>
      <c r="Q82" s="92" t="s">
        <v>91</v>
      </c>
      <c r="R82" s="92" t="s">
        <v>55</v>
      </c>
      <c r="S82" s="20">
        <v>380.58600000000001</v>
      </c>
    </row>
    <row r="83" spans="1:19" x14ac:dyDescent="0.15">
      <c r="A83" s="90">
        <v>44260</v>
      </c>
      <c r="B83" s="90" t="str">
        <f t="shared" si="11"/>
        <v>mars</v>
      </c>
      <c r="C83" s="90" t="str">
        <f t="shared" si="12"/>
        <v>2021</v>
      </c>
      <c r="D83" s="90" t="str">
        <f t="shared" si="13"/>
        <v>mars2021</v>
      </c>
      <c r="E83" s="91">
        <v>1333334</v>
      </c>
      <c r="F83" s="91">
        <v>200</v>
      </c>
      <c r="G83" s="94">
        <f t="shared" si="14"/>
        <v>0.2</v>
      </c>
      <c r="H83" s="92" t="s">
        <v>45</v>
      </c>
      <c r="I83" s="96">
        <f t="shared" si="9"/>
        <v>0.3</v>
      </c>
      <c r="J83" s="96">
        <f t="shared" si="10"/>
        <v>0.7</v>
      </c>
      <c r="K83" s="92">
        <f>VLOOKUP(H83,'Taux émission CO2e'!$A$5:$D$16,4,FALSE)</f>
        <v>0.16</v>
      </c>
      <c r="L83" s="93">
        <f t="shared" si="15"/>
        <v>4.958150400000001</v>
      </c>
      <c r="M83" s="92">
        <f>VLOOKUP(H83,'Taux émission CO2e'!$A$20:$D$31,4,FALSE)</f>
        <v>6.7400000000000002E-2</v>
      </c>
      <c r="N83" s="105">
        <f t="shared" si="16"/>
        <v>4.8734486640000005</v>
      </c>
      <c r="O83" s="93">
        <f t="shared" si="17"/>
        <v>9.8315990640000024</v>
      </c>
      <c r="P83" s="92">
        <v>190</v>
      </c>
      <c r="Q83" s="92" t="s">
        <v>52</v>
      </c>
      <c r="R83" s="92" t="s">
        <v>55</v>
      </c>
      <c r="S83" s="20">
        <v>516.47400000000005</v>
      </c>
    </row>
    <row r="84" spans="1:19" x14ac:dyDescent="0.15">
      <c r="A84" s="90">
        <v>44263</v>
      </c>
      <c r="B84" s="90" t="str">
        <f t="shared" si="11"/>
        <v>mars</v>
      </c>
      <c r="C84" s="90" t="str">
        <f t="shared" si="12"/>
        <v>2021</v>
      </c>
      <c r="D84" s="90" t="str">
        <f t="shared" si="13"/>
        <v>mars2021</v>
      </c>
      <c r="E84" s="91">
        <v>1334486</v>
      </c>
      <c r="F84" s="91">
        <v>120</v>
      </c>
      <c r="G84" s="94">
        <f t="shared" si="14"/>
        <v>0.12</v>
      </c>
      <c r="H84" s="92" t="s">
        <v>46</v>
      </c>
      <c r="I84" s="96">
        <f t="shared" si="9"/>
        <v>0.3</v>
      </c>
      <c r="J84" s="96">
        <f t="shared" si="10"/>
        <v>0.7</v>
      </c>
      <c r="K84" s="92">
        <f>VLOOKUP(H84,'Taux émission CO2e'!$A$5:$D$16,4,FALSE)</f>
        <v>0.16</v>
      </c>
      <c r="L84" s="93">
        <f t="shared" si="15"/>
        <v>3.1191897599999994</v>
      </c>
      <c r="M84" s="92">
        <f>VLOOKUP(H84,'Taux émission CO2e'!$A$20:$D$31,4,FALSE)</f>
        <v>6.7400000000000002E-2</v>
      </c>
      <c r="N84" s="105">
        <f t="shared" si="16"/>
        <v>3.0659036015999996</v>
      </c>
      <c r="O84" s="93">
        <f t="shared" si="17"/>
        <v>6.185093361599999</v>
      </c>
      <c r="P84" s="92">
        <v>115</v>
      </c>
      <c r="Q84" s="92" t="s">
        <v>62</v>
      </c>
      <c r="R84" s="92" t="s">
        <v>55</v>
      </c>
      <c r="S84" s="20">
        <v>541.52599999999995</v>
      </c>
    </row>
    <row r="85" spans="1:19" x14ac:dyDescent="0.15">
      <c r="A85" s="90">
        <v>44263</v>
      </c>
      <c r="B85" s="90" t="str">
        <f t="shared" si="11"/>
        <v>mars</v>
      </c>
      <c r="C85" s="90" t="str">
        <f t="shared" si="12"/>
        <v>2021</v>
      </c>
      <c r="D85" s="90" t="str">
        <f t="shared" si="13"/>
        <v>mars2021</v>
      </c>
      <c r="E85" s="91">
        <v>1334247</v>
      </c>
      <c r="F85" s="91">
        <v>400</v>
      </c>
      <c r="G85" s="94">
        <f t="shared" si="14"/>
        <v>0.4</v>
      </c>
      <c r="H85" s="92" t="s">
        <v>38</v>
      </c>
      <c r="I85" s="96">
        <f t="shared" si="9"/>
        <v>1</v>
      </c>
      <c r="J85" s="96">
        <f t="shared" si="10"/>
        <v>0</v>
      </c>
      <c r="K85" s="92">
        <f>VLOOKUP(H85,'Taux émission CO2e'!$A$5:$D$16,4,FALSE)</f>
        <v>0.24099999999999999</v>
      </c>
      <c r="L85" s="93">
        <f t="shared" si="15"/>
        <v>25.676429200000001</v>
      </c>
      <c r="M85" s="92">
        <f>VLOOKUP(H85,'Taux émission CO2e'!$A$20:$D$31,4,FALSE)</f>
        <v>0</v>
      </c>
      <c r="N85" s="105">
        <f t="shared" si="16"/>
        <v>0</v>
      </c>
      <c r="O85" s="93">
        <f t="shared" si="17"/>
        <v>25.676429200000001</v>
      </c>
      <c r="P85" s="92">
        <v>637.20000000000005</v>
      </c>
      <c r="Q85" s="92" t="s">
        <v>77</v>
      </c>
      <c r="R85" s="92" t="s">
        <v>55</v>
      </c>
      <c r="S85" s="20">
        <v>266.35300000000001</v>
      </c>
    </row>
    <row r="86" spans="1:19" x14ac:dyDescent="0.15">
      <c r="A86" s="90">
        <v>44264</v>
      </c>
      <c r="B86" s="90" t="str">
        <f t="shared" si="11"/>
        <v>mars</v>
      </c>
      <c r="C86" s="90" t="str">
        <f t="shared" si="12"/>
        <v>2021</v>
      </c>
      <c r="D86" s="90" t="str">
        <f t="shared" si="13"/>
        <v>mars2021</v>
      </c>
      <c r="E86" s="91">
        <v>1334990</v>
      </c>
      <c r="F86" s="91">
        <v>120</v>
      </c>
      <c r="G86" s="94">
        <f t="shared" si="14"/>
        <v>0.12</v>
      </c>
      <c r="H86" s="92" t="s">
        <v>46</v>
      </c>
      <c r="I86" s="96">
        <f t="shared" si="9"/>
        <v>0.3</v>
      </c>
      <c r="J86" s="96">
        <f t="shared" si="10"/>
        <v>0.7</v>
      </c>
      <c r="K86" s="92">
        <f>VLOOKUP(H86,'Taux émission CO2e'!$A$5:$D$16,4,FALSE)</f>
        <v>0.16</v>
      </c>
      <c r="L86" s="93">
        <f t="shared" si="15"/>
        <v>1.4510534399999999</v>
      </c>
      <c r="M86" s="92">
        <f>VLOOKUP(H86,'Taux émission CO2e'!$A$20:$D$31,4,FALSE)</f>
        <v>6.7400000000000002E-2</v>
      </c>
      <c r="N86" s="105">
        <f t="shared" si="16"/>
        <v>1.4262646104000001</v>
      </c>
      <c r="O86" s="93">
        <f t="shared" si="17"/>
        <v>2.8773180504</v>
      </c>
      <c r="P86" s="92">
        <v>115</v>
      </c>
      <c r="Q86" s="92" t="s">
        <v>92</v>
      </c>
      <c r="R86" s="92" t="s">
        <v>55</v>
      </c>
      <c r="S86" s="20">
        <v>251.91900000000001</v>
      </c>
    </row>
    <row r="87" spans="1:19" x14ac:dyDescent="0.15">
      <c r="A87" s="90">
        <v>44264</v>
      </c>
      <c r="B87" s="90" t="str">
        <f t="shared" si="11"/>
        <v>mars</v>
      </c>
      <c r="C87" s="90" t="str">
        <f t="shared" si="12"/>
        <v>2021</v>
      </c>
      <c r="D87" s="90" t="str">
        <f t="shared" si="13"/>
        <v>mars2021</v>
      </c>
      <c r="E87" s="91">
        <v>1334956</v>
      </c>
      <c r="F87" s="91">
        <v>500</v>
      </c>
      <c r="G87" s="94">
        <f t="shared" si="14"/>
        <v>0.5</v>
      </c>
      <c r="H87" s="92" t="s">
        <v>38</v>
      </c>
      <c r="I87" s="96">
        <f t="shared" si="9"/>
        <v>1</v>
      </c>
      <c r="J87" s="96">
        <f t="shared" si="10"/>
        <v>0</v>
      </c>
      <c r="K87" s="92">
        <f>VLOOKUP(H87,'Taux émission CO2e'!$A$5:$D$16,4,FALSE)</f>
        <v>0.24099999999999999</v>
      </c>
      <c r="L87" s="93">
        <f t="shared" si="15"/>
        <v>6.5987005000000005</v>
      </c>
      <c r="M87" s="92">
        <f>VLOOKUP(H87,'Taux émission CO2e'!$A$20:$D$31,4,FALSE)</f>
        <v>0</v>
      </c>
      <c r="N87" s="105">
        <f t="shared" si="16"/>
        <v>0</v>
      </c>
      <c r="O87" s="93">
        <f t="shared" si="17"/>
        <v>6.5987005000000005</v>
      </c>
      <c r="P87" s="92">
        <v>123</v>
      </c>
      <c r="Q87" s="92" t="s">
        <v>56</v>
      </c>
      <c r="R87" s="92" t="s">
        <v>55</v>
      </c>
      <c r="S87" s="20">
        <v>54.761000000000003</v>
      </c>
    </row>
    <row r="88" spans="1:19" x14ac:dyDescent="0.15">
      <c r="A88" s="90">
        <v>44264</v>
      </c>
      <c r="B88" s="90" t="str">
        <f t="shared" si="11"/>
        <v>mars</v>
      </c>
      <c r="C88" s="90" t="str">
        <f t="shared" si="12"/>
        <v>2021</v>
      </c>
      <c r="D88" s="90" t="str">
        <f t="shared" si="13"/>
        <v>mars2021</v>
      </c>
      <c r="E88" s="91">
        <v>1334314</v>
      </c>
      <c r="F88" s="91">
        <v>200</v>
      </c>
      <c r="G88" s="94">
        <f t="shared" si="14"/>
        <v>0.2</v>
      </c>
      <c r="H88" s="92" t="s">
        <v>46</v>
      </c>
      <c r="I88" s="96">
        <f t="shared" si="9"/>
        <v>0.3</v>
      </c>
      <c r="J88" s="96">
        <f t="shared" si="10"/>
        <v>0.7</v>
      </c>
      <c r="K88" s="92">
        <f>VLOOKUP(H88,'Taux émission CO2e'!$A$5:$D$16,4,FALSE)</f>
        <v>0.16</v>
      </c>
      <c r="L88" s="93">
        <f t="shared" si="15"/>
        <v>2.6735712000000005</v>
      </c>
      <c r="M88" s="92">
        <f>VLOOKUP(H88,'Taux émission CO2e'!$A$20:$D$31,4,FALSE)</f>
        <v>6.7400000000000002E-2</v>
      </c>
      <c r="N88" s="105">
        <f t="shared" si="16"/>
        <v>2.6278976919999999</v>
      </c>
      <c r="O88" s="93">
        <f t="shared" si="17"/>
        <v>5.3014688920000008</v>
      </c>
      <c r="P88" s="92">
        <v>158</v>
      </c>
      <c r="Q88" s="92" t="s">
        <v>90</v>
      </c>
      <c r="R88" s="92" t="s">
        <v>55</v>
      </c>
      <c r="S88" s="20">
        <v>278.49700000000001</v>
      </c>
    </row>
    <row r="89" spans="1:19" x14ac:dyDescent="0.15">
      <c r="A89" s="90">
        <v>44265</v>
      </c>
      <c r="B89" s="90" t="str">
        <f t="shared" si="11"/>
        <v>mars</v>
      </c>
      <c r="C89" s="90" t="str">
        <f t="shared" si="12"/>
        <v>2021</v>
      </c>
      <c r="D89" s="90" t="str">
        <f t="shared" si="13"/>
        <v>mars2021</v>
      </c>
      <c r="E89" s="91">
        <v>1335981</v>
      </c>
      <c r="F89" s="91">
        <v>160</v>
      </c>
      <c r="G89" s="94">
        <f t="shared" si="14"/>
        <v>0.16</v>
      </c>
      <c r="H89" s="92" t="s">
        <v>45</v>
      </c>
      <c r="I89" s="96">
        <f t="shared" si="9"/>
        <v>0.3</v>
      </c>
      <c r="J89" s="96">
        <f t="shared" si="10"/>
        <v>0.7</v>
      </c>
      <c r="K89" s="92">
        <f>VLOOKUP(H89,'Taux émission CO2e'!$A$5:$D$16,4,FALSE)</f>
        <v>0.16</v>
      </c>
      <c r="L89" s="93">
        <f t="shared" si="15"/>
        <v>1.9244467200000002</v>
      </c>
      <c r="M89" s="92">
        <f>VLOOKUP(H89,'Taux émission CO2e'!$A$20:$D$31,4,FALSE)</f>
        <v>6.7400000000000002E-2</v>
      </c>
      <c r="N89" s="105">
        <f t="shared" si="16"/>
        <v>1.8915707552000003</v>
      </c>
      <c r="O89" s="93">
        <f t="shared" si="17"/>
        <v>3.8160174752000007</v>
      </c>
      <c r="P89" s="92">
        <v>92</v>
      </c>
      <c r="Q89" s="92" t="s">
        <v>58</v>
      </c>
      <c r="R89" s="92" t="s">
        <v>79</v>
      </c>
      <c r="S89" s="20">
        <v>250.57900000000001</v>
      </c>
    </row>
    <row r="90" spans="1:19" x14ac:dyDescent="0.15">
      <c r="A90" s="90">
        <v>44265</v>
      </c>
      <c r="B90" s="90" t="str">
        <f t="shared" si="11"/>
        <v>mars</v>
      </c>
      <c r="C90" s="90" t="str">
        <f t="shared" si="12"/>
        <v>2021</v>
      </c>
      <c r="D90" s="90" t="str">
        <f t="shared" si="13"/>
        <v>mars2021</v>
      </c>
      <c r="E90" s="91">
        <v>1335995</v>
      </c>
      <c r="F90" s="91">
        <v>160</v>
      </c>
      <c r="G90" s="94">
        <f t="shared" si="14"/>
        <v>0.16</v>
      </c>
      <c r="H90" s="92" t="s">
        <v>45</v>
      </c>
      <c r="I90" s="96">
        <f t="shared" si="9"/>
        <v>0.3</v>
      </c>
      <c r="J90" s="96">
        <f t="shared" si="10"/>
        <v>0.7</v>
      </c>
      <c r="K90" s="92">
        <f>VLOOKUP(H90,'Taux émission CO2e'!$A$5:$D$16,4,FALSE)</f>
        <v>0.16</v>
      </c>
      <c r="L90" s="93">
        <f t="shared" si="15"/>
        <v>2.1488563199999997</v>
      </c>
      <c r="M90" s="92">
        <f>VLOOKUP(H90,'Taux émission CO2e'!$A$20:$D$31,4,FALSE)</f>
        <v>6.7400000000000002E-2</v>
      </c>
      <c r="N90" s="105">
        <f t="shared" si="16"/>
        <v>2.1121466912</v>
      </c>
      <c r="O90" s="93">
        <f t="shared" si="17"/>
        <v>4.2610030111999997</v>
      </c>
      <c r="P90" s="92">
        <v>105</v>
      </c>
      <c r="Q90" s="92" t="s">
        <v>58</v>
      </c>
      <c r="R90" s="92" t="s">
        <v>70</v>
      </c>
      <c r="S90" s="20">
        <v>279.79899999999998</v>
      </c>
    </row>
    <row r="91" spans="1:19" x14ac:dyDescent="0.15">
      <c r="A91" s="90">
        <v>44265</v>
      </c>
      <c r="B91" s="90" t="str">
        <f t="shared" si="11"/>
        <v>mars</v>
      </c>
      <c r="C91" s="90" t="str">
        <f t="shared" si="12"/>
        <v>2021</v>
      </c>
      <c r="D91" s="90" t="str">
        <f t="shared" si="13"/>
        <v>mars2021</v>
      </c>
      <c r="E91" s="91">
        <v>1335998</v>
      </c>
      <c r="F91" s="91">
        <v>120</v>
      </c>
      <c r="G91" s="94">
        <f t="shared" si="14"/>
        <v>0.12</v>
      </c>
      <c r="H91" s="92" t="s">
        <v>45</v>
      </c>
      <c r="I91" s="96">
        <f t="shared" si="9"/>
        <v>0.3</v>
      </c>
      <c r="J91" s="96">
        <f t="shared" si="10"/>
        <v>0.7</v>
      </c>
      <c r="K91" s="92">
        <f>VLOOKUP(H91,'Taux émission CO2e'!$A$5:$D$16,4,FALSE)</f>
        <v>0.16</v>
      </c>
      <c r="L91" s="93">
        <f t="shared" si="15"/>
        <v>1.4798073599999999</v>
      </c>
      <c r="M91" s="92">
        <f>VLOOKUP(H91,'Taux émission CO2e'!$A$20:$D$31,4,FALSE)</f>
        <v>6.7400000000000002E-2</v>
      </c>
      <c r="N91" s="105">
        <f t="shared" si="16"/>
        <v>1.4545273176</v>
      </c>
      <c r="O91" s="93">
        <f t="shared" si="17"/>
        <v>2.9343346775999999</v>
      </c>
      <c r="P91" s="92">
        <v>110</v>
      </c>
      <c r="Q91" s="92" t="s">
        <v>58</v>
      </c>
      <c r="R91" s="92" t="s">
        <v>60</v>
      </c>
      <c r="S91" s="20">
        <v>256.911</v>
      </c>
    </row>
    <row r="92" spans="1:19" x14ac:dyDescent="0.15">
      <c r="A92" s="90">
        <v>44265</v>
      </c>
      <c r="B92" s="90" t="str">
        <f t="shared" si="11"/>
        <v>mars</v>
      </c>
      <c r="C92" s="90" t="str">
        <f t="shared" si="12"/>
        <v>2021</v>
      </c>
      <c r="D92" s="90" t="str">
        <f t="shared" si="13"/>
        <v>mars2021</v>
      </c>
      <c r="E92" s="91">
        <v>1335127</v>
      </c>
      <c r="F92" s="91">
        <v>200</v>
      </c>
      <c r="G92" s="94">
        <f t="shared" si="14"/>
        <v>0.2</v>
      </c>
      <c r="H92" s="92" t="s">
        <v>46</v>
      </c>
      <c r="I92" s="96">
        <f t="shared" si="9"/>
        <v>0.3</v>
      </c>
      <c r="J92" s="96">
        <f t="shared" si="10"/>
        <v>0.7</v>
      </c>
      <c r="K92" s="92">
        <f>VLOOKUP(H92,'Taux émission CO2e'!$A$5:$D$16,4,FALSE)</f>
        <v>0.16</v>
      </c>
      <c r="L92" s="93">
        <f t="shared" si="15"/>
        <v>2.4026688000000003</v>
      </c>
      <c r="M92" s="92">
        <f>VLOOKUP(H92,'Taux émission CO2e'!$A$20:$D$31,4,FALSE)</f>
        <v>6.7400000000000002E-2</v>
      </c>
      <c r="N92" s="105">
        <f t="shared" si="16"/>
        <v>2.3616232079999997</v>
      </c>
      <c r="O92" s="93">
        <f t="shared" si="17"/>
        <v>4.764292008</v>
      </c>
      <c r="P92" s="92">
        <v>115</v>
      </c>
      <c r="Q92" s="92" t="s">
        <v>89</v>
      </c>
      <c r="R92" s="92" t="s">
        <v>55</v>
      </c>
      <c r="S92" s="20">
        <v>250.27799999999999</v>
      </c>
    </row>
    <row r="93" spans="1:19" x14ac:dyDescent="0.15">
      <c r="A93" s="90">
        <v>44265</v>
      </c>
      <c r="B93" s="90" t="str">
        <f t="shared" si="11"/>
        <v>mars</v>
      </c>
      <c r="C93" s="90" t="str">
        <f t="shared" si="12"/>
        <v>2021</v>
      </c>
      <c r="D93" s="90" t="str">
        <f t="shared" si="13"/>
        <v>mars2021</v>
      </c>
      <c r="E93" s="91">
        <v>1335514</v>
      </c>
      <c r="F93" s="91">
        <v>250</v>
      </c>
      <c r="G93" s="94">
        <f t="shared" si="14"/>
        <v>0.25</v>
      </c>
      <c r="H93" s="92" t="s">
        <v>45</v>
      </c>
      <c r="I93" s="96">
        <f t="shared" si="9"/>
        <v>0.3</v>
      </c>
      <c r="J93" s="96">
        <f t="shared" si="10"/>
        <v>0.7</v>
      </c>
      <c r="K93" s="92">
        <f>VLOOKUP(H93,'Taux émission CO2e'!$A$5:$D$16,4,FALSE)</f>
        <v>0.16</v>
      </c>
      <c r="L93" s="93">
        <f t="shared" si="15"/>
        <v>2.5088279999999998</v>
      </c>
      <c r="M93" s="92">
        <f>VLOOKUP(H93,'Taux émission CO2e'!$A$20:$D$31,4,FALSE)</f>
        <v>6.7400000000000002E-2</v>
      </c>
      <c r="N93" s="105">
        <f t="shared" si="16"/>
        <v>2.4659688549999998</v>
      </c>
      <c r="O93" s="93">
        <f t="shared" si="17"/>
        <v>4.9747968549999992</v>
      </c>
      <c r="P93" s="92">
        <v>120</v>
      </c>
      <c r="Q93" s="92" t="s">
        <v>56</v>
      </c>
      <c r="R93" s="92" t="s">
        <v>93</v>
      </c>
      <c r="S93" s="20">
        <v>209.06899999999999</v>
      </c>
    </row>
    <row r="94" spans="1:19" x14ac:dyDescent="0.15">
      <c r="A94" s="90">
        <v>44265</v>
      </c>
      <c r="B94" s="90" t="str">
        <f t="shared" si="11"/>
        <v>mars</v>
      </c>
      <c r="C94" s="90" t="str">
        <f t="shared" si="12"/>
        <v>2021</v>
      </c>
      <c r="D94" s="90" t="str">
        <f t="shared" si="13"/>
        <v>mars2021</v>
      </c>
      <c r="E94" s="91">
        <v>1335991</v>
      </c>
      <c r="F94" s="91">
        <v>140</v>
      </c>
      <c r="G94" s="94">
        <f t="shared" si="14"/>
        <v>0.14000000000000001</v>
      </c>
      <c r="H94" s="92" t="s">
        <v>46</v>
      </c>
      <c r="I94" s="96">
        <f t="shared" si="9"/>
        <v>0.3</v>
      </c>
      <c r="J94" s="96">
        <f t="shared" si="10"/>
        <v>0.7</v>
      </c>
      <c r="K94" s="92">
        <f>VLOOKUP(H94,'Taux émission CO2e'!$A$5:$D$16,4,FALSE)</f>
        <v>0.16</v>
      </c>
      <c r="L94" s="93">
        <f t="shared" si="15"/>
        <v>3.6367296000000002</v>
      </c>
      <c r="M94" s="92">
        <f>VLOOKUP(H94,'Taux émission CO2e'!$A$20:$D$31,4,FALSE)</f>
        <v>6.7400000000000002E-2</v>
      </c>
      <c r="N94" s="105">
        <f t="shared" si="16"/>
        <v>3.5746021359999998</v>
      </c>
      <c r="O94" s="93">
        <f t="shared" si="17"/>
        <v>7.211331736</v>
      </c>
      <c r="P94" s="92">
        <v>123</v>
      </c>
      <c r="Q94" s="92" t="s">
        <v>58</v>
      </c>
      <c r="R94" s="92" t="s">
        <v>65</v>
      </c>
      <c r="S94" s="20">
        <v>541.17999999999995</v>
      </c>
    </row>
    <row r="95" spans="1:19" x14ac:dyDescent="0.15">
      <c r="A95" s="90">
        <v>44266</v>
      </c>
      <c r="B95" s="90" t="str">
        <f t="shared" si="11"/>
        <v>mars</v>
      </c>
      <c r="C95" s="90" t="str">
        <f t="shared" si="12"/>
        <v>2021</v>
      </c>
      <c r="D95" s="90" t="str">
        <f t="shared" si="13"/>
        <v>mars2021</v>
      </c>
      <c r="E95" s="91">
        <v>1335689</v>
      </c>
      <c r="F95" s="91">
        <v>400</v>
      </c>
      <c r="G95" s="94">
        <f t="shared" si="14"/>
        <v>0.4</v>
      </c>
      <c r="H95" s="92" t="s">
        <v>45</v>
      </c>
      <c r="I95" s="96">
        <f t="shared" si="9"/>
        <v>0.3</v>
      </c>
      <c r="J95" s="96">
        <f t="shared" si="10"/>
        <v>0.7</v>
      </c>
      <c r="K95" s="92">
        <f>VLOOKUP(H95,'Taux émission CO2e'!$A$5:$D$16,4,FALSE)</f>
        <v>0.16</v>
      </c>
      <c r="L95" s="93">
        <f t="shared" si="15"/>
        <v>9.9163008000000019</v>
      </c>
      <c r="M95" s="92">
        <f>VLOOKUP(H95,'Taux émission CO2e'!$A$20:$D$31,4,FALSE)</f>
        <v>6.7400000000000002E-2</v>
      </c>
      <c r="N95" s="105">
        <f t="shared" si="16"/>
        <v>9.7468973280000011</v>
      </c>
      <c r="O95" s="93">
        <f t="shared" si="17"/>
        <v>19.663198128000005</v>
      </c>
      <c r="P95" s="92">
        <v>190</v>
      </c>
      <c r="Q95" s="92" t="s">
        <v>52</v>
      </c>
      <c r="R95" s="92" t="s">
        <v>55</v>
      </c>
      <c r="S95" s="20">
        <v>516.47400000000005</v>
      </c>
    </row>
    <row r="96" spans="1:19" x14ac:dyDescent="0.15">
      <c r="A96" s="90">
        <v>44267</v>
      </c>
      <c r="B96" s="90" t="str">
        <f t="shared" si="11"/>
        <v>mars</v>
      </c>
      <c r="C96" s="90" t="str">
        <f t="shared" si="12"/>
        <v>2021</v>
      </c>
      <c r="D96" s="90" t="str">
        <f t="shared" si="13"/>
        <v>mars2021</v>
      </c>
      <c r="E96" s="91">
        <v>1336645</v>
      </c>
      <c r="F96" s="91">
        <v>200</v>
      </c>
      <c r="G96" s="94">
        <f t="shared" si="14"/>
        <v>0.2</v>
      </c>
      <c r="H96" s="92" t="s">
        <v>46</v>
      </c>
      <c r="I96" s="96">
        <f t="shared" si="9"/>
        <v>0.3</v>
      </c>
      <c r="J96" s="96">
        <f t="shared" si="10"/>
        <v>0.7</v>
      </c>
      <c r="K96" s="92">
        <f>VLOOKUP(H96,'Taux émission CO2e'!$A$5:$D$16,4,FALSE)</f>
        <v>0.16</v>
      </c>
      <c r="L96" s="93">
        <f t="shared" si="15"/>
        <v>2.6701920000000001</v>
      </c>
      <c r="M96" s="92">
        <f>VLOOKUP(H96,'Taux émission CO2e'!$A$20:$D$31,4,FALSE)</f>
        <v>6.7400000000000002E-2</v>
      </c>
      <c r="N96" s="105">
        <f t="shared" si="16"/>
        <v>2.6245762199999998</v>
      </c>
      <c r="O96" s="93">
        <f t="shared" si="17"/>
        <v>5.2947682199999999</v>
      </c>
      <c r="P96" s="92">
        <v>90</v>
      </c>
      <c r="Q96" s="92" t="s">
        <v>74</v>
      </c>
      <c r="R96" s="92" t="s">
        <v>55</v>
      </c>
      <c r="S96" s="20">
        <v>278.14499999999998</v>
      </c>
    </row>
    <row r="97" spans="1:19" x14ac:dyDescent="0.15">
      <c r="A97" s="90">
        <v>44267</v>
      </c>
      <c r="B97" s="90" t="str">
        <f t="shared" si="11"/>
        <v>mars</v>
      </c>
      <c r="C97" s="90" t="str">
        <f t="shared" si="12"/>
        <v>2021</v>
      </c>
      <c r="D97" s="90" t="str">
        <f t="shared" si="13"/>
        <v>mars2021</v>
      </c>
      <c r="E97" s="92" t="s">
        <v>94</v>
      </c>
      <c r="F97" s="91">
        <v>250</v>
      </c>
      <c r="G97" s="94">
        <f t="shared" si="14"/>
        <v>0.25</v>
      </c>
      <c r="H97" s="92" t="s">
        <v>40</v>
      </c>
      <c r="I97" s="96">
        <f t="shared" si="9"/>
        <v>1</v>
      </c>
      <c r="J97" s="96">
        <f t="shared" si="10"/>
        <v>0</v>
      </c>
      <c r="K97" s="92">
        <f>VLOOKUP(H97,'Taux émission CO2e'!$A$5:$D$16,4,FALSE)</f>
        <v>1.1599999999999999</v>
      </c>
      <c r="L97" s="93" t="str">
        <f t="shared" si="15"/>
        <v>0</v>
      </c>
      <c r="M97" s="92">
        <f>VLOOKUP(H97,'Taux émission CO2e'!$A$20:$D$31,4,FALSE)</f>
        <v>0</v>
      </c>
      <c r="N97" s="105" t="str">
        <f t="shared" si="16"/>
        <v>0</v>
      </c>
      <c r="O97" s="93">
        <f t="shared" si="17"/>
        <v>0</v>
      </c>
      <c r="P97" s="92" t="s">
        <v>95</v>
      </c>
      <c r="Q97" s="92" t="s">
        <v>56</v>
      </c>
      <c r="R97" s="92" t="s">
        <v>96</v>
      </c>
      <c r="S97" s="20" t="s">
        <v>97</v>
      </c>
    </row>
    <row r="98" spans="1:19" x14ac:dyDescent="0.15">
      <c r="A98" s="90">
        <v>44267</v>
      </c>
      <c r="B98" s="90" t="str">
        <f t="shared" si="11"/>
        <v>mars</v>
      </c>
      <c r="C98" s="90" t="str">
        <f t="shared" si="12"/>
        <v>2021</v>
      </c>
      <c r="D98" s="90" t="str">
        <f t="shared" si="13"/>
        <v>mars2021</v>
      </c>
      <c r="E98" s="91">
        <v>1336709</v>
      </c>
      <c r="F98" s="91">
        <v>250</v>
      </c>
      <c r="G98" s="94">
        <f t="shared" si="14"/>
        <v>0.25</v>
      </c>
      <c r="H98" s="92" t="s">
        <v>32</v>
      </c>
      <c r="I98" s="96">
        <f t="shared" si="9"/>
        <v>1</v>
      </c>
      <c r="J98" s="96">
        <f t="shared" si="10"/>
        <v>0</v>
      </c>
      <c r="K98" s="92">
        <f>VLOOKUP(H98,'Taux émission CO2e'!$A$5:$D$16,4,FALSE)</f>
        <v>6.7400000000000002E-2</v>
      </c>
      <c r="L98" s="93">
        <f t="shared" si="15"/>
        <v>0.64695575000000005</v>
      </c>
      <c r="M98" s="92">
        <f>VLOOKUP(H98,'Taux émission CO2e'!$A$20:$D$31,4,FALSE)</f>
        <v>0</v>
      </c>
      <c r="N98" s="105">
        <f t="shared" si="16"/>
        <v>0</v>
      </c>
      <c r="O98" s="93">
        <f t="shared" si="17"/>
        <v>0.64695575000000005</v>
      </c>
      <c r="P98" s="92">
        <v>98</v>
      </c>
      <c r="Q98" s="92" t="s">
        <v>56</v>
      </c>
      <c r="R98" s="92" t="s">
        <v>98</v>
      </c>
      <c r="S98" s="20">
        <v>38.395000000000003</v>
      </c>
    </row>
    <row r="99" spans="1:19" x14ac:dyDescent="0.15">
      <c r="A99" s="90">
        <v>44267</v>
      </c>
      <c r="B99" s="90" t="str">
        <f t="shared" si="11"/>
        <v>mars</v>
      </c>
      <c r="C99" s="90" t="str">
        <f t="shared" si="12"/>
        <v>2021</v>
      </c>
      <c r="D99" s="90" t="str">
        <f t="shared" si="13"/>
        <v>mars2021</v>
      </c>
      <c r="E99" s="91">
        <v>1336568</v>
      </c>
      <c r="F99" s="91">
        <v>250</v>
      </c>
      <c r="G99" s="94">
        <f t="shared" si="14"/>
        <v>0.25</v>
      </c>
      <c r="H99" s="92" t="s">
        <v>46</v>
      </c>
      <c r="I99" s="96">
        <f t="shared" si="9"/>
        <v>0.3</v>
      </c>
      <c r="J99" s="96">
        <f t="shared" si="10"/>
        <v>0.7</v>
      </c>
      <c r="K99" s="92">
        <f>VLOOKUP(H99,'Taux émission CO2e'!$A$5:$D$16,4,FALSE)</f>
        <v>0.16</v>
      </c>
      <c r="L99" s="93">
        <f t="shared" si="15"/>
        <v>6.4983119999999994</v>
      </c>
      <c r="M99" s="92">
        <f>VLOOKUP(H99,'Taux émission CO2e'!$A$20:$D$31,4,FALSE)</f>
        <v>6.7400000000000002E-2</v>
      </c>
      <c r="N99" s="105">
        <f t="shared" si="16"/>
        <v>6.3872991699999995</v>
      </c>
      <c r="O99" s="93">
        <f t="shared" si="17"/>
        <v>12.885611169999999</v>
      </c>
      <c r="P99" s="92">
        <v>115</v>
      </c>
      <c r="Q99" s="92" t="s">
        <v>62</v>
      </c>
      <c r="R99" s="92" t="s">
        <v>55</v>
      </c>
      <c r="S99" s="20">
        <v>541.52599999999995</v>
      </c>
    </row>
    <row r="100" spans="1:19" x14ac:dyDescent="0.15">
      <c r="A100" s="90">
        <v>44270</v>
      </c>
      <c r="B100" s="90" t="str">
        <f t="shared" si="11"/>
        <v>mars</v>
      </c>
      <c r="C100" s="90" t="str">
        <f t="shared" si="12"/>
        <v>2021</v>
      </c>
      <c r="D100" s="90" t="str">
        <f t="shared" si="13"/>
        <v>mars2021</v>
      </c>
      <c r="E100" s="91">
        <v>1337321</v>
      </c>
      <c r="F100" s="91">
        <v>90</v>
      </c>
      <c r="G100" s="94">
        <f t="shared" si="14"/>
        <v>0.09</v>
      </c>
      <c r="H100" s="92" t="s">
        <v>45</v>
      </c>
      <c r="I100" s="96">
        <f t="shared" si="9"/>
        <v>0.3</v>
      </c>
      <c r="J100" s="96">
        <f t="shared" si="10"/>
        <v>0.7</v>
      </c>
      <c r="K100" s="92">
        <f>VLOOKUP(H100,'Taux émission CO2e'!$A$5:$D$16,4,FALSE)</f>
        <v>0.16</v>
      </c>
      <c r="L100" s="93">
        <f t="shared" si="15"/>
        <v>2.2282473600000001</v>
      </c>
      <c r="M100" s="92">
        <f>VLOOKUP(H100,'Taux émission CO2e'!$A$20:$D$31,4,FALSE)</f>
        <v>6.7400000000000002E-2</v>
      </c>
      <c r="N100" s="105">
        <f t="shared" si="16"/>
        <v>2.1901814675999995</v>
      </c>
      <c r="O100" s="93">
        <f t="shared" si="17"/>
        <v>4.4184288275999997</v>
      </c>
      <c r="P100" s="92">
        <v>140</v>
      </c>
      <c r="Q100" s="92" t="s">
        <v>58</v>
      </c>
      <c r="R100" s="92" t="s">
        <v>57</v>
      </c>
      <c r="S100" s="20">
        <v>515.798</v>
      </c>
    </row>
    <row r="101" spans="1:19" x14ac:dyDescent="0.15">
      <c r="A101" s="90">
        <v>44271</v>
      </c>
      <c r="B101" s="90" t="str">
        <f t="shared" si="11"/>
        <v>mars</v>
      </c>
      <c r="C101" s="90" t="str">
        <f t="shared" si="12"/>
        <v>2021</v>
      </c>
      <c r="D101" s="90" t="str">
        <f t="shared" si="13"/>
        <v>mars2021</v>
      </c>
      <c r="E101" s="91">
        <v>1337756</v>
      </c>
      <c r="F101" s="91">
        <v>120</v>
      </c>
      <c r="G101" s="94">
        <f t="shared" si="14"/>
        <v>0.12</v>
      </c>
      <c r="H101" s="92" t="s">
        <v>45</v>
      </c>
      <c r="I101" s="96">
        <f t="shared" si="9"/>
        <v>0.3</v>
      </c>
      <c r="J101" s="96">
        <f t="shared" si="10"/>
        <v>0.7</v>
      </c>
      <c r="K101" s="92">
        <f>VLOOKUP(H101,'Taux émission CO2e'!$A$5:$D$16,4,FALSE)</f>
        <v>0.16</v>
      </c>
      <c r="L101" s="93">
        <f t="shared" si="15"/>
        <v>1.44333504</v>
      </c>
      <c r="M101" s="92">
        <f>VLOOKUP(H101,'Taux émission CO2e'!$A$20:$D$31,4,FALSE)</f>
        <v>6.7400000000000002E-2</v>
      </c>
      <c r="N101" s="105">
        <f t="shared" si="16"/>
        <v>1.4186780664</v>
      </c>
      <c r="O101" s="93">
        <f t="shared" si="17"/>
        <v>2.8620131064000001</v>
      </c>
      <c r="P101" s="92">
        <v>92</v>
      </c>
      <c r="Q101" s="92" t="s">
        <v>58</v>
      </c>
      <c r="R101" s="92" t="s">
        <v>79</v>
      </c>
      <c r="S101" s="20">
        <v>250.57900000000001</v>
      </c>
    </row>
    <row r="102" spans="1:19" x14ac:dyDescent="0.15">
      <c r="A102" s="90">
        <v>44271</v>
      </c>
      <c r="B102" s="90" t="str">
        <f t="shared" si="11"/>
        <v>mars</v>
      </c>
      <c r="C102" s="90" t="str">
        <f t="shared" si="12"/>
        <v>2021</v>
      </c>
      <c r="D102" s="90" t="str">
        <f t="shared" si="13"/>
        <v>mars2021</v>
      </c>
      <c r="E102" s="91">
        <v>1337765</v>
      </c>
      <c r="F102" s="91">
        <v>100</v>
      </c>
      <c r="G102" s="94">
        <f t="shared" si="14"/>
        <v>0.1</v>
      </c>
      <c r="H102" s="92" t="s">
        <v>45</v>
      </c>
      <c r="I102" s="96">
        <f t="shared" si="9"/>
        <v>0.3</v>
      </c>
      <c r="J102" s="96">
        <f t="shared" si="10"/>
        <v>0.7</v>
      </c>
      <c r="K102" s="92">
        <f>VLOOKUP(H102,'Taux émission CO2e'!$A$5:$D$16,4,FALSE)</f>
        <v>0.16</v>
      </c>
      <c r="L102" s="93">
        <f t="shared" si="15"/>
        <v>1.2200400000000002</v>
      </c>
      <c r="M102" s="92">
        <f>VLOOKUP(H102,'Taux émission CO2e'!$A$20:$D$31,4,FALSE)</f>
        <v>6.7400000000000002E-2</v>
      </c>
      <c r="N102" s="105">
        <f t="shared" si="16"/>
        <v>1.1991976500000001</v>
      </c>
      <c r="O102" s="93">
        <f t="shared" si="17"/>
        <v>2.4192376500000004</v>
      </c>
      <c r="P102" s="92">
        <v>95</v>
      </c>
      <c r="Q102" s="92" t="s">
        <v>58</v>
      </c>
      <c r="R102" s="92" t="s">
        <v>93</v>
      </c>
      <c r="S102" s="20">
        <v>254.17500000000001</v>
      </c>
    </row>
    <row r="103" spans="1:19" x14ac:dyDescent="0.15">
      <c r="A103" s="90">
        <v>44271</v>
      </c>
      <c r="B103" s="90" t="str">
        <f t="shared" si="11"/>
        <v>mars</v>
      </c>
      <c r="C103" s="90" t="str">
        <f t="shared" si="12"/>
        <v>2021</v>
      </c>
      <c r="D103" s="90" t="str">
        <f t="shared" si="13"/>
        <v>mars2021</v>
      </c>
      <c r="E103" s="91">
        <v>1337958</v>
      </c>
      <c r="F103" s="91">
        <v>250</v>
      </c>
      <c r="G103" s="94">
        <f t="shared" si="14"/>
        <v>0.25</v>
      </c>
      <c r="H103" s="92" t="s">
        <v>38</v>
      </c>
      <c r="I103" s="96">
        <f t="shared" si="9"/>
        <v>1</v>
      </c>
      <c r="J103" s="96">
        <f t="shared" si="10"/>
        <v>0</v>
      </c>
      <c r="K103" s="92">
        <f>VLOOKUP(H103,'Taux émission CO2e'!$A$5:$D$16,4,FALSE)</f>
        <v>0.24099999999999999</v>
      </c>
      <c r="L103" s="93">
        <f t="shared" si="15"/>
        <v>3.2520539999999998</v>
      </c>
      <c r="M103" s="92">
        <f>VLOOKUP(H103,'Taux émission CO2e'!$A$20:$D$31,4,FALSE)</f>
        <v>0</v>
      </c>
      <c r="N103" s="105">
        <f t="shared" si="16"/>
        <v>0</v>
      </c>
      <c r="O103" s="93">
        <f t="shared" si="17"/>
        <v>3.2520539999999998</v>
      </c>
      <c r="P103" s="92">
        <v>98</v>
      </c>
      <c r="Q103" s="92" t="s">
        <v>58</v>
      </c>
      <c r="R103" s="92" t="s">
        <v>63</v>
      </c>
      <c r="S103" s="20">
        <v>53.975999999999999</v>
      </c>
    </row>
    <row r="104" spans="1:19" x14ac:dyDescent="0.15">
      <c r="A104" s="90">
        <v>44271</v>
      </c>
      <c r="B104" s="90" t="str">
        <f t="shared" si="11"/>
        <v>mars</v>
      </c>
      <c r="C104" s="90" t="str">
        <f t="shared" si="12"/>
        <v>2021</v>
      </c>
      <c r="D104" s="90" t="str">
        <f t="shared" si="13"/>
        <v>mars2021</v>
      </c>
      <c r="E104" s="91">
        <v>1338078</v>
      </c>
      <c r="F104" s="91">
        <v>160</v>
      </c>
      <c r="G104" s="94">
        <f t="shared" si="14"/>
        <v>0.16</v>
      </c>
      <c r="H104" s="92" t="s">
        <v>45</v>
      </c>
      <c r="I104" s="96">
        <f t="shared" si="9"/>
        <v>0.3</v>
      </c>
      <c r="J104" s="96">
        <f t="shared" si="10"/>
        <v>0.7</v>
      </c>
      <c r="K104" s="92">
        <f>VLOOKUP(H104,'Taux émission CO2e'!$A$5:$D$16,4,FALSE)</f>
        <v>0.16</v>
      </c>
      <c r="L104" s="93">
        <f t="shared" si="15"/>
        <v>2.15576064</v>
      </c>
      <c r="M104" s="92">
        <f>VLOOKUP(H104,'Taux émission CO2e'!$A$20:$D$31,4,FALSE)</f>
        <v>6.7400000000000002E-2</v>
      </c>
      <c r="N104" s="105">
        <f t="shared" si="16"/>
        <v>2.1189330624</v>
      </c>
      <c r="O104" s="93">
        <f t="shared" si="17"/>
        <v>4.2746937024000005</v>
      </c>
      <c r="P104" s="92">
        <v>100</v>
      </c>
      <c r="Q104" s="92" t="s">
        <v>58</v>
      </c>
      <c r="R104" s="92" t="s">
        <v>80</v>
      </c>
      <c r="S104" s="20">
        <v>280.69799999999998</v>
      </c>
    </row>
    <row r="105" spans="1:19" x14ac:dyDescent="0.15">
      <c r="A105" s="90">
        <v>44271</v>
      </c>
      <c r="B105" s="90" t="str">
        <f t="shared" si="11"/>
        <v>mars</v>
      </c>
      <c r="C105" s="90" t="str">
        <f t="shared" si="12"/>
        <v>2021</v>
      </c>
      <c r="D105" s="90" t="str">
        <f t="shared" si="13"/>
        <v>mars2021</v>
      </c>
      <c r="E105" s="91">
        <v>1337761</v>
      </c>
      <c r="F105" s="91">
        <v>100</v>
      </c>
      <c r="G105" s="94">
        <f t="shared" si="14"/>
        <v>0.1</v>
      </c>
      <c r="H105" s="92" t="s">
        <v>45</v>
      </c>
      <c r="I105" s="96">
        <f t="shared" si="9"/>
        <v>0.3</v>
      </c>
      <c r="J105" s="96">
        <f t="shared" si="10"/>
        <v>0.7</v>
      </c>
      <c r="K105" s="92">
        <f>VLOOKUP(H105,'Taux émission CO2e'!$A$5:$D$16,4,FALSE)</f>
        <v>0.16</v>
      </c>
      <c r="L105" s="93">
        <f t="shared" si="15"/>
        <v>1.2331728000000002</v>
      </c>
      <c r="M105" s="92">
        <f>VLOOKUP(H105,'Taux émission CO2e'!$A$20:$D$31,4,FALSE)</f>
        <v>6.7400000000000002E-2</v>
      </c>
      <c r="N105" s="105">
        <f t="shared" si="16"/>
        <v>1.212106098</v>
      </c>
      <c r="O105" s="93">
        <f t="shared" si="17"/>
        <v>2.4452788980000002</v>
      </c>
      <c r="P105" s="92">
        <v>110</v>
      </c>
      <c r="Q105" s="92" t="s">
        <v>58</v>
      </c>
      <c r="R105" s="92" t="s">
        <v>60</v>
      </c>
      <c r="S105" s="20">
        <v>256.911</v>
      </c>
    </row>
    <row r="106" spans="1:19" x14ac:dyDescent="0.15">
      <c r="A106" s="90">
        <v>44271</v>
      </c>
      <c r="B106" s="90" t="str">
        <f t="shared" si="11"/>
        <v>mars</v>
      </c>
      <c r="C106" s="90" t="str">
        <f t="shared" si="12"/>
        <v>2021</v>
      </c>
      <c r="D106" s="90" t="str">
        <f t="shared" si="13"/>
        <v>mars2021</v>
      </c>
      <c r="E106" s="91">
        <v>1337179</v>
      </c>
      <c r="F106" s="91">
        <v>200</v>
      </c>
      <c r="G106" s="94">
        <f t="shared" si="14"/>
        <v>0.2</v>
      </c>
      <c r="H106" s="92" t="s">
        <v>46</v>
      </c>
      <c r="I106" s="96">
        <f t="shared" si="9"/>
        <v>0.3</v>
      </c>
      <c r="J106" s="96">
        <f t="shared" si="10"/>
        <v>0.7</v>
      </c>
      <c r="K106" s="92">
        <f>VLOOKUP(H106,'Taux émission CO2e'!$A$5:$D$16,4,FALSE)</f>
        <v>0.16</v>
      </c>
      <c r="L106" s="93">
        <f t="shared" si="15"/>
        <v>2.4026688000000003</v>
      </c>
      <c r="M106" s="92">
        <f>VLOOKUP(H106,'Taux émission CO2e'!$A$20:$D$31,4,FALSE)</f>
        <v>6.7400000000000002E-2</v>
      </c>
      <c r="N106" s="105">
        <f t="shared" si="16"/>
        <v>2.3616232079999997</v>
      </c>
      <c r="O106" s="93">
        <f t="shared" si="17"/>
        <v>4.764292008</v>
      </c>
      <c r="P106" s="92">
        <v>115</v>
      </c>
      <c r="Q106" s="92" t="s">
        <v>89</v>
      </c>
      <c r="R106" s="92" t="s">
        <v>55</v>
      </c>
      <c r="S106" s="20">
        <v>250.27799999999999</v>
      </c>
    </row>
    <row r="107" spans="1:19" x14ac:dyDescent="0.15">
      <c r="A107" s="90">
        <v>44272</v>
      </c>
      <c r="B107" s="90" t="str">
        <f t="shared" si="11"/>
        <v>mars</v>
      </c>
      <c r="C107" s="90" t="str">
        <f t="shared" si="12"/>
        <v>2021</v>
      </c>
      <c r="D107" s="90" t="str">
        <f t="shared" si="13"/>
        <v>mars2021</v>
      </c>
      <c r="E107" s="91">
        <v>1337601</v>
      </c>
      <c r="F107" s="91">
        <v>200</v>
      </c>
      <c r="G107" s="94">
        <f t="shared" si="14"/>
        <v>0.2</v>
      </c>
      <c r="H107" s="92" t="s">
        <v>46</v>
      </c>
      <c r="I107" s="96">
        <f t="shared" si="9"/>
        <v>0.3</v>
      </c>
      <c r="J107" s="96">
        <f t="shared" si="10"/>
        <v>0.7</v>
      </c>
      <c r="K107" s="92">
        <f>VLOOKUP(H107,'Taux émission CO2e'!$A$5:$D$16,4,FALSE)</f>
        <v>0.16</v>
      </c>
      <c r="L107" s="93">
        <f t="shared" si="15"/>
        <v>2.4184224000000003</v>
      </c>
      <c r="M107" s="92">
        <f>VLOOKUP(H107,'Taux émission CO2e'!$A$20:$D$31,4,FALSE)</f>
        <v>6.7400000000000002E-2</v>
      </c>
      <c r="N107" s="105">
        <f t="shared" si="16"/>
        <v>2.3771076840000003</v>
      </c>
      <c r="O107" s="93">
        <f t="shared" si="17"/>
        <v>4.795530084000001</v>
      </c>
      <c r="P107" s="92">
        <v>115</v>
      </c>
      <c r="Q107" s="92" t="s">
        <v>92</v>
      </c>
      <c r="R107" s="92" t="s">
        <v>55</v>
      </c>
      <c r="S107" s="20">
        <v>251.91900000000001</v>
      </c>
    </row>
    <row r="108" spans="1:19" x14ac:dyDescent="0.15">
      <c r="A108" s="90">
        <v>44273</v>
      </c>
      <c r="B108" s="90" t="str">
        <f t="shared" si="11"/>
        <v>mars</v>
      </c>
      <c r="C108" s="90" t="str">
        <f t="shared" si="12"/>
        <v>2021</v>
      </c>
      <c r="D108" s="90" t="str">
        <f t="shared" si="13"/>
        <v>mars2021</v>
      </c>
      <c r="E108" s="91">
        <v>1338946</v>
      </c>
      <c r="F108" s="91">
        <v>200</v>
      </c>
      <c r="G108" s="94">
        <f t="shared" si="14"/>
        <v>0.2</v>
      </c>
      <c r="H108" s="92" t="s">
        <v>45</v>
      </c>
      <c r="I108" s="96">
        <f t="shared" si="9"/>
        <v>0.3</v>
      </c>
      <c r="J108" s="96">
        <f t="shared" si="10"/>
        <v>0.7</v>
      </c>
      <c r="K108" s="92">
        <f>VLOOKUP(H108,'Taux émission CO2e'!$A$5:$D$16,4,FALSE)</f>
        <v>0.16</v>
      </c>
      <c r="L108" s="93">
        <f t="shared" si="15"/>
        <v>2.5551936000000004</v>
      </c>
      <c r="M108" s="92">
        <f>VLOOKUP(H108,'Taux émission CO2e'!$A$20:$D$31,4,FALSE)</f>
        <v>6.7400000000000002E-2</v>
      </c>
      <c r="N108" s="105">
        <f t="shared" si="16"/>
        <v>2.511542376</v>
      </c>
      <c r="O108" s="93">
        <f t="shared" si="17"/>
        <v>5.0667359760000004</v>
      </c>
      <c r="P108" s="92">
        <v>92</v>
      </c>
      <c r="Q108" s="92" t="s">
        <v>58</v>
      </c>
      <c r="R108" s="92" t="s">
        <v>53</v>
      </c>
      <c r="S108" s="20">
        <v>266.166</v>
      </c>
    </row>
    <row r="109" spans="1:19" x14ac:dyDescent="0.15">
      <c r="A109" s="90">
        <v>44273</v>
      </c>
      <c r="B109" s="90" t="str">
        <f t="shared" si="11"/>
        <v>mars</v>
      </c>
      <c r="C109" s="90" t="str">
        <f t="shared" si="12"/>
        <v>2021</v>
      </c>
      <c r="D109" s="90" t="str">
        <f t="shared" si="13"/>
        <v>mars2021</v>
      </c>
      <c r="E109" s="91">
        <v>1338752</v>
      </c>
      <c r="F109" s="91">
        <v>400</v>
      </c>
      <c r="G109" s="94">
        <f t="shared" si="14"/>
        <v>0.4</v>
      </c>
      <c r="H109" s="92" t="s">
        <v>45</v>
      </c>
      <c r="I109" s="96">
        <f t="shared" si="9"/>
        <v>0.3</v>
      </c>
      <c r="J109" s="96">
        <f t="shared" si="10"/>
        <v>0.7</v>
      </c>
      <c r="K109" s="92">
        <f>VLOOKUP(H109,'Taux émission CO2e'!$A$5:$D$16,4,FALSE)</f>
        <v>0.16</v>
      </c>
      <c r="L109" s="93">
        <f t="shared" si="15"/>
        <v>9.9163008000000019</v>
      </c>
      <c r="M109" s="92">
        <f>VLOOKUP(H109,'Taux émission CO2e'!$A$20:$D$31,4,FALSE)</f>
        <v>6.7400000000000002E-2</v>
      </c>
      <c r="N109" s="105">
        <f t="shared" si="16"/>
        <v>9.7468973280000011</v>
      </c>
      <c r="O109" s="93">
        <f t="shared" si="17"/>
        <v>19.663198128000005</v>
      </c>
      <c r="P109" s="92">
        <v>190</v>
      </c>
      <c r="Q109" s="92" t="s">
        <v>52</v>
      </c>
      <c r="R109" s="92" t="s">
        <v>55</v>
      </c>
      <c r="S109" s="20">
        <v>516.47400000000005</v>
      </c>
    </row>
    <row r="110" spans="1:19" x14ac:dyDescent="0.15">
      <c r="A110" s="90">
        <v>44273</v>
      </c>
      <c r="B110" s="90" t="str">
        <f t="shared" si="11"/>
        <v>mars</v>
      </c>
      <c r="C110" s="90" t="str">
        <f t="shared" si="12"/>
        <v>2021</v>
      </c>
      <c r="D110" s="90" t="str">
        <f t="shared" si="13"/>
        <v>mars2021</v>
      </c>
      <c r="E110" s="91">
        <v>1338764</v>
      </c>
      <c r="F110" s="92">
        <v>1600</v>
      </c>
      <c r="G110" s="94">
        <f t="shared" si="14"/>
        <v>1.6</v>
      </c>
      <c r="H110" s="92" t="s">
        <v>32</v>
      </c>
      <c r="I110" s="96">
        <f t="shared" si="9"/>
        <v>1</v>
      </c>
      <c r="J110" s="96">
        <f t="shared" si="10"/>
        <v>0</v>
      </c>
      <c r="K110" s="92">
        <f>VLOOKUP(H110,'Taux émission CO2e'!$A$5:$D$16,4,FALSE)</f>
        <v>6.7400000000000002E-2</v>
      </c>
      <c r="L110" s="93">
        <f t="shared" si="15"/>
        <v>28.723507520000002</v>
      </c>
      <c r="M110" s="92">
        <f>VLOOKUP(H110,'Taux émission CO2e'!$A$20:$D$31,4,FALSE)</f>
        <v>0</v>
      </c>
      <c r="N110" s="105">
        <f t="shared" si="16"/>
        <v>0</v>
      </c>
      <c r="O110" s="93">
        <f t="shared" si="17"/>
        <v>28.723507520000002</v>
      </c>
      <c r="P110" s="92">
        <v>205</v>
      </c>
      <c r="Q110" s="92" t="s">
        <v>77</v>
      </c>
      <c r="R110" s="92" t="s">
        <v>55</v>
      </c>
      <c r="S110" s="20">
        <v>266.35300000000001</v>
      </c>
    </row>
    <row r="111" spans="1:19" x14ac:dyDescent="0.15">
      <c r="A111" s="90">
        <v>44274</v>
      </c>
      <c r="B111" s="90" t="str">
        <f t="shared" si="11"/>
        <v>mars</v>
      </c>
      <c r="C111" s="90" t="str">
        <f t="shared" si="12"/>
        <v>2021</v>
      </c>
      <c r="D111" s="90" t="str">
        <f t="shared" si="13"/>
        <v>mars2021</v>
      </c>
      <c r="E111" s="91">
        <v>1339191</v>
      </c>
      <c r="F111" s="91">
        <v>200</v>
      </c>
      <c r="G111" s="94">
        <f t="shared" si="14"/>
        <v>0.2</v>
      </c>
      <c r="H111" s="92" t="s">
        <v>46</v>
      </c>
      <c r="I111" s="96">
        <f t="shared" si="9"/>
        <v>0.3</v>
      </c>
      <c r="J111" s="96">
        <f t="shared" si="10"/>
        <v>0.7</v>
      </c>
      <c r="K111" s="92">
        <f>VLOOKUP(H111,'Taux émission CO2e'!$A$5:$D$16,4,FALSE)</f>
        <v>0.16</v>
      </c>
      <c r="L111" s="93">
        <f t="shared" si="15"/>
        <v>3.6536256000000003</v>
      </c>
      <c r="M111" s="92">
        <f>VLOOKUP(H111,'Taux émission CO2e'!$A$20:$D$31,4,FALSE)</f>
        <v>6.7400000000000002E-2</v>
      </c>
      <c r="N111" s="105">
        <f t="shared" si="16"/>
        <v>3.5912094960000003</v>
      </c>
      <c r="O111" s="93">
        <f t="shared" si="17"/>
        <v>7.244835096000001</v>
      </c>
      <c r="P111" s="92">
        <v>110.58</v>
      </c>
      <c r="Q111" s="92" t="s">
        <v>91</v>
      </c>
      <c r="R111" s="92" t="s">
        <v>55</v>
      </c>
      <c r="S111" s="20">
        <v>380.58600000000001</v>
      </c>
    </row>
    <row r="112" spans="1:19" x14ac:dyDescent="0.15">
      <c r="A112" s="90">
        <v>44274</v>
      </c>
      <c r="B112" s="90" t="str">
        <f t="shared" si="11"/>
        <v>mars</v>
      </c>
      <c r="C112" s="90" t="str">
        <f t="shared" si="12"/>
        <v>2021</v>
      </c>
      <c r="D112" s="90" t="str">
        <f t="shared" si="13"/>
        <v>mars2021</v>
      </c>
      <c r="E112" s="91">
        <v>1339235</v>
      </c>
      <c r="F112" s="91">
        <v>500</v>
      </c>
      <c r="G112" s="94">
        <f t="shared" si="14"/>
        <v>0.5</v>
      </c>
      <c r="H112" s="92" t="s">
        <v>38</v>
      </c>
      <c r="I112" s="96">
        <f t="shared" si="9"/>
        <v>1</v>
      </c>
      <c r="J112" s="96">
        <f t="shared" si="10"/>
        <v>0</v>
      </c>
      <c r="K112" s="92">
        <f>VLOOKUP(H112,'Taux émission CO2e'!$A$5:$D$16,4,FALSE)</f>
        <v>0.24099999999999999</v>
      </c>
      <c r="L112" s="93">
        <f t="shared" si="15"/>
        <v>6.5987005000000005</v>
      </c>
      <c r="M112" s="92">
        <f>VLOOKUP(H112,'Taux émission CO2e'!$A$20:$D$31,4,FALSE)</f>
        <v>0</v>
      </c>
      <c r="N112" s="105">
        <f t="shared" si="16"/>
        <v>0</v>
      </c>
      <c r="O112" s="93">
        <f t="shared" si="17"/>
        <v>6.5987005000000005</v>
      </c>
      <c r="P112" s="92">
        <v>123</v>
      </c>
      <c r="Q112" s="92" t="s">
        <v>56</v>
      </c>
      <c r="R112" s="92" t="s">
        <v>55</v>
      </c>
      <c r="S112" s="20">
        <v>54.761000000000003</v>
      </c>
    </row>
    <row r="113" spans="1:19" x14ac:dyDescent="0.15">
      <c r="A113" s="90">
        <v>44274</v>
      </c>
      <c r="B113" s="90" t="str">
        <f t="shared" si="11"/>
        <v>mars</v>
      </c>
      <c r="C113" s="90" t="str">
        <f t="shared" si="12"/>
        <v>2021</v>
      </c>
      <c r="D113" s="90" t="str">
        <f t="shared" si="13"/>
        <v>mars2021</v>
      </c>
      <c r="E113" s="91">
        <v>1339037</v>
      </c>
      <c r="F113" s="91">
        <v>600</v>
      </c>
      <c r="G113" s="94">
        <f t="shared" si="14"/>
        <v>0.6</v>
      </c>
      <c r="H113" s="92" t="s">
        <v>46</v>
      </c>
      <c r="I113" s="96">
        <f t="shared" si="9"/>
        <v>0.3</v>
      </c>
      <c r="J113" s="96">
        <f t="shared" si="10"/>
        <v>0.7</v>
      </c>
      <c r="K113" s="92">
        <f>VLOOKUP(H113,'Taux émission CO2e'!$A$5:$D$16,4,FALSE)</f>
        <v>0.16</v>
      </c>
      <c r="L113" s="93">
        <f t="shared" si="15"/>
        <v>8.0207136000000006</v>
      </c>
      <c r="M113" s="92">
        <f>VLOOKUP(H113,'Taux émission CO2e'!$A$20:$D$31,4,FALSE)</f>
        <v>6.7400000000000002E-2</v>
      </c>
      <c r="N113" s="105">
        <f t="shared" si="16"/>
        <v>7.8836930760000001</v>
      </c>
      <c r="O113" s="93">
        <f t="shared" si="17"/>
        <v>15.904406676000001</v>
      </c>
      <c r="P113" s="92">
        <v>158</v>
      </c>
      <c r="Q113" s="92" t="s">
        <v>90</v>
      </c>
      <c r="R113" s="92" t="s">
        <v>55</v>
      </c>
      <c r="S113" s="20">
        <v>278.49700000000001</v>
      </c>
    </row>
    <row r="114" spans="1:19" x14ac:dyDescent="0.15">
      <c r="A114" s="90">
        <v>44277</v>
      </c>
      <c r="B114" s="90" t="str">
        <f t="shared" si="11"/>
        <v>mars</v>
      </c>
      <c r="C114" s="90" t="str">
        <f t="shared" si="12"/>
        <v>2021</v>
      </c>
      <c r="D114" s="90" t="str">
        <f t="shared" si="13"/>
        <v>mars2021</v>
      </c>
      <c r="E114" s="91">
        <v>1339834</v>
      </c>
      <c r="F114" s="91">
        <v>100</v>
      </c>
      <c r="G114" s="94">
        <f t="shared" si="14"/>
        <v>0.1</v>
      </c>
      <c r="H114" s="92" t="s">
        <v>45</v>
      </c>
      <c r="I114" s="96">
        <f t="shared" si="9"/>
        <v>0.3</v>
      </c>
      <c r="J114" s="96">
        <f t="shared" si="10"/>
        <v>0.7</v>
      </c>
      <c r="K114" s="92">
        <f>VLOOKUP(H114,'Taux émission CO2e'!$A$5:$D$16,4,FALSE)</f>
        <v>0.16</v>
      </c>
      <c r="L114" s="93">
        <f t="shared" si="15"/>
        <v>1.2775968000000002</v>
      </c>
      <c r="M114" s="92">
        <f>VLOOKUP(H114,'Taux émission CO2e'!$A$20:$D$31,4,FALSE)</f>
        <v>6.7400000000000002E-2</v>
      </c>
      <c r="N114" s="105">
        <f t="shared" si="16"/>
        <v>1.255771188</v>
      </c>
      <c r="O114" s="93">
        <f t="shared" si="17"/>
        <v>2.5333679880000002</v>
      </c>
      <c r="P114" s="92">
        <v>373.8</v>
      </c>
      <c r="Q114" s="92" t="s">
        <v>58</v>
      </c>
      <c r="R114" s="92" t="s">
        <v>53</v>
      </c>
      <c r="S114" s="20">
        <v>266.166</v>
      </c>
    </row>
    <row r="115" spans="1:19" x14ac:dyDescent="0.15">
      <c r="A115" s="90">
        <v>44278</v>
      </c>
      <c r="B115" s="90" t="str">
        <f t="shared" si="11"/>
        <v>mars</v>
      </c>
      <c r="C115" s="90" t="str">
        <f t="shared" si="12"/>
        <v>2021</v>
      </c>
      <c r="D115" s="90" t="str">
        <f t="shared" si="13"/>
        <v>mars2021</v>
      </c>
      <c r="E115" s="91">
        <v>1339690</v>
      </c>
      <c r="F115" s="91">
        <v>200</v>
      </c>
      <c r="G115" s="94">
        <f t="shared" si="14"/>
        <v>0.2</v>
      </c>
      <c r="H115" s="92" t="s">
        <v>46</v>
      </c>
      <c r="I115" s="96">
        <f t="shared" si="9"/>
        <v>0.3</v>
      </c>
      <c r="J115" s="96">
        <f t="shared" si="10"/>
        <v>0.7</v>
      </c>
      <c r="K115" s="92">
        <f>VLOOKUP(H115,'Taux émission CO2e'!$A$5:$D$16,4,FALSE)</f>
        <v>0.16</v>
      </c>
      <c r="L115" s="93">
        <f t="shared" si="15"/>
        <v>2.6701920000000001</v>
      </c>
      <c r="M115" s="92">
        <f>VLOOKUP(H115,'Taux émission CO2e'!$A$20:$D$31,4,FALSE)</f>
        <v>6.7400000000000002E-2</v>
      </c>
      <c r="N115" s="105">
        <f t="shared" si="16"/>
        <v>2.6245762199999998</v>
      </c>
      <c r="O115" s="93">
        <f t="shared" si="17"/>
        <v>5.2947682199999999</v>
      </c>
      <c r="P115" s="92">
        <v>90</v>
      </c>
      <c r="Q115" s="92" t="s">
        <v>74</v>
      </c>
      <c r="R115" s="92" t="s">
        <v>55</v>
      </c>
      <c r="S115" s="20">
        <v>278.14499999999998</v>
      </c>
    </row>
    <row r="116" spans="1:19" x14ac:dyDescent="0.15">
      <c r="A116" s="90">
        <v>44278</v>
      </c>
      <c r="B116" s="90" t="str">
        <f t="shared" si="11"/>
        <v>mars</v>
      </c>
      <c r="C116" s="90" t="str">
        <f t="shared" si="12"/>
        <v>2021</v>
      </c>
      <c r="D116" s="90" t="str">
        <f t="shared" si="13"/>
        <v>mars2021</v>
      </c>
      <c r="E116" s="91">
        <v>1339877</v>
      </c>
      <c r="F116" s="91">
        <v>200</v>
      </c>
      <c r="G116" s="94">
        <f t="shared" si="14"/>
        <v>0.2</v>
      </c>
      <c r="H116" s="92" t="s">
        <v>46</v>
      </c>
      <c r="I116" s="96">
        <f t="shared" si="9"/>
        <v>0.3</v>
      </c>
      <c r="J116" s="96">
        <f t="shared" si="10"/>
        <v>0.7</v>
      </c>
      <c r="K116" s="92">
        <f>VLOOKUP(H116,'Taux émission CO2e'!$A$5:$D$16,4,FALSE)</f>
        <v>0.16</v>
      </c>
      <c r="L116" s="93">
        <f t="shared" si="15"/>
        <v>2.4026688000000003</v>
      </c>
      <c r="M116" s="92">
        <f>VLOOKUP(H116,'Taux émission CO2e'!$A$20:$D$31,4,FALSE)</f>
        <v>6.7400000000000002E-2</v>
      </c>
      <c r="N116" s="105">
        <f t="shared" si="16"/>
        <v>2.3616232079999997</v>
      </c>
      <c r="O116" s="93">
        <f t="shared" si="17"/>
        <v>4.764292008</v>
      </c>
      <c r="P116" s="92">
        <v>115</v>
      </c>
      <c r="Q116" s="92" t="s">
        <v>89</v>
      </c>
      <c r="R116" s="92" t="s">
        <v>55</v>
      </c>
      <c r="S116" s="20">
        <v>250.27799999999999</v>
      </c>
    </row>
    <row r="117" spans="1:19" x14ac:dyDescent="0.15">
      <c r="A117" s="90">
        <v>44278</v>
      </c>
      <c r="B117" s="90" t="str">
        <f t="shared" si="11"/>
        <v>mars</v>
      </c>
      <c r="C117" s="90" t="str">
        <f t="shared" si="12"/>
        <v>2021</v>
      </c>
      <c r="D117" s="90" t="str">
        <f t="shared" si="13"/>
        <v>mars2021</v>
      </c>
      <c r="E117" s="91">
        <v>1340077</v>
      </c>
      <c r="F117" s="91">
        <v>250</v>
      </c>
      <c r="G117" s="94">
        <f t="shared" si="14"/>
        <v>0.25</v>
      </c>
      <c r="H117" s="92" t="s">
        <v>46</v>
      </c>
      <c r="I117" s="96">
        <f t="shared" si="9"/>
        <v>0.3</v>
      </c>
      <c r="J117" s="96">
        <f t="shared" si="10"/>
        <v>0.7</v>
      </c>
      <c r="K117" s="92">
        <f>VLOOKUP(H117,'Taux émission CO2e'!$A$5:$D$16,4,FALSE)</f>
        <v>0.16</v>
      </c>
      <c r="L117" s="93">
        <f t="shared" si="15"/>
        <v>6.4983119999999994</v>
      </c>
      <c r="M117" s="92">
        <f>VLOOKUP(H117,'Taux émission CO2e'!$A$20:$D$31,4,FALSE)</f>
        <v>6.7400000000000002E-2</v>
      </c>
      <c r="N117" s="105">
        <f t="shared" si="16"/>
        <v>6.3872991699999995</v>
      </c>
      <c r="O117" s="93">
        <f t="shared" si="17"/>
        <v>12.885611169999999</v>
      </c>
      <c r="P117" s="92">
        <v>115</v>
      </c>
      <c r="Q117" s="92" t="s">
        <v>62</v>
      </c>
      <c r="R117" s="92" t="s">
        <v>55</v>
      </c>
      <c r="S117" s="20">
        <v>541.52599999999995</v>
      </c>
    </row>
    <row r="118" spans="1:19" x14ac:dyDescent="0.15">
      <c r="A118" s="90">
        <v>44279</v>
      </c>
      <c r="B118" s="90" t="str">
        <f t="shared" si="11"/>
        <v>mars</v>
      </c>
      <c r="C118" s="90" t="str">
        <f t="shared" si="12"/>
        <v>2021</v>
      </c>
      <c r="D118" s="90" t="str">
        <f t="shared" si="13"/>
        <v>mars2021</v>
      </c>
      <c r="E118" s="91">
        <v>1341139</v>
      </c>
      <c r="F118" s="91">
        <v>110</v>
      </c>
      <c r="G118" s="94">
        <f t="shared" si="14"/>
        <v>0.11</v>
      </c>
      <c r="H118" s="92" t="s">
        <v>45</v>
      </c>
      <c r="I118" s="96">
        <f t="shared" si="9"/>
        <v>0.3</v>
      </c>
      <c r="J118" s="96">
        <f t="shared" si="10"/>
        <v>0.7</v>
      </c>
      <c r="K118" s="92">
        <f>VLOOKUP(H118,'Taux émission CO2e'!$A$5:$D$16,4,FALSE)</f>
        <v>0.16</v>
      </c>
      <c r="L118" s="93">
        <f t="shared" si="15"/>
        <v>0.88729343999999999</v>
      </c>
      <c r="M118" s="92">
        <f>VLOOKUP(H118,'Taux émission CO2e'!$A$20:$D$31,4,FALSE)</f>
        <v>6.7400000000000002E-2</v>
      </c>
      <c r="N118" s="105">
        <f t="shared" si="16"/>
        <v>0.87213551039999992</v>
      </c>
      <c r="O118" s="93">
        <f t="shared" si="17"/>
        <v>1.7594289503999998</v>
      </c>
      <c r="P118" s="92">
        <v>95</v>
      </c>
      <c r="Q118" s="92" t="s">
        <v>58</v>
      </c>
      <c r="R118" s="92" t="s">
        <v>99</v>
      </c>
      <c r="S118" s="20">
        <v>168.048</v>
      </c>
    </row>
    <row r="119" spans="1:19" x14ac:dyDescent="0.15">
      <c r="A119" s="90">
        <v>44279</v>
      </c>
      <c r="B119" s="90" t="str">
        <f t="shared" si="11"/>
        <v>mars</v>
      </c>
      <c r="C119" s="90" t="str">
        <f t="shared" si="12"/>
        <v>2021</v>
      </c>
      <c r="D119" s="90" t="str">
        <f t="shared" si="13"/>
        <v>mars2021</v>
      </c>
      <c r="E119" s="91">
        <v>1341127</v>
      </c>
      <c r="F119" s="91">
        <v>100</v>
      </c>
      <c r="G119" s="94">
        <f t="shared" si="14"/>
        <v>0.1</v>
      </c>
      <c r="H119" s="92" t="s">
        <v>45</v>
      </c>
      <c r="I119" s="96">
        <f t="shared" si="9"/>
        <v>0.3</v>
      </c>
      <c r="J119" s="96">
        <f t="shared" si="10"/>
        <v>0.7</v>
      </c>
      <c r="K119" s="92">
        <f>VLOOKUP(H119,'Taux émission CO2e'!$A$5:$D$16,4,FALSE)</f>
        <v>0.16</v>
      </c>
      <c r="L119" s="93">
        <f t="shared" si="15"/>
        <v>1.3643184000000002</v>
      </c>
      <c r="M119" s="92">
        <f>VLOOKUP(H119,'Taux émission CO2e'!$A$20:$D$31,4,FALSE)</f>
        <v>6.7400000000000002E-2</v>
      </c>
      <c r="N119" s="105">
        <f t="shared" si="16"/>
        <v>1.3410112940000001</v>
      </c>
      <c r="O119" s="93">
        <f t="shared" si="17"/>
        <v>2.7053296940000005</v>
      </c>
      <c r="P119" s="92">
        <v>105</v>
      </c>
      <c r="Q119" s="92" t="s">
        <v>58</v>
      </c>
      <c r="R119" s="92" t="s">
        <v>100</v>
      </c>
      <c r="S119" s="20">
        <v>284.233</v>
      </c>
    </row>
    <row r="120" spans="1:19" x14ac:dyDescent="0.15">
      <c r="A120" s="90">
        <v>44279</v>
      </c>
      <c r="B120" s="90" t="str">
        <f t="shared" si="11"/>
        <v>mars</v>
      </c>
      <c r="C120" s="90" t="str">
        <f t="shared" si="12"/>
        <v>2021</v>
      </c>
      <c r="D120" s="90" t="str">
        <f t="shared" si="13"/>
        <v>mars2021</v>
      </c>
      <c r="E120" s="91">
        <v>1340255</v>
      </c>
      <c r="F120" s="91">
        <v>200</v>
      </c>
      <c r="G120" s="94">
        <f t="shared" si="14"/>
        <v>0.2</v>
      </c>
      <c r="H120" s="92" t="s">
        <v>46</v>
      </c>
      <c r="I120" s="96">
        <f t="shared" si="9"/>
        <v>0.3</v>
      </c>
      <c r="J120" s="96">
        <f t="shared" si="10"/>
        <v>0.7</v>
      </c>
      <c r="K120" s="92">
        <f>VLOOKUP(H120,'Taux émission CO2e'!$A$5:$D$16,4,FALSE)</f>
        <v>0.16</v>
      </c>
      <c r="L120" s="93">
        <f t="shared" si="15"/>
        <v>2.4184224000000003</v>
      </c>
      <c r="M120" s="92">
        <f>VLOOKUP(H120,'Taux émission CO2e'!$A$20:$D$31,4,FALSE)</f>
        <v>6.7400000000000002E-2</v>
      </c>
      <c r="N120" s="105">
        <f t="shared" si="16"/>
        <v>2.3771076840000003</v>
      </c>
      <c r="O120" s="93">
        <f t="shared" si="17"/>
        <v>4.795530084000001</v>
      </c>
      <c r="P120" s="92">
        <v>115</v>
      </c>
      <c r="Q120" s="92" t="s">
        <v>92</v>
      </c>
      <c r="R120" s="92" t="s">
        <v>55</v>
      </c>
      <c r="S120" s="20">
        <v>251.91900000000001</v>
      </c>
    </row>
    <row r="121" spans="1:19" x14ac:dyDescent="0.15">
      <c r="A121" s="90">
        <v>44279</v>
      </c>
      <c r="B121" s="90" t="str">
        <f t="shared" si="11"/>
        <v>mars</v>
      </c>
      <c r="C121" s="90" t="str">
        <f t="shared" si="12"/>
        <v>2021</v>
      </c>
      <c r="D121" s="90" t="str">
        <f t="shared" si="13"/>
        <v>mars2021</v>
      </c>
      <c r="E121" s="91">
        <v>1341132</v>
      </c>
      <c r="F121" s="91">
        <v>100</v>
      </c>
      <c r="G121" s="94">
        <f t="shared" si="14"/>
        <v>0.1</v>
      </c>
      <c r="H121" s="92" t="s">
        <v>45</v>
      </c>
      <c r="I121" s="96">
        <f t="shared" si="9"/>
        <v>0.3</v>
      </c>
      <c r="J121" s="96">
        <f t="shared" si="10"/>
        <v>0.7</v>
      </c>
      <c r="K121" s="92">
        <f>VLOOKUP(H121,'Taux émission CO2e'!$A$5:$D$16,4,FALSE)</f>
        <v>0.16</v>
      </c>
      <c r="L121" s="93">
        <f t="shared" si="15"/>
        <v>1.2669072000000001</v>
      </c>
      <c r="M121" s="92">
        <f>VLOOKUP(H121,'Taux émission CO2e'!$A$20:$D$31,4,FALSE)</f>
        <v>6.7400000000000002E-2</v>
      </c>
      <c r="N121" s="105">
        <f t="shared" si="16"/>
        <v>1.245264202</v>
      </c>
      <c r="O121" s="93">
        <f t="shared" si="17"/>
        <v>2.5121714019999999</v>
      </c>
      <c r="P121" s="92">
        <v>139</v>
      </c>
      <c r="Q121" s="92" t="s">
        <v>58</v>
      </c>
      <c r="R121" s="92" t="s">
        <v>101</v>
      </c>
      <c r="S121" s="20">
        <v>263.93900000000002</v>
      </c>
    </row>
    <row r="122" spans="1:19" x14ac:dyDescent="0.15">
      <c r="A122" s="90">
        <v>44279</v>
      </c>
      <c r="B122" s="90" t="str">
        <f t="shared" si="11"/>
        <v>mars</v>
      </c>
      <c r="C122" s="90" t="str">
        <f t="shared" si="12"/>
        <v>2021</v>
      </c>
      <c r="D122" s="90" t="str">
        <f t="shared" si="13"/>
        <v>mars2021</v>
      </c>
      <c r="E122" s="91">
        <v>1341121</v>
      </c>
      <c r="F122" s="91">
        <v>100</v>
      </c>
      <c r="G122" s="94">
        <f t="shared" si="14"/>
        <v>0.1</v>
      </c>
      <c r="H122" s="92" t="s">
        <v>46</v>
      </c>
      <c r="I122" s="96">
        <f t="shared" si="9"/>
        <v>0.3</v>
      </c>
      <c r="J122" s="96">
        <f t="shared" si="10"/>
        <v>0.7</v>
      </c>
      <c r="K122" s="92">
        <f>VLOOKUP(H122,'Taux émission CO2e'!$A$5:$D$16,4,FALSE)</f>
        <v>0.16</v>
      </c>
      <c r="L122" s="93">
        <f t="shared" si="15"/>
        <v>3.5541360000000006</v>
      </c>
      <c r="M122" s="92">
        <f>VLOOKUP(H122,'Taux émission CO2e'!$A$20:$D$31,4,FALSE)</f>
        <v>6.7400000000000002E-2</v>
      </c>
      <c r="N122" s="105">
        <f t="shared" si="16"/>
        <v>3.4934195100000003</v>
      </c>
      <c r="O122" s="93">
        <f t="shared" si="17"/>
        <v>7.0475555100000005</v>
      </c>
      <c r="P122" s="92">
        <v>150</v>
      </c>
      <c r="Q122" s="92" t="s">
        <v>58</v>
      </c>
      <c r="R122" s="92" t="s">
        <v>59</v>
      </c>
      <c r="S122" s="20">
        <v>740.44500000000005</v>
      </c>
    </row>
    <row r="123" spans="1:19" x14ac:dyDescent="0.15">
      <c r="A123" s="90">
        <v>44279</v>
      </c>
      <c r="B123" s="90" t="str">
        <f t="shared" si="11"/>
        <v>mars</v>
      </c>
      <c r="C123" s="90" t="str">
        <f t="shared" si="12"/>
        <v>2021</v>
      </c>
      <c r="D123" s="90" t="str">
        <f t="shared" si="13"/>
        <v>mars2021</v>
      </c>
      <c r="E123" s="91">
        <v>1340284</v>
      </c>
      <c r="F123" s="91">
        <v>750</v>
      </c>
      <c r="G123" s="94">
        <f t="shared" si="14"/>
        <v>0.75</v>
      </c>
      <c r="H123" s="92" t="s">
        <v>45</v>
      </c>
      <c r="I123" s="96">
        <f t="shared" si="9"/>
        <v>0.3</v>
      </c>
      <c r="J123" s="96">
        <f t="shared" si="10"/>
        <v>0.7</v>
      </c>
      <c r="K123" s="92">
        <f>VLOOKUP(H123,'Taux émission CO2e'!$A$5:$D$16,4,FALSE)</f>
        <v>0.16</v>
      </c>
      <c r="L123" s="93">
        <f t="shared" si="15"/>
        <v>7.5264840000000008</v>
      </c>
      <c r="M123" s="92">
        <f>VLOOKUP(H123,'Taux émission CO2e'!$A$20:$D$31,4,FALSE)</f>
        <v>6.7400000000000002E-2</v>
      </c>
      <c r="N123" s="105">
        <f t="shared" si="16"/>
        <v>7.3979065649999995</v>
      </c>
      <c r="O123" s="93">
        <f t="shared" si="17"/>
        <v>14.924390564999999</v>
      </c>
      <c r="P123" s="92">
        <v>165</v>
      </c>
      <c r="Q123" s="92" t="s">
        <v>56</v>
      </c>
      <c r="R123" s="92" t="s">
        <v>93</v>
      </c>
      <c r="S123" s="20">
        <v>209.06899999999999</v>
      </c>
    </row>
    <row r="124" spans="1:19" x14ac:dyDescent="0.15">
      <c r="A124" s="90">
        <v>44279</v>
      </c>
      <c r="B124" s="90" t="str">
        <f t="shared" si="11"/>
        <v>mars</v>
      </c>
      <c r="C124" s="90" t="str">
        <f t="shared" si="12"/>
        <v>2021</v>
      </c>
      <c r="D124" s="90" t="str">
        <f t="shared" si="13"/>
        <v>mars2021</v>
      </c>
      <c r="E124" s="91">
        <v>1340604</v>
      </c>
      <c r="F124" s="91">
        <v>750</v>
      </c>
      <c r="G124" s="94">
        <f t="shared" si="14"/>
        <v>0.75</v>
      </c>
      <c r="H124" s="92" t="s">
        <v>45</v>
      </c>
      <c r="I124" s="96">
        <f t="shared" si="9"/>
        <v>0.3</v>
      </c>
      <c r="J124" s="96">
        <f t="shared" si="10"/>
        <v>0.7</v>
      </c>
      <c r="K124" s="92">
        <f>VLOOKUP(H124,'Taux émission CO2e'!$A$5:$D$16,4,FALSE)</f>
        <v>0.16</v>
      </c>
      <c r="L124" s="93">
        <f t="shared" si="15"/>
        <v>35.523216000000005</v>
      </c>
      <c r="M124" s="92">
        <f>VLOOKUP(H124,'Taux émission CO2e'!$A$20:$D$31,4,FALSE)</f>
        <v>6.7400000000000002E-2</v>
      </c>
      <c r="N124" s="105">
        <f t="shared" si="16"/>
        <v>34.91636106</v>
      </c>
      <c r="O124" s="93">
        <f t="shared" si="17"/>
        <v>70.439577060000005</v>
      </c>
      <c r="P124" s="92">
        <v>328</v>
      </c>
      <c r="Q124" s="92" t="s">
        <v>73</v>
      </c>
      <c r="R124" s="92" t="s">
        <v>53</v>
      </c>
      <c r="S124" s="20">
        <v>986.75599999999997</v>
      </c>
    </row>
    <row r="125" spans="1:19" x14ac:dyDescent="0.15">
      <c r="A125" s="90">
        <v>44280</v>
      </c>
      <c r="B125" s="90" t="str">
        <f t="shared" si="11"/>
        <v>mars</v>
      </c>
      <c r="C125" s="90" t="str">
        <f t="shared" si="12"/>
        <v>2021</v>
      </c>
      <c r="D125" s="90" t="str">
        <f t="shared" si="13"/>
        <v>mars2021</v>
      </c>
      <c r="E125" s="91">
        <v>1340627</v>
      </c>
      <c r="F125" s="91">
        <v>200</v>
      </c>
      <c r="G125" s="94">
        <f t="shared" si="14"/>
        <v>0.2</v>
      </c>
      <c r="H125" s="92" t="s">
        <v>45</v>
      </c>
      <c r="I125" s="96">
        <f t="shared" si="9"/>
        <v>0.3</v>
      </c>
      <c r="J125" s="96">
        <f t="shared" si="10"/>
        <v>0.7</v>
      </c>
      <c r="K125" s="92">
        <f>VLOOKUP(H125,'Taux émission CO2e'!$A$5:$D$16,4,FALSE)</f>
        <v>0.16</v>
      </c>
      <c r="L125" s="93">
        <f t="shared" si="15"/>
        <v>4.958150400000001</v>
      </c>
      <c r="M125" s="92">
        <f>VLOOKUP(H125,'Taux émission CO2e'!$A$20:$D$31,4,FALSE)</f>
        <v>6.7400000000000002E-2</v>
      </c>
      <c r="N125" s="105">
        <f t="shared" si="16"/>
        <v>4.8734486640000005</v>
      </c>
      <c r="O125" s="93">
        <f t="shared" si="17"/>
        <v>9.8315990640000024</v>
      </c>
      <c r="P125" s="92">
        <v>220</v>
      </c>
      <c r="Q125" s="92" t="s">
        <v>52</v>
      </c>
      <c r="R125" s="92" t="s">
        <v>55</v>
      </c>
      <c r="S125" s="20">
        <v>516.47400000000005</v>
      </c>
    </row>
    <row r="126" spans="1:19" x14ac:dyDescent="0.15">
      <c r="A126" s="90">
        <v>44281</v>
      </c>
      <c r="B126" s="90" t="str">
        <f t="shared" si="11"/>
        <v>mars</v>
      </c>
      <c r="C126" s="90" t="str">
        <f t="shared" si="12"/>
        <v>2021</v>
      </c>
      <c r="D126" s="90" t="str">
        <f t="shared" si="13"/>
        <v>mars2021</v>
      </c>
      <c r="E126" s="91">
        <v>1341084</v>
      </c>
      <c r="F126" s="91">
        <v>200</v>
      </c>
      <c r="G126" s="94">
        <f t="shared" si="14"/>
        <v>0.2</v>
      </c>
      <c r="H126" s="92" t="s">
        <v>46</v>
      </c>
      <c r="I126" s="96">
        <f t="shared" si="9"/>
        <v>0.3</v>
      </c>
      <c r="J126" s="96">
        <f t="shared" si="10"/>
        <v>0.7</v>
      </c>
      <c r="K126" s="92">
        <f>VLOOKUP(H126,'Taux émission CO2e'!$A$5:$D$16,4,FALSE)</f>
        <v>0.16</v>
      </c>
      <c r="L126" s="93">
        <f t="shared" si="15"/>
        <v>3.6536256000000003</v>
      </c>
      <c r="M126" s="92">
        <f>VLOOKUP(H126,'Taux émission CO2e'!$A$20:$D$31,4,FALSE)</f>
        <v>6.7400000000000002E-2</v>
      </c>
      <c r="N126" s="105">
        <f t="shared" si="16"/>
        <v>3.5912094960000003</v>
      </c>
      <c r="O126" s="93">
        <f t="shared" si="17"/>
        <v>7.244835096000001</v>
      </c>
      <c r="P126" s="92">
        <v>110.58</v>
      </c>
      <c r="Q126" s="92" t="s">
        <v>91</v>
      </c>
      <c r="R126" s="92" t="s">
        <v>55</v>
      </c>
      <c r="S126" s="20">
        <v>380.58600000000001</v>
      </c>
    </row>
    <row r="127" spans="1:19" x14ac:dyDescent="0.15">
      <c r="A127" s="90">
        <v>44281</v>
      </c>
      <c r="B127" s="90" t="str">
        <f t="shared" si="11"/>
        <v>mars</v>
      </c>
      <c r="C127" s="90" t="str">
        <f t="shared" si="12"/>
        <v>2021</v>
      </c>
      <c r="D127" s="90" t="str">
        <f t="shared" si="13"/>
        <v>mars2021</v>
      </c>
      <c r="E127" s="91">
        <v>1340621</v>
      </c>
      <c r="F127" s="91">
        <v>250</v>
      </c>
      <c r="G127" s="94">
        <f t="shared" si="14"/>
        <v>0.25</v>
      </c>
      <c r="H127" s="92" t="s">
        <v>46</v>
      </c>
      <c r="I127" s="96">
        <f t="shared" si="9"/>
        <v>0.3</v>
      </c>
      <c r="J127" s="96">
        <f t="shared" si="10"/>
        <v>0.7</v>
      </c>
      <c r="K127" s="92">
        <f>VLOOKUP(H127,'Taux émission CO2e'!$A$5:$D$16,4,FALSE)</f>
        <v>0.16</v>
      </c>
      <c r="L127" s="93">
        <f t="shared" si="15"/>
        <v>6.4983119999999994</v>
      </c>
      <c r="M127" s="92">
        <f>VLOOKUP(H127,'Taux émission CO2e'!$A$20:$D$31,4,FALSE)</f>
        <v>6.7400000000000002E-2</v>
      </c>
      <c r="N127" s="105">
        <f t="shared" si="16"/>
        <v>6.3872991699999995</v>
      </c>
      <c r="O127" s="93">
        <f t="shared" si="17"/>
        <v>12.885611169999999</v>
      </c>
      <c r="P127" s="92">
        <v>115</v>
      </c>
      <c r="Q127" s="92" t="s">
        <v>62</v>
      </c>
      <c r="R127" s="92" t="s">
        <v>55</v>
      </c>
      <c r="S127" s="20">
        <v>541.52599999999995</v>
      </c>
    </row>
    <row r="128" spans="1:19" x14ac:dyDescent="0.15">
      <c r="A128" s="90">
        <v>44281</v>
      </c>
      <c r="B128" s="90" t="str">
        <f t="shared" si="11"/>
        <v>mars</v>
      </c>
      <c r="C128" s="90" t="str">
        <f t="shared" si="12"/>
        <v>2021</v>
      </c>
      <c r="D128" s="90" t="str">
        <f t="shared" si="13"/>
        <v>mars2021</v>
      </c>
      <c r="E128" s="91">
        <v>1339044</v>
      </c>
      <c r="F128" s="91">
        <v>400</v>
      </c>
      <c r="G128" s="94">
        <f t="shared" si="14"/>
        <v>0.4</v>
      </c>
      <c r="H128" s="92" t="s">
        <v>46</v>
      </c>
      <c r="I128" s="96">
        <f t="shared" si="9"/>
        <v>0.3</v>
      </c>
      <c r="J128" s="96">
        <f t="shared" si="10"/>
        <v>0.7</v>
      </c>
      <c r="K128" s="92">
        <f>VLOOKUP(H128,'Taux émission CO2e'!$A$5:$D$16,4,FALSE)</f>
        <v>0.16</v>
      </c>
      <c r="L128" s="93">
        <f t="shared" si="15"/>
        <v>5.347142400000001</v>
      </c>
      <c r="M128" s="92">
        <f>VLOOKUP(H128,'Taux émission CO2e'!$A$20:$D$31,4,FALSE)</f>
        <v>6.7400000000000002E-2</v>
      </c>
      <c r="N128" s="105">
        <f t="shared" si="16"/>
        <v>5.2557953839999998</v>
      </c>
      <c r="O128" s="93">
        <f t="shared" si="17"/>
        <v>10.602937784000002</v>
      </c>
      <c r="P128" s="92">
        <v>158</v>
      </c>
      <c r="Q128" s="92" t="s">
        <v>90</v>
      </c>
      <c r="R128" s="92" t="s">
        <v>55</v>
      </c>
      <c r="S128" s="20">
        <v>278.49700000000001</v>
      </c>
    </row>
    <row r="129" spans="1:19" x14ac:dyDescent="0.15">
      <c r="A129" s="90">
        <v>44284</v>
      </c>
      <c r="B129" s="90" t="str">
        <f t="shared" si="11"/>
        <v>mars</v>
      </c>
      <c r="C129" s="90" t="str">
        <f t="shared" si="12"/>
        <v>2021</v>
      </c>
      <c r="D129" s="90" t="str">
        <f t="shared" si="13"/>
        <v>mars2021</v>
      </c>
      <c r="E129" s="91">
        <v>1342278</v>
      </c>
      <c r="F129" s="91">
        <v>200</v>
      </c>
      <c r="G129" s="94">
        <f t="shared" si="14"/>
        <v>0.2</v>
      </c>
      <c r="H129" s="92" t="s">
        <v>46</v>
      </c>
      <c r="I129" s="96">
        <f t="shared" si="9"/>
        <v>0.3</v>
      </c>
      <c r="J129" s="96">
        <f t="shared" si="10"/>
        <v>0.7</v>
      </c>
      <c r="K129" s="92">
        <f>VLOOKUP(H129,'Taux émission CO2e'!$A$5:$D$16,4,FALSE)</f>
        <v>0.16</v>
      </c>
      <c r="L129" s="93">
        <f t="shared" si="15"/>
        <v>5.1953279999999999</v>
      </c>
      <c r="M129" s="92">
        <f>VLOOKUP(H129,'Taux émission CO2e'!$A$20:$D$31,4,FALSE)</f>
        <v>6.7400000000000002E-2</v>
      </c>
      <c r="N129" s="105">
        <f t="shared" si="16"/>
        <v>5.1065744799999999</v>
      </c>
      <c r="O129" s="93">
        <f t="shared" si="17"/>
        <v>10.301902479999999</v>
      </c>
      <c r="P129" s="92">
        <v>123</v>
      </c>
      <c r="Q129" s="92" t="s">
        <v>58</v>
      </c>
      <c r="R129" s="92" t="s">
        <v>65</v>
      </c>
      <c r="S129" s="20">
        <v>541.17999999999995</v>
      </c>
    </row>
    <row r="130" spans="1:19" x14ac:dyDescent="0.15">
      <c r="A130" s="90">
        <v>44284</v>
      </c>
      <c r="B130" s="90" t="str">
        <f t="shared" si="11"/>
        <v>mars</v>
      </c>
      <c r="C130" s="90" t="str">
        <f t="shared" si="12"/>
        <v>2021</v>
      </c>
      <c r="D130" s="90" t="str">
        <f t="shared" si="13"/>
        <v>mars2021</v>
      </c>
      <c r="E130" s="91">
        <v>1341743</v>
      </c>
      <c r="F130" s="91">
        <v>200</v>
      </c>
      <c r="G130" s="94">
        <f t="shared" si="14"/>
        <v>0.2</v>
      </c>
      <c r="H130" s="92" t="s">
        <v>46</v>
      </c>
      <c r="I130" s="96">
        <f t="shared" ref="I130:I193" si="18">VLOOKUP(H130,Segment1,2,FALSE)</f>
        <v>0.3</v>
      </c>
      <c r="J130" s="96">
        <f t="shared" ref="J130:J193" si="19">VLOOKUP(H130,Segment2,2,FALSE)</f>
        <v>0.7</v>
      </c>
      <c r="K130" s="92">
        <f>VLOOKUP(H130,'Taux émission CO2e'!$A$5:$D$16,4,FALSE)</f>
        <v>0.16</v>
      </c>
      <c r="L130" s="93">
        <f t="shared" si="15"/>
        <v>2.4772128000000002</v>
      </c>
      <c r="M130" s="92">
        <f>VLOOKUP(H130,'Taux émission CO2e'!$A$20:$D$31,4,FALSE)</f>
        <v>6.7400000000000002E-2</v>
      </c>
      <c r="N130" s="105">
        <f t="shared" si="16"/>
        <v>2.4348937479999999</v>
      </c>
      <c r="O130" s="93">
        <f t="shared" si="17"/>
        <v>4.9121065480000006</v>
      </c>
      <c r="P130" s="92">
        <v>137.5</v>
      </c>
      <c r="Q130" s="92" t="s">
        <v>102</v>
      </c>
      <c r="R130" s="92" t="s">
        <v>55</v>
      </c>
      <c r="S130" s="20">
        <v>258.04300000000001</v>
      </c>
    </row>
    <row r="131" spans="1:19" x14ac:dyDescent="0.15">
      <c r="A131" s="90">
        <v>44284</v>
      </c>
      <c r="B131" s="90" t="str">
        <f t="shared" ref="B131:B194" si="20">TEXT(A131,"mmmm")</f>
        <v>mars</v>
      </c>
      <c r="C131" s="90" t="str">
        <f t="shared" ref="C131:C194" si="21">TEXT(A131,"aaaa")</f>
        <v>2021</v>
      </c>
      <c r="D131" s="90" t="str">
        <f t="shared" ref="D131:D194" si="22">B131&amp;C131</f>
        <v>mars2021</v>
      </c>
      <c r="E131" s="91">
        <v>1341989</v>
      </c>
      <c r="F131" s="91">
        <v>750</v>
      </c>
      <c r="G131" s="94">
        <f t="shared" ref="G131:G194" si="23">F131/1000</f>
        <v>0.75</v>
      </c>
      <c r="H131" s="92" t="s">
        <v>45</v>
      </c>
      <c r="I131" s="96">
        <f t="shared" si="18"/>
        <v>0.3</v>
      </c>
      <c r="J131" s="96">
        <f t="shared" si="19"/>
        <v>0.7</v>
      </c>
      <c r="K131" s="92">
        <f>VLOOKUP(H131,'Taux émission CO2e'!$A$5:$D$16,4,FALSE)</f>
        <v>0.16</v>
      </c>
      <c r="L131" s="93">
        <f t="shared" ref="L131:L194" si="24">IFERROR(I131*K131*G131*S131,"0")</f>
        <v>11.902788000000001</v>
      </c>
      <c r="M131" s="92">
        <f>VLOOKUP(H131,'Taux émission CO2e'!$A$20:$D$31,4,FALSE)</f>
        <v>6.7400000000000002E-2</v>
      </c>
      <c r="N131" s="105">
        <f t="shared" ref="N131:N194" si="25">IFERROR(J131*M131*G131*S131,"0")</f>
        <v>11.699448705</v>
      </c>
      <c r="O131" s="93">
        <f t="shared" ref="O131:O194" si="26">L131+N131</f>
        <v>23.602236705000003</v>
      </c>
      <c r="P131" s="92">
        <v>182</v>
      </c>
      <c r="Q131" s="92" t="s">
        <v>56</v>
      </c>
      <c r="R131" s="92" t="s">
        <v>70</v>
      </c>
      <c r="S131" s="20">
        <v>330.63299999999998</v>
      </c>
    </row>
    <row r="132" spans="1:19" x14ac:dyDescent="0.15">
      <c r="A132" s="90">
        <v>44285</v>
      </c>
      <c r="B132" s="90" t="str">
        <f t="shared" si="20"/>
        <v>mars</v>
      </c>
      <c r="C132" s="90" t="str">
        <f t="shared" si="21"/>
        <v>2021</v>
      </c>
      <c r="D132" s="90" t="str">
        <f t="shared" si="22"/>
        <v>mars2021</v>
      </c>
      <c r="E132" s="91">
        <v>1342772</v>
      </c>
      <c r="F132" s="91">
        <v>120</v>
      </c>
      <c r="G132" s="94">
        <f t="shared" si="23"/>
        <v>0.12</v>
      </c>
      <c r="H132" s="92" t="s">
        <v>45</v>
      </c>
      <c r="I132" s="96">
        <f t="shared" si="18"/>
        <v>0.3</v>
      </c>
      <c r="J132" s="96">
        <f t="shared" si="19"/>
        <v>0.7</v>
      </c>
      <c r="K132" s="92">
        <f>VLOOKUP(H132,'Taux émission CO2e'!$A$5:$D$16,4,FALSE)</f>
        <v>0.16</v>
      </c>
      <c r="L132" s="93">
        <f t="shared" si="24"/>
        <v>1.464048</v>
      </c>
      <c r="M132" s="92">
        <f>VLOOKUP(H132,'Taux émission CO2e'!$A$20:$D$31,4,FALSE)</f>
        <v>6.7400000000000002E-2</v>
      </c>
      <c r="N132" s="105">
        <f t="shared" si="25"/>
        <v>1.4390371800000001</v>
      </c>
      <c r="O132" s="93">
        <f t="shared" si="26"/>
        <v>2.9030851800000002</v>
      </c>
      <c r="P132" s="92">
        <v>95</v>
      </c>
      <c r="Q132" s="92" t="s">
        <v>58</v>
      </c>
      <c r="R132" s="92" t="s">
        <v>93</v>
      </c>
      <c r="S132" s="20">
        <v>254.17500000000001</v>
      </c>
    </row>
    <row r="133" spans="1:19" x14ac:dyDescent="0.15">
      <c r="A133" s="90">
        <v>44285</v>
      </c>
      <c r="B133" s="90" t="str">
        <f t="shared" si="20"/>
        <v>mars</v>
      </c>
      <c r="C133" s="90" t="str">
        <f t="shared" si="21"/>
        <v>2021</v>
      </c>
      <c r="D133" s="90" t="str">
        <f t="shared" si="22"/>
        <v>mars2021</v>
      </c>
      <c r="E133" s="91">
        <v>1342775</v>
      </c>
      <c r="F133" s="91">
        <v>120</v>
      </c>
      <c r="G133" s="94">
        <f t="shared" si="23"/>
        <v>0.12</v>
      </c>
      <c r="H133" s="92" t="s">
        <v>45</v>
      </c>
      <c r="I133" s="96">
        <f t="shared" si="18"/>
        <v>0.3</v>
      </c>
      <c r="J133" s="96">
        <f t="shared" si="19"/>
        <v>0.7</v>
      </c>
      <c r="K133" s="92">
        <f>VLOOKUP(H133,'Taux émission CO2e'!$A$5:$D$16,4,FALSE)</f>
        <v>0.16</v>
      </c>
      <c r="L133" s="93">
        <f t="shared" si="24"/>
        <v>0.76887360000000005</v>
      </c>
      <c r="M133" s="92">
        <f>VLOOKUP(H133,'Taux émission CO2e'!$A$20:$D$31,4,FALSE)</f>
        <v>6.7400000000000002E-2</v>
      </c>
      <c r="N133" s="105">
        <f t="shared" si="25"/>
        <v>0.75573867600000011</v>
      </c>
      <c r="O133" s="93">
        <f t="shared" si="26"/>
        <v>1.524612276</v>
      </c>
      <c r="P133" s="92">
        <v>100</v>
      </c>
      <c r="Q133" s="92" t="s">
        <v>58</v>
      </c>
      <c r="R133" s="92" t="s">
        <v>72</v>
      </c>
      <c r="S133" s="20">
        <v>133.48500000000001</v>
      </c>
    </row>
    <row r="134" spans="1:19" x14ac:dyDescent="0.15">
      <c r="A134" s="90">
        <v>44285</v>
      </c>
      <c r="B134" s="90" t="str">
        <f t="shared" si="20"/>
        <v>mars</v>
      </c>
      <c r="C134" s="90" t="str">
        <f t="shared" si="21"/>
        <v>2021</v>
      </c>
      <c r="D134" s="90" t="str">
        <f t="shared" si="22"/>
        <v>mars2021</v>
      </c>
      <c r="E134" s="91">
        <v>1342785</v>
      </c>
      <c r="F134" s="91">
        <v>130</v>
      </c>
      <c r="G134" s="94">
        <f t="shared" si="23"/>
        <v>0.13</v>
      </c>
      <c r="H134" s="92" t="s">
        <v>45</v>
      </c>
      <c r="I134" s="96">
        <f t="shared" si="18"/>
        <v>0.3</v>
      </c>
      <c r="J134" s="96">
        <f t="shared" si="19"/>
        <v>0.7</v>
      </c>
      <c r="K134" s="92">
        <f>VLOOKUP(H134,'Taux émission CO2e'!$A$5:$D$16,4,FALSE)</f>
        <v>0.16</v>
      </c>
      <c r="L134" s="93">
        <f t="shared" si="24"/>
        <v>1.7736139200000003</v>
      </c>
      <c r="M134" s="92">
        <f>VLOOKUP(H134,'Taux émission CO2e'!$A$20:$D$31,4,FALSE)</f>
        <v>6.7400000000000002E-2</v>
      </c>
      <c r="N134" s="105">
        <f t="shared" si="25"/>
        <v>1.7433146821999999</v>
      </c>
      <c r="O134" s="93">
        <f t="shared" si="26"/>
        <v>3.5169286022000001</v>
      </c>
      <c r="P134" s="92">
        <v>105</v>
      </c>
      <c r="Q134" s="92" t="s">
        <v>58</v>
      </c>
      <c r="R134" s="92" t="s">
        <v>100</v>
      </c>
      <c r="S134" s="20">
        <v>284.233</v>
      </c>
    </row>
    <row r="135" spans="1:19" x14ac:dyDescent="0.15">
      <c r="A135" s="90">
        <v>44285</v>
      </c>
      <c r="B135" s="90" t="str">
        <f t="shared" si="20"/>
        <v>mars</v>
      </c>
      <c r="C135" s="90" t="str">
        <f t="shared" si="21"/>
        <v>2021</v>
      </c>
      <c r="D135" s="90" t="str">
        <f t="shared" si="22"/>
        <v>mars2021</v>
      </c>
      <c r="E135" s="91">
        <v>1342383</v>
      </c>
      <c r="F135" s="91">
        <v>200</v>
      </c>
      <c r="G135" s="94">
        <f t="shared" si="23"/>
        <v>0.2</v>
      </c>
      <c r="H135" s="92" t="s">
        <v>46</v>
      </c>
      <c r="I135" s="96">
        <f t="shared" si="18"/>
        <v>0.3</v>
      </c>
      <c r="J135" s="96">
        <f t="shared" si="19"/>
        <v>0.7</v>
      </c>
      <c r="K135" s="92">
        <f>VLOOKUP(H135,'Taux émission CO2e'!$A$5:$D$16,4,FALSE)</f>
        <v>0.16</v>
      </c>
      <c r="L135" s="93">
        <f t="shared" si="24"/>
        <v>2.4026688000000003</v>
      </c>
      <c r="M135" s="92">
        <f>VLOOKUP(H135,'Taux émission CO2e'!$A$20:$D$31,4,FALSE)</f>
        <v>6.7400000000000002E-2</v>
      </c>
      <c r="N135" s="105">
        <f t="shared" si="25"/>
        <v>2.3616232079999997</v>
      </c>
      <c r="O135" s="93">
        <f t="shared" si="26"/>
        <v>4.764292008</v>
      </c>
      <c r="P135" s="92">
        <v>115</v>
      </c>
      <c r="Q135" s="92" t="s">
        <v>89</v>
      </c>
      <c r="R135" s="92" t="s">
        <v>55</v>
      </c>
      <c r="S135" s="20">
        <v>250.27799999999999</v>
      </c>
    </row>
    <row r="136" spans="1:19" x14ac:dyDescent="0.15">
      <c r="A136" s="90">
        <v>44285</v>
      </c>
      <c r="B136" s="90" t="str">
        <f t="shared" si="20"/>
        <v>mars</v>
      </c>
      <c r="C136" s="90" t="str">
        <f t="shared" si="21"/>
        <v>2021</v>
      </c>
      <c r="D136" s="90" t="str">
        <f t="shared" si="22"/>
        <v>mars2021</v>
      </c>
      <c r="E136" s="91">
        <v>1342780</v>
      </c>
      <c r="F136" s="91">
        <v>130</v>
      </c>
      <c r="G136" s="94">
        <f t="shared" si="23"/>
        <v>0.13</v>
      </c>
      <c r="H136" s="92" t="s">
        <v>45</v>
      </c>
      <c r="I136" s="96">
        <f t="shared" si="18"/>
        <v>0.3</v>
      </c>
      <c r="J136" s="96">
        <f t="shared" si="19"/>
        <v>0.7</v>
      </c>
      <c r="K136" s="92">
        <f>VLOOKUP(H136,'Taux émission CO2e'!$A$5:$D$16,4,FALSE)</f>
        <v>0.16</v>
      </c>
      <c r="L136" s="93">
        <f t="shared" si="24"/>
        <v>1.6469793600000002</v>
      </c>
      <c r="M136" s="92">
        <f>VLOOKUP(H136,'Taux émission CO2e'!$A$20:$D$31,4,FALSE)</f>
        <v>6.7400000000000002E-2</v>
      </c>
      <c r="N136" s="105">
        <f t="shared" si="25"/>
        <v>1.6188434626000001</v>
      </c>
      <c r="O136" s="93">
        <f t="shared" si="26"/>
        <v>3.2658228226000006</v>
      </c>
      <c r="P136" s="92">
        <v>139</v>
      </c>
      <c r="Q136" s="92" t="s">
        <v>58</v>
      </c>
      <c r="R136" s="92" t="s">
        <v>101</v>
      </c>
      <c r="S136" s="20">
        <v>263.93900000000002</v>
      </c>
    </row>
    <row r="137" spans="1:19" x14ac:dyDescent="0.15">
      <c r="A137" s="90">
        <v>44285</v>
      </c>
      <c r="B137" s="90" t="str">
        <f t="shared" si="20"/>
        <v>mars</v>
      </c>
      <c r="C137" s="90" t="str">
        <f t="shared" si="21"/>
        <v>2021</v>
      </c>
      <c r="D137" s="90" t="str">
        <f t="shared" si="22"/>
        <v>mars2021</v>
      </c>
      <c r="E137" s="91">
        <v>1342186</v>
      </c>
      <c r="F137" s="91">
        <v>600</v>
      </c>
      <c r="G137" s="94">
        <f t="shared" si="23"/>
        <v>0.6</v>
      </c>
      <c r="H137" s="92" t="s">
        <v>45</v>
      </c>
      <c r="I137" s="96">
        <f t="shared" si="18"/>
        <v>0.3</v>
      </c>
      <c r="J137" s="96">
        <f t="shared" si="19"/>
        <v>0.7</v>
      </c>
      <c r="K137" s="92">
        <f>VLOOKUP(H137,'Taux émission CO2e'!$A$5:$D$16,4,FALSE)</f>
        <v>0.16</v>
      </c>
      <c r="L137" s="93">
        <f t="shared" si="24"/>
        <v>14.993625599999998</v>
      </c>
      <c r="M137" s="92">
        <f>VLOOKUP(H137,'Taux émission CO2e'!$A$20:$D$31,4,FALSE)</f>
        <v>6.7400000000000002E-2</v>
      </c>
      <c r="N137" s="105">
        <f t="shared" si="25"/>
        <v>14.737484495999999</v>
      </c>
      <c r="O137" s="93">
        <f t="shared" si="26"/>
        <v>29.731110095999995</v>
      </c>
      <c r="P137" s="92">
        <v>182</v>
      </c>
      <c r="Q137" s="92" t="s">
        <v>74</v>
      </c>
      <c r="R137" s="92" t="s">
        <v>53</v>
      </c>
      <c r="S137" s="20">
        <v>520.61199999999997</v>
      </c>
    </row>
    <row r="138" spans="1:19" x14ac:dyDescent="0.15">
      <c r="A138" s="90">
        <v>44286</v>
      </c>
      <c r="B138" s="90" t="str">
        <f t="shared" si="20"/>
        <v>mars</v>
      </c>
      <c r="C138" s="90" t="str">
        <f t="shared" si="21"/>
        <v>2021</v>
      </c>
      <c r="D138" s="90" t="str">
        <f t="shared" si="22"/>
        <v>mars2021</v>
      </c>
      <c r="E138" s="91">
        <v>1342732</v>
      </c>
      <c r="F138" s="91">
        <v>200</v>
      </c>
      <c r="G138" s="94">
        <f t="shared" si="23"/>
        <v>0.2</v>
      </c>
      <c r="H138" s="92" t="s">
        <v>46</v>
      </c>
      <c r="I138" s="96">
        <f t="shared" si="18"/>
        <v>0.3</v>
      </c>
      <c r="J138" s="96">
        <f t="shared" si="19"/>
        <v>0.7</v>
      </c>
      <c r="K138" s="92">
        <f>VLOOKUP(H138,'Taux émission CO2e'!$A$5:$D$16,4,FALSE)</f>
        <v>0.16</v>
      </c>
      <c r="L138" s="93">
        <f t="shared" si="24"/>
        <v>2.4184224000000003</v>
      </c>
      <c r="M138" s="92">
        <f>VLOOKUP(H138,'Taux émission CO2e'!$A$20:$D$31,4,FALSE)</f>
        <v>6.7400000000000002E-2</v>
      </c>
      <c r="N138" s="105">
        <f t="shared" si="25"/>
        <v>2.3771076840000003</v>
      </c>
      <c r="O138" s="93">
        <f t="shared" si="26"/>
        <v>4.795530084000001</v>
      </c>
      <c r="P138" s="92">
        <v>115</v>
      </c>
      <c r="Q138" s="92" t="s">
        <v>92</v>
      </c>
      <c r="R138" s="92" t="s">
        <v>55</v>
      </c>
      <c r="S138" s="20">
        <v>251.91900000000001</v>
      </c>
    </row>
    <row r="139" spans="1:19" x14ac:dyDescent="0.15">
      <c r="A139" s="90">
        <v>44287</v>
      </c>
      <c r="B139" s="90" t="str">
        <f t="shared" si="20"/>
        <v>avril</v>
      </c>
      <c r="C139" s="90" t="str">
        <f t="shared" si="21"/>
        <v>2021</v>
      </c>
      <c r="D139" s="90" t="str">
        <f t="shared" si="22"/>
        <v>avril2021</v>
      </c>
      <c r="E139" s="91">
        <v>1343983</v>
      </c>
      <c r="F139" s="91">
        <v>175</v>
      </c>
      <c r="G139" s="94">
        <f t="shared" si="23"/>
        <v>0.17499999999999999</v>
      </c>
      <c r="H139" s="92" t="s">
        <v>32</v>
      </c>
      <c r="I139" s="96">
        <f t="shared" si="18"/>
        <v>1</v>
      </c>
      <c r="J139" s="96">
        <f t="shared" si="19"/>
        <v>0</v>
      </c>
      <c r="K139" s="92">
        <f>VLOOKUP(H139,'Taux émission CO2e'!$A$5:$D$16,4,FALSE)</f>
        <v>6.7400000000000002E-2</v>
      </c>
      <c r="L139" s="93">
        <f t="shared" si="24"/>
        <v>0.51829588999999998</v>
      </c>
      <c r="M139" s="92">
        <f>VLOOKUP(H139,'Taux émission CO2e'!$A$20:$D$31,4,FALSE)</f>
        <v>0</v>
      </c>
      <c r="N139" s="105">
        <f t="shared" si="25"/>
        <v>0</v>
      </c>
      <c r="O139" s="93">
        <f t="shared" si="26"/>
        <v>0.51829588999999998</v>
      </c>
      <c r="P139" s="92">
        <v>80</v>
      </c>
      <c r="Q139" s="92" t="s">
        <v>58</v>
      </c>
      <c r="R139" s="92" t="s">
        <v>103</v>
      </c>
      <c r="S139" s="20">
        <v>43.942</v>
      </c>
    </row>
    <row r="140" spans="1:19" x14ac:dyDescent="0.15">
      <c r="A140" s="90">
        <v>44287</v>
      </c>
      <c r="B140" s="90" t="str">
        <f t="shared" si="20"/>
        <v>avril</v>
      </c>
      <c r="C140" s="90" t="str">
        <f t="shared" si="21"/>
        <v>2021</v>
      </c>
      <c r="D140" s="90" t="str">
        <f t="shared" si="22"/>
        <v>avril2021</v>
      </c>
      <c r="E140" s="91">
        <v>1339055</v>
      </c>
      <c r="F140" s="91">
        <v>300</v>
      </c>
      <c r="G140" s="94">
        <f t="shared" si="23"/>
        <v>0.3</v>
      </c>
      <c r="H140" s="92" t="s">
        <v>46</v>
      </c>
      <c r="I140" s="96">
        <f t="shared" si="18"/>
        <v>0.3</v>
      </c>
      <c r="J140" s="96">
        <f t="shared" si="19"/>
        <v>0.7</v>
      </c>
      <c r="K140" s="92">
        <f>VLOOKUP(H140,'Taux émission CO2e'!$A$5:$D$16,4,FALSE)</f>
        <v>0.16</v>
      </c>
      <c r="L140" s="93">
        <f t="shared" si="24"/>
        <v>3.8354832000000001</v>
      </c>
      <c r="M140" s="92">
        <f>VLOOKUP(H140,'Taux émission CO2e'!$A$20:$D$31,4,FALSE)</f>
        <v>6.7400000000000002E-2</v>
      </c>
      <c r="N140" s="105">
        <f t="shared" si="25"/>
        <v>3.769960362</v>
      </c>
      <c r="O140" s="93">
        <f t="shared" si="26"/>
        <v>7.6054435619999996</v>
      </c>
      <c r="P140" s="92">
        <v>135.77000000000001</v>
      </c>
      <c r="Q140" s="92" t="s">
        <v>77</v>
      </c>
      <c r="R140" s="92" t="s">
        <v>55</v>
      </c>
      <c r="S140" s="20">
        <v>266.35300000000001</v>
      </c>
    </row>
    <row r="141" spans="1:19" x14ac:dyDescent="0.15">
      <c r="A141" s="90">
        <v>44287</v>
      </c>
      <c r="B141" s="90" t="str">
        <f t="shared" si="20"/>
        <v>avril</v>
      </c>
      <c r="C141" s="90" t="str">
        <f t="shared" si="21"/>
        <v>2021</v>
      </c>
      <c r="D141" s="90" t="str">
        <f t="shared" si="22"/>
        <v>avril2021</v>
      </c>
      <c r="E141" s="91">
        <v>1343666</v>
      </c>
      <c r="F141" s="91">
        <v>400</v>
      </c>
      <c r="G141" s="94">
        <f t="shared" si="23"/>
        <v>0.4</v>
      </c>
      <c r="H141" s="92" t="s">
        <v>45</v>
      </c>
      <c r="I141" s="96">
        <f t="shared" si="18"/>
        <v>0.3</v>
      </c>
      <c r="J141" s="96">
        <f t="shared" si="19"/>
        <v>0.7</v>
      </c>
      <c r="K141" s="92">
        <f>VLOOKUP(H141,'Taux émission CO2e'!$A$5:$D$16,4,FALSE)</f>
        <v>0.16</v>
      </c>
      <c r="L141" s="93">
        <f t="shared" si="24"/>
        <v>9.9163008000000019</v>
      </c>
      <c r="M141" s="92">
        <f>VLOOKUP(H141,'Taux émission CO2e'!$A$20:$D$31,4,FALSE)</f>
        <v>6.7400000000000002E-2</v>
      </c>
      <c r="N141" s="105">
        <f t="shared" si="25"/>
        <v>9.7468973280000011</v>
      </c>
      <c r="O141" s="93">
        <f t="shared" si="26"/>
        <v>19.663198128000005</v>
      </c>
      <c r="P141" s="92">
        <v>190</v>
      </c>
      <c r="Q141" s="92" t="s">
        <v>52</v>
      </c>
      <c r="R141" s="92" t="s">
        <v>55</v>
      </c>
      <c r="S141" s="20">
        <v>516.47400000000005</v>
      </c>
    </row>
    <row r="142" spans="1:19" x14ac:dyDescent="0.15">
      <c r="A142" s="90">
        <v>44288</v>
      </c>
      <c r="B142" s="90" t="str">
        <f t="shared" si="20"/>
        <v>avril</v>
      </c>
      <c r="C142" s="90" t="str">
        <f t="shared" si="21"/>
        <v>2021</v>
      </c>
      <c r="D142" s="90" t="str">
        <f t="shared" si="22"/>
        <v>avril2021</v>
      </c>
      <c r="E142" s="91">
        <v>1339045</v>
      </c>
      <c r="F142" s="91">
        <v>400</v>
      </c>
      <c r="G142" s="94">
        <f t="shared" si="23"/>
        <v>0.4</v>
      </c>
      <c r="H142" s="92" t="s">
        <v>46</v>
      </c>
      <c r="I142" s="96">
        <f t="shared" si="18"/>
        <v>0.3</v>
      </c>
      <c r="J142" s="96">
        <f t="shared" si="19"/>
        <v>0.7</v>
      </c>
      <c r="K142" s="92">
        <f>VLOOKUP(H142,'Taux émission CO2e'!$A$5:$D$16,4,FALSE)</f>
        <v>0.16</v>
      </c>
      <c r="L142" s="93">
        <f t="shared" si="24"/>
        <v>5.347142400000001</v>
      </c>
      <c r="M142" s="92">
        <f>VLOOKUP(H142,'Taux émission CO2e'!$A$20:$D$31,4,FALSE)</f>
        <v>6.7400000000000002E-2</v>
      </c>
      <c r="N142" s="105">
        <f t="shared" si="25"/>
        <v>5.2557953839999998</v>
      </c>
      <c r="O142" s="93">
        <f t="shared" si="26"/>
        <v>10.602937784000002</v>
      </c>
      <c r="P142" s="92">
        <v>158</v>
      </c>
      <c r="Q142" s="92" t="s">
        <v>90</v>
      </c>
      <c r="R142" s="92" t="s">
        <v>55</v>
      </c>
      <c r="S142" s="20">
        <v>278.49700000000001</v>
      </c>
    </row>
    <row r="143" spans="1:19" x14ac:dyDescent="0.15">
      <c r="A143" s="90">
        <v>44292</v>
      </c>
      <c r="B143" s="90" t="str">
        <f t="shared" si="20"/>
        <v>avril</v>
      </c>
      <c r="C143" s="90" t="str">
        <f t="shared" si="21"/>
        <v>2021</v>
      </c>
      <c r="D143" s="90" t="str">
        <f t="shared" si="22"/>
        <v>avril2021</v>
      </c>
      <c r="E143" s="91">
        <v>1344380</v>
      </c>
      <c r="F143" s="91">
        <v>200</v>
      </c>
      <c r="G143" s="94">
        <f t="shared" si="23"/>
        <v>0.2</v>
      </c>
      <c r="H143" s="92" t="s">
        <v>45</v>
      </c>
      <c r="I143" s="96">
        <f t="shared" si="18"/>
        <v>0.3</v>
      </c>
      <c r="J143" s="96">
        <f t="shared" si="19"/>
        <v>0.7</v>
      </c>
      <c r="K143" s="92">
        <f>VLOOKUP(H143,'Taux émission CO2e'!$A$5:$D$16,4,FALSE)</f>
        <v>0.16</v>
      </c>
      <c r="L143" s="93">
        <f t="shared" si="24"/>
        <v>2.4086208</v>
      </c>
      <c r="M143" s="92">
        <f>VLOOKUP(H143,'Taux émission CO2e'!$A$20:$D$31,4,FALSE)</f>
        <v>6.7400000000000002E-2</v>
      </c>
      <c r="N143" s="105">
        <f t="shared" si="25"/>
        <v>2.3674735280000001</v>
      </c>
      <c r="O143" s="93">
        <f t="shared" si="26"/>
        <v>4.7760943280000001</v>
      </c>
      <c r="P143" s="92">
        <v>95</v>
      </c>
      <c r="Q143" s="92" t="s">
        <v>67</v>
      </c>
      <c r="R143" s="92" t="s">
        <v>53</v>
      </c>
      <c r="S143" s="20">
        <v>250.898</v>
      </c>
    </row>
    <row r="144" spans="1:19" x14ac:dyDescent="0.15">
      <c r="A144" s="90">
        <v>44292</v>
      </c>
      <c r="B144" s="90" t="str">
        <f t="shared" si="20"/>
        <v>avril</v>
      </c>
      <c r="C144" s="90" t="str">
        <f t="shared" si="21"/>
        <v>2021</v>
      </c>
      <c r="D144" s="90" t="str">
        <f t="shared" si="22"/>
        <v>avril2021</v>
      </c>
      <c r="E144" s="91">
        <v>1345157</v>
      </c>
      <c r="F144" s="91">
        <v>80</v>
      </c>
      <c r="G144" s="94">
        <f t="shared" si="23"/>
        <v>0.08</v>
      </c>
      <c r="H144" s="92" t="s">
        <v>32</v>
      </c>
      <c r="I144" s="96">
        <f t="shared" si="18"/>
        <v>1</v>
      </c>
      <c r="J144" s="96">
        <f t="shared" si="19"/>
        <v>0</v>
      </c>
      <c r="K144" s="92">
        <f>VLOOKUP(H144,'Taux émission CO2e'!$A$5:$D$16,4,FALSE)</f>
        <v>6.7400000000000002E-2</v>
      </c>
      <c r="L144" s="93">
        <f t="shared" si="24"/>
        <v>0.24237579200000001</v>
      </c>
      <c r="M144" s="92">
        <f>VLOOKUP(H144,'Taux émission CO2e'!$A$20:$D$31,4,FALSE)</f>
        <v>0</v>
      </c>
      <c r="N144" s="105">
        <f t="shared" si="25"/>
        <v>0</v>
      </c>
      <c r="O144" s="93">
        <f t="shared" si="26"/>
        <v>0.24237579200000001</v>
      </c>
      <c r="P144" s="92">
        <v>98</v>
      </c>
      <c r="Q144" s="92" t="s">
        <v>58</v>
      </c>
      <c r="R144" s="92" t="s">
        <v>78</v>
      </c>
      <c r="S144" s="20">
        <v>44.951000000000001</v>
      </c>
    </row>
    <row r="145" spans="1:19" x14ac:dyDescent="0.15">
      <c r="A145" s="90">
        <v>44292</v>
      </c>
      <c r="B145" s="90" t="str">
        <f t="shared" si="20"/>
        <v>avril</v>
      </c>
      <c r="C145" s="90" t="str">
        <f t="shared" si="21"/>
        <v>2021</v>
      </c>
      <c r="D145" s="90" t="str">
        <f t="shared" si="22"/>
        <v>avril2021</v>
      </c>
      <c r="E145" s="91">
        <v>1339057</v>
      </c>
      <c r="F145" s="91">
        <v>300</v>
      </c>
      <c r="G145" s="94">
        <f t="shared" si="23"/>
        <v>0.3</v>
      </c>
      <c r="H145" s="92" t="s">
        <v>46</v>
      </c>
      <c r="I145" s="96">
        <f t="shared" si="18"/>
        <v>0.3</v>
      </c>
      <c r="J145" s="96">
        <f t="shared" si="19"/>
        <v>0.7</v>
      </c>
      <c r="K145" s="92">
        <f>VLOOKUP(H145,'Taux émission CO2e'!$A$5:$D$16,4,FALSE)</f>
        <v>0.16</v>
      </c>
      <c r="L145" s="93">
        <f t="shared" si="24"/>
        <v>3.8354832000000001</v>
      </c>
      <c r="M145" s="92">
        <f>VLOOKUP(H145,'Taux émission CO2e'!$A$20:$D$31,4,FALSE)</f>
        <v>6.7400000000000002E-2</v>
      </c>
      <c r="N145" s="105">
        <f t="shared" si="25"/>
        <v>3.769960362</v>
      </c>
      <c r="O145" s="93">
        <f t="shared" si="26"/>
        <v>7.6054435619999996</v>
      </c>
      <c r="P145" s="92">
        <v>135.77000000000001</v>
      </c>
      <c r="Q145" s="92" t="s">
        <v>77</v>
      </c>
      <c r="R145" s="92" t="s">
        <v>55</v>
      </c>
      <c r="S145" s="20">
        <v>266.35300000000001</v>
      </c>
    </row>
    <row r="146" spans="1:19" x14ac:dyDescent="0.15">
      <c r="A146" s="90">
        <v>44293</v>
      </c>
      <c r="B146" s="90" t="str">
        <f t="shared" si="20"/>
        <v>avril</v>
      </c>
      <c r="C146" s="90" t="str">
        <f t="shared" si="21"/>
        <v>2021</v>
      </c>
      <c r="D146" s="90" t="str">
        <f t="shared" si="22"/>
        <v>avril2021</v>
      </c>
      <c r="E146" s="91">
        <v>1345545</v>
      </c>
      <c r="F146" s="91">
        <v>150</v>
      </c>
      <c r="G146" s="94">
        <f t="shared" si="23"/>
        <v>0.15</v>
      </c>
      <c r="H146" s="92" t="s">
        <v>45</v>
      </c>
      <c r="I146" s="96">
        <f t="shared" si="18"/>
        <v>0.3</v>
      </c>
      <c r="J146" s="96">
        <f t="shared" si="19"/>
        <v>0.7</v>
      </c>
      <c r="K146" s="92">
        <f>VLOOKUP(H146,'Taux émission CO2e'!$A$5:$D$16,4,FALSE)</f>
        <v>0.16</v>
      </c>
      <c r="L146" s="93">
        <f t="shared" si="24"/>
        <v>1.83006</v>
      </c>
      <c r="M146" s="92">
        <f>VLOOKUP(H146,'Taux émission CO2e'!$A$20:$D$31,4,FALSE)</f>
        <v>6.7400000000000002E-2</v>
      </c>
      <c r="N146" s="105">
        <f t="shared" si="25"/>
        <v>1.7987964750000001</v>
      </c>
      <c r="O146" s="93">
        <f t="shared" si="26"/>
        <v>3.6288564750000001</v>
      </c>
      <c r="P146" s="92">
        <v>95</v>
      </c>
      <c r="Q146" s="92" t="s">
        <v>58</v>
      </c>
      <c r="R146" s="92" t="s">
        <v>93</v>
      </c>
      <c r="S146" s="20">
        <v>254.17500000000001</v>
      </c>
    </row>
    <row r="147" spans="1:19" x14ac:dyDescent="0.15">
      <c r="A147" s="90">
        <v>44294</v>
      </c>
      <c r="B147" s="90" t="str">
        <f t="shared" si="20"/>
        <v>avril</v>
      </c>
      <c r="C147" s="90" t="str">
        <f t="shared" si="21"/>
        <v>2021</v>
      </c>
      <c r="D147" s="90" t="str">
        <f t="shared" si="22"/>
        <v>avril2021</v>
      </c>
      <c r="E147" s="91">
        <v>1345650</v>
      </c>
      <c r="F147" s="91">
        <v>200</v>
      </c>
      <c r="G147" s="94">
        <f t="shared" si="23"/>
        <v>0.2</v>
      </c>
      <c r="H147" s="92" t="s">
        <v>46</v>
      </c>
      <c r="I147" s="96">
        <f t="shared" si="18"/>
        <v>0.3</v>
      </c>
      <c r="J147" s="96">
        <f t="shared" si="19"/>
        <v>0.7</v>
      </c>
      <c r="K147" s="92">
        <f>VLOOKUP(H147,'Taux émission CO2e'!$A$5:$D$16,4,FALSE)</f>
        <v>0.16</v>
      </c>
      <c r="L147" s="93">
        <f t="shared" si="24"/>
        <v>2.6701920000000001</v>
      </c>
      <c r="M147" s="92">
        <f>VLOOKUP(H147,'Taux émission CO2e'!$A$20:$D$31,4,FALSE)</f>
        <v>6.7400000000000002E-2</v>
      </c>
      <c r="N147" s="105">
        <f t="shared" si="25"/>
        <v>2.6245762199999998</v>
      </c>
      <c r="O147" s="93">
        <f t="shared" si="26"/>
        <v>5.2947682199999999</v>
      </c>
      <c r="P147" s="92">
        <v>90</v>
      </c>
      <c r="Q147" s="92" t="s">
        <v>74</v>
      </c>
      <c r="R147" s="92" t="s">
        <v>55</v>
      </c>
      <c r="S147" s="20">
        <v>278.14499999999998</v>
      </c>
    </row>
    <row r="148" spans="1:19" x14ac:dyDescent="0.15">
      <c r="A148" s="90">
        <v>44294</v>
      </c>
      <c r="B148" s="90" t="str">
        <f t="shared" si="20"/>
        <v>avril</v>
      </c>
      <c r="C148" s="90" t="str">
        <f t="shared" si="21"/>
        <v>2021</v>
      </c>
      <c r="D148" s="90" t="str">
        <f t="shared" si="22"/>
        <v>avril2021</v>
      </c>
      <c r="E148" s="91">
        <v>1345777</v>
      </c>
      <c r="F148" s="91">
        <v>200</v>
      </c>
      <c r="G148" s="94">
        <f t="shared" si="23"/>
        <v>0.2</v>
      </c>
      <c r="H148" s="92" t="s">
        <v>45</v>
      </c>
      <c r="I148" s="96">
        <f t="shared" si="18"/>
        <v>0.3</v>
      </c>
      <c r="J148" s="96">
        <f t="shared" si="19"/>
        <v>0.7</v>
      </c>
      <c r="K148" s="92">
        <f>VLOOKUP(H148,'Taux émission CO2e'!$A$5:$D$16,4,FALSE)</f>
        <v>0.16</v>
      </c>
      <c r="L148" s="93">
        <f t="shared" si="24"/>
        <v>4.958150400000001</v>
      </c>
      <c r="M148" s="92">
        <f>VLOOKUP(H148,'Taux émission CO2e'!$A$20:$D$31,4,FALSE)</f>
        <v>6.7400000000000002E-2</v>
      </c>
      <c r="N148" s="105">
        <f t="shared" si="25"/>
        <v>4.8734486640000005</v>
      </c>
      <c r="O148" s="93">
        <f t="shared" si="26"/>
        <v>9.8315990640000024</v>
      </c>
      <c r="P148" s="92">
        <v>165</v>
      </c>
      <c r="Q148" s="92" t="s">
        <v>52</v>
      </c>
      <c r="R148" s="92" t="s">
        <v>55</v>
      </c>
      <c r="S148" s="20">
        <v>516.47400000000005</v>
      </c>
    </row>
    <row r="149" spans="1:19" x14ac:dyDescent="0.15">
      <c r="A149" s="90">
        <v>44294</v>
      </c>
      <c r="B149" s="90" t="str">
        <f t="shared" si="20"/>
        <v>avril</v>
      </c>
      <c r="C149" s="90" t="str">
        <f t="shared" si="21"/>
        <v>2021</v>
      </c>
      <c r="D149" s="90" t="str">
        <f t="shared" si="22"/>
        <v>avril2021</v>
      </c>
      <c r="E149" s="91">
        <v>1345743</v>
      </c>
      <c r="F149" s="91">
        <v>800</v>
      </c>
      <c r="G149" s="94">
        <f t="shared" si="23"/>
        <v>0.8</v>
      </c>
      <c r="H149" s="92" t="s">
        <v>46</v>
      </c>
      <c r="I149" s="96">
        <f t="shared" si="18"/>
        <v>0.3</v>
      </c>
      <c r="J149" s="96">
        <f t="shared" si="19"/>
        <v>0.7</v>
      </c>
      <c r="K149" s="92">
        <f>VLOOKUP(H149,'Taux émission CO2e'!$A$5:$D$16,4,FALSE)</f>
        <v>0.16</v>
      </c>
      <c r="L149" s="93">
        <f t="shared" si="24"/>
        <v>10.227955200000002</v>
      </c>
      <c r="M149" s="92">
        <f>VLOOKUP(H149,'Taux émission CO2e'!$A$20:$D$31,4,FALSE)</f>
        <v>6.7400000000000002E-2</v>
      </c>
      <c r="N149" s="105">
        <f t="shared" si="25"/>
        <v>10.053227632</v>
      </c>
      <c r="O149" s="93">
        <f t="shared" si="26"/>
        <v>20.281182832000002</v>
      </c>
      <c r="P149" s="92">
        <v>300</v>
      </c>
      <c r="Q149" s="92" t="s">
        <v>77</v>
      </c>
      <c r="R149" s="92" t="s">
        <v>55</v>
      </c>
      <c r="S149" s="20">
        <v>266.35300000000001</v>
      </c>
    </row>
    <row r="150" spans="1:19" x14ac:dyDescent="0.15">
      <c r="A150" s="90">
        <v>44295</v>
      </c>
      <c r="B150" s="90" t="str">
        <f t="shared" si="20"/>
        <v>avril</v>
      </c>
      <c r="C150" s="90" t="str">
        <f t="shared" si="21"/>
        <v>2021</v>
      </c>
      <c r="D150" s="90" t="str">
        <f t="shared" si="22"/>
        <v>avril2021</v>
      </c>
      <c r="E150" s="91">
        <v>1345945</v>
      </c>
      <c r="F150" s="91">
        <v>200</v>
      </c>
      <c r="G150" s="94">
        <f t="shared" si="23"/>
        <v>0.2</v>
      </c>
      <c r="H150" s="92" t="s">
        <v>46</v>
      </c>
      <c r="I150" s="96">
        <f t="shared" si="18"/>
        <v>0.3</v>
      </c>
      <c r="J150" s="96">
        <f t="shared" si="19"/>
        <v>0.7</v>
      </c>
      <c r="K150" s="92">
        <f>VLOOKUP(H150,'Taux émission CO2e'!$A$5:$D$16,4,FALSE)</f>
        <v>0.16</v>
      </c>
      <c r="L150" s="93">
        <f t="shared" si="24"/>
        <v>2.6735712000000005</v>
      </c>
      <c r="M150" s="92">
        <f>VLOOKUP(H150,'Taux émission CO2e'!$A$20:$D$31,4,FALSE)</f>
        <v>6.7400000000000002E-2</v>
      </c>
      <c r="N150" s="105">
        <f t="shared" si="25"/>
        <v>2.6278976919999999</v>
      </c>
      <c r="O150" s="93">
        <f t="shared" si="26"/>
        <v>5.3014688920000008</v>
      </c>
      <c r="P150" s="92">
        <v>131</v>
      </c>
      <c r="Q150" s="92" t="s">
        <v>90</v>
      </c>
      <c r="R150" s="92" t="s">
        <v>55</v>
      </c>
      <c r="S150" s="20">
        <v>278.49700000000001</v>
      </c>
    </row>
    <row r="151" spans="1:19" x14ac:dyDescent="0.15">
      <c r="A151" s="90">
        <v>44295</v>
      </c>
      <c r="B151" s="90" t="str">
        <f t="shared" si="20"/>
        <v>avril</v>
      </c>
      <c r="C151" s="90" t="str">
        <f t="shared" si="21"/>
        <v>2021</v>
      </c>
      <c r="D151" s="90" t="str">
        <f t="shared" si="22"/>
        <v>avril2021</v>
      </c>
      <c r="E151" s="91">
        <v>1346496</v>
      </c>
      <c r="F151" s="91">
        <v>100</v>
      </c>
      <c r="G151" s="94">
        <f t="shared" si="23"/>
        <v>0.1</v>
      </c>
      <c r="H151" s="92" t="s">
        <v>45</v>
      </c>
      <c r="I151" s="96">
        <f t="shared" si="18"/>
        <v>0.3</v>
      </c>
      <c r="J151" s="96">
        <f t="shared" si="19"/>
        <v>0.7</v>
      </c>
      <c r="K151" s="92">
        <f>VLOOKUP(H151,'Taux émission CO2e'!$A$5:$D$16,4,FALSE)</f>
        <v>0.16</v>
      </c>
      <c r="L151" s="93">
        <f t="shared" si="24"/>
        <v>2.6330736000000003</v>
      </c>
      <c r="M151" s="92">
        <f>VLOOKUP(H151,'Taux émission CO2e'!$A$20:$D$31,4,FALSE)</f>
        <v>6.7400000000000002E-2</v>
      </c>
      <c r="N151" s="105">
        <f t="shared" si="25"/>
        <v>2.5880919260000002</v>
      </c>
      <c r="O151" s="93">
        <f t="shared" si="26"/>
        <v>5.2211655260000001</v>
      </c>
      <c r="P151" s="92">
        <v>133</v>
      </c>
      <c r="Q151" s="92" t="s">
        <v>58</v>
      </c>
      <c r="R151" s="92" t="s">
        <v>104</v>
      </c>
      <c r="S151" s="20">
        <v>548.55700000000002</v>
      </c>
    </row>
    <row r="152" spans="1:19" x14ac:dyDescent="0.15">
      <c r="A152" s="90">
        <v>44295</v>
      </c>
      <c r="B152" s="90" t="str">
        <f t="shared" si="20"/>
        <v>avril</v>
      </c>
      <c r="C152" s="90" t="str">
        <f t="shared" si="21"/>
        <v>2021</v>
      </c>
      <c r="D152" s="90" t="str">
        <f t="shared" si="22"/>
        <v>avril2021</v>
      </c>
      <c r="E152" s="91">
        <v>1346501</v>
      </c>
      <c r="F152" s="91">
        <v>60</v>
      </c>
      <c r="G152" s="94">
        <f t="shared" si="23"/>
        <v>0.06</v>
      </c>
      <c r="H152" s="92" t="s">
        <v>45</v>
      </c>
      <c r="I152" s="96">
        <f t="shared" si="18"/>
        <v>0.3</v>
      </c>
      <c r="J152" s="96">
        <f t="shared" si="19"/>
        <v>0.7</v>
      </c>
      <c r="K152" s="92">
        <f>VLOOKUP(H152,'Taux émission CO2e'!$A$5:$D$16,4,FALSE)</f>
        <v>0.16</v>
      </c>
      <c r="L152" s="93">
        <f t="shared" si="24"/>
        <v>1.4854982399999999</v>
      </c>
      <c r="M152" s="92">
        <f>VLOOKUP(H152,'Taux émission CO2e'!$A$20:$D$31,4,FALSE)</f>
        <v>6.7400000000000002E-2</v>
      </c>
      <c r="N152" s="105">
        <f t="shared" si="25"/>
        <v>1.4601209784</v>
      </c>
      <c r="O152" s="93">
        <f t="shared" si="26"/>
        <v>2.9456192184000001</v>
      </c>
      <c r="P152" s="92">
        <v>140</v>
      </c>
      <c r="Q152" s="92" t="s">
        <v>58</v>
      </c>
      <c r="R152" s="92" t="s">
        <v>57</v>
      </c>
      <c r="S152" s="20">
        <v>515.798</v>
      </c>
    </row>
    <row r="153" spans="1:19" x14ac:dyDescent="0.15">
      <c r="A153" s="90">
        <v>44295</v>
      </c>
      <c r="B153" s="90" t="str">
        <f t="shared" si="20"/>
        <v>avril</v>
      </c>
      <c r="C153" s="90" t="str">
        <f t="shared" si="21"/>
        <v>2021</v>
      </c>
      <c r="D153" s="90" t="str">
        <f t="shared" si="22"/>
        <v>avril2021</v>
      </c>
      <c r="E153" s="91">
        <v>1346397</v>
      </c>
      <c r="F153" s="91">
        <v>50</v>
      </c>
      <c r="G153" s="94">
        <f t="shared" si="23"/>
        <v>0.05</v>
      </c>
      <c r="H153" s="92" t="s">
        <v>32</v>
      </c>
      <c r="I153" s="96">
        <f t="shared" si="18"/>
        <v>1</v>
      </c>
      <c r="J153" s="96">
        <f t="shared" si="19"/>
        <v>0</v>
      </c>
      <c r="K153" s="92">
        <f>VLOOKUP(H153,'Taux émission CO2e'!$A$5:$D$16,4,FALSE)</f>
        <v>6.7400000000000002E-2</v>
      </c>
      <c r="L153" s="93">
        <f t="shared" si="24"/>
        <v>0.25190413</v>
      </c>
      <c r="M153" s="92">
        <f>VLOOKUP(H153,'Taux émission CO2e'!$A$20:$D$31,4,FALSE)</f>
        <v>0</v>
      </c>
      <c r="N153" s="105">
        <f t="shared" si="25"/>
        <v>0</v>
      </c>
      <c r="O153" s="93">
        <f t="shared" si="26"/>
        <v>0.25190413</v>
      </c>
      <c r="P153" s="92">
        <v>154</v>
      </c>
      <c r="Q153" s="92" t="s">
        <v>58</v>
      </c>
      <c r="R153" s="92" t="s">
        <v>84</v>
      </c>
      <c r="S153" s="20">
        <v>74.748999999999995</v>
      </c>
    </row>
    <row r="154" spans="1:19" x14ac:dyDescent="0.15">
      <c r="A154" s="90">
        <v>44295</v>
      </c>
      <c r="B154" s="90" t="str">
        <f t="shared" si="20"/>
        <v>avril</v>
      </c>
      <c r="C154" s="90" t="str">
        <f t="shared" si="21"/>
        <v>2021</v>
      </c>
      <c r="D154" s="90" t="str">
        <f t="shared" si="22"/>
        <v>avril2021</v>
      </c>
      <c r="E154" s="91">
        <v>1346163</v>
      </c>
      <c r="F154" s="91">
        <v>200</v>
      </c>
      <c r="G154" s="94">
        <f t="shared" si="23"/>
        <v>0.2</v>
      </c>
      <c r="H154" s="92" t="s">
        <v>46</v>
      </c>
      <c r="I154" s="96">
        <f t="shared" si="18"/>
        <v>0.3</v>
      </c>
      <c r="J154" s="96">
        <f t="shared" si="19"/>
        <v>0.7</v>
      </c>
      <c r="K154" s="92">
        <f>VLOOKUP(H154,'Taux émission CO2e'!$A$5:$D$16,4,FALSE)</f>
        <v>0.16</v>
      </c>
      <c r="L154" s="93">
        <f t="shared" si="24"/>
        <v>3.6536256000000003</v>
      </c>
      <c r="M154" s="92">
        <f>VLOOKUP(H154,'Taux émission CO2e'!$A$20:$D$31,4,FALSE)</f>
        <v>6.7400000000000002E-2</v>
      </c>
      <c r="N154" s="105">
        <f t="shared" si="25"/>
        <v>3.5912094960000003</v>
      </c>
      <c r="O154" s="93">
        <f t="shared" si="26"/>
        <v>7.244835096000001</v>
      </c>
      <c r="P154" s="92">
        <v>200</v>
      </c>
      <c r="Q154" s="92" t="s">
        <v>91</v>
      </c>
      <c r="R154" s="92" t="s">
        <v>55</v>
      </c>
      <c r="S154" s="20">
        <v>380.58600000000001</v>
      </c>
    </row>
    <row r="155" spans="1:19" x14ac:dyDescent="0.15">
      <c r="A155" s="90">
        <v>44295</v>
      </c>
      <c r="B155" s="90" t="str">
        <f t="shared" si="20"/>
        <v>avril</v>
      </c>
      <c r="C155" s="90" t="str">
        <f t="shared" si="21"/>
        <v>2021</v>
      </c>
      <c r="D155" s="90" t="str">
        <f t="shared" si="22"/>
        <v>avril2021</v>
      </c>
      <c r="E155" s="91">
        <v>1346206</v>
      </c>
      <c r="F155" s="92">
        <v>1000</v>
      </c>
      <c r="G155" s="94">
        <f t="shared" si="23"/>
        <v>1</v>
      </c>
      <c r="H155" s="92" t="s">
        <v>43</v>
      </c>
      <c r="I155" s="96">
        <f t="shared" si="18"/>
        <v>1</v>
      </c>
      <c r="J155" s="96">
        <f t="shared" si="19"/>
        <v>0</v>
      </c>
      <c r="K155" s="92">
        <f>VLOOKUP(H155,'Taux émission CO2e'!$A$5:$D$16,4,FALSE)</f>
        <v>0.16</v>
      </c>
      <c r="L155" s="93">
        <f t="shared" si="24"/>
        <v>8.7617600000000007</v>
      </c>
      <c r="M155" s="92">
        <f>VLOOKUP(H155,'Taux émission CO2e'!$A$20:$D$31,4,FALSE)</f>
        <v>0</v>
      </c>
      <c r="N155" s="105">
        <f t="shared" si="25"/>
        <v>0</v>
      </c>
      <c r="O155" s="93">
        <f t="shared" si="26"/>
        <v>8.7617600000000007</v>
      </c>
      <c r="P155" s="92">
        <v>266</v>
      </c>
      <c r="Q155" s="92" t="s">
        <v>56</v>
      </c>
      <c r="R155" s="92" t="s">
        <v>55</v>
      </c>
      <c r="S155" s="20">
        <v>54.761000000000003</v>
      </c>
    </row>
    <row r="156" spans="1:19" x14ac:dyDescent="0.15">
      <c r="A156" s="90">
        <v>44298</v>
      </c>
      <c r="B156" s="90" t="str">
        <f t="shared" si="20"/>
        <v>avril</v>
      </c>
      <c r="C156" s="90" t="str">
        <f t="shared" si="21"/>
        <v>2021</v>
      </c>
      <c r="D156" s="90" t="str">
        <f t="shared" si="22"/>
        <v>avril2021</v>
      </c>
      <c r="E156" s="91">
        <v>1346890</v>
      </c>
      <c r="F156" s="91">
        <v>30</v>
      </c>
      <c r="G156" s="94">
        <f t="shared" si="23"/>
        <v>0.03</v>
      </c>
      <c r="H156" s="92" t="s">
        <v>45</v>
      </c>
      <c r="I156" s="96">
        <f t="shared" si="18"/>
        <v>0.3</v>
      </c>
      <c r="J156" s="96">
        <f t="shared" si="19"/>
        <v>0.7</v>
      </c>
      <c r="K156" s="92">
        <f>VLOOKUP(H156,'Taux émission CO2e'!$A$5:$D$16,4,FALSE)</f>
        <v>0.16</v>
      </c>
      <c r="L156" s="93">
        <f t="shared" si="24"/>
        <v>0.38327903999999996</v>
      </c>
      <c r="M156" s="92">
        <f>VLOOKUP(H156,'Taux émission CO2e'!$A$20:$D$31,4,FALSE)</f>
        <v>6.7400000000000002E-2</v>
      </c>
      <c r="N156" s="105">
        <f t="shared" si="25"/>
        <v>0.37673135639999999</v>
      </c>
      <c r="O156" s="93">
        <f t="shared" si="26"/>
        <v>0.76001039640000001</v>
      </c>
      <c r="P156" s="92">
        <v>95</v>
      </c>
      <c r="Q156" s="92" t="s">
        <v>58</v>
      </c>
      <c r="R156" s="92" t="s">
        <v>53</v>
      </c>
      <c r="S156" s="20">
        <v>266.166</v>
      </c>
    </row>
    <row r="157" spans="1:19" x14ac:dyDescent="0.15">
      <c r="A157" s="90">
        <v>44298</v>
      </c>
      <c r="B157" s="90" t="str">
        <f t="shared" si="20"/>
        <v>avril</v>
      </c>
      <c r="C157" s="90" t="str">
        <f t="shared" si="21"/>
        <v>2021</v>
      </c>
      <c r="D157" s="90" t="str">
        <f t="shared" si="22"/>
        <v>avril2021</v>
      </c>
      <c r="E157" s="91">
        <v>1346903</v>
      </c>
      <c r="F157" s="91">
        <v>30</v>
      </c>
      <c r="G157" s="94">
        <f t="shared" si="23"/>
        <v>0.03</v>
      </c>
      <c r="H157" s="92" t="s">
        <v>45</v>
      </c>
      <c r="I157" s="96">
        <f t="shared" si="18"/>
        <v>0.3</v>
      </c>
      <c r="J157" s="96">
        <f t="shared" si="19"/>
        <v>0.7</v>
      </c>
      <c r="K157" s="92">
        <f>VLOOKUP(H157,'Taux émission CO2e'!$A$5:$D$16,4,FALSE)</f>
        <v>0.16</v>
      </c>
      <c r="L157" s="93">
        <f t="shared" si="24"/>
        <v>0.54785519999999988</v>
      </c>
      <c r="M157" s="92">
        <f>VLOOKUP(H157,'Taux émission CO2e'!$A$20:$D$31,4,FALSE)</f>
        <v>6.7400000000000002E-2</v>
      </c>
      <c r="N157" s="105">
        <f t="shared" si="25"/>
        <v>0.538496007</v>
      </c>
      <c r="O157" s="93">
        <f t="shared" si="26"/>
        <v>1.0863512069999999</v>
      </c>
      <c r="P157" s="92">
        <v>123</v>
      </c>
      <c r="Q157" s="92" t="s">
        <v>58</v>
      </c>
      <c r="R157" s="92" t="s">
        <v>83</v>
      </c>
      <c r="S157" s="20">
        <v>380.45499999999998</v>
      </c>
    </row>
    <row r="158" spans="1:19" x14ac:dyDescent="0.15">
      <c r="A158" s="90">
        <v>44298</v>
      </c>
      <c r="B158" s="90" t="str">
        <f t="shared" si="20"/>
        <v>avril</v>
      </c>
      <c r="C158" s="90" t="str">
        <f t="shared" si="21"/>
        <v>2021</v>
      </c>
      <c r="D158" s="90" t="str">
        <f t="shared" si="22"/>
        <v>avril2021</v>
      </c>
      <c r="E158" s="91">
        <v>1346672</v>
      </c>
      <c r="F158" s="91">
        <v>225</v>
      </c>
      <c r="G158" s="94">
        <f t="shared" si="23"/>
        <v>0.22500000000000001</v>
      </c>
      <c r="H158" s="92" t="s">
        <v>46</v>
      </c>
      <c r="I158" s="96">
        <f t="shared" si="18"/>
        <v>0.3</v>
      </c>
      <c r="J158" s="96">
        <f t="shared" si="19"/>
        <v>0.7</v>
      </c>
      <c r="K158" s="92">
        <f>VLOOKUP(H158,'Taux émission CO2e'!$A$5:$D$16,4,FALSE)</f>
        <v>0.16</v>
      </c>
      <c r="L158" s="93">
        <f t="shared" si="24"/>
        <v>8.7968376000000017</v>
      </c>
      <c r="M158" s="92">
        <f>VLOOKUP(H158,'Taux émission CO2e'!$A$20:$D$31,4,FALSE)</f>
        <v>6.7400000000000002E-2</v>
      </c>
      <c r="N158" s="105">
        <f t="shared" si="25"/>
        <v>8.6465582909999998</v>
      </c>
      <c r="O158" s="93">
        <f t="shared" si="26"/>
        <v>17.443395891000002</v>
      </c>
      <c r="P158" s="92">
        <v>192</v>
      </c>
      <c r="Q158" s="92" t="s">
        <v>62</v>
      </c>
      <c r="R158" s="92" t="s">
        <v>53</v>
      </c>
      <c r="S158" s="20">
        <v>814.52200000000005</v>
      </c>
    </row>
    <row r="159" spans="1:19" x14ac:dyDescent="0.15">
      <c r="A159" s="90">
        <v>44298</v>
      </c>
      <c r="B159" s="90" t="str">
        <f t="shared" si="20"/>
        <v>avril</v>
      </c>
      <c r="C159" s="90" t="str">
        <f t="shared" si="21"/>
        <v>2021</v>
      </c>
      <c r="D159" s="90" t="str">
        <f t="shared" si="22"/>
        <v>avril2021</v>
      </c>
      <c r="E159" s="91">
        <v>1346894</v>
      </c>
      <c r="F159" s="91">
        <v>30</v>
      </c>
      <c r="G159" s="94">
        <f t="shared" si="23"/>
        <v>0.03</v>
      </c>
      <c r="H159" s="92" t="s">
        <v>46</v>
      </c>
      <c r="I159" s="96">
        <f t="shared" si="18"/>
        <v>0.3</v>
      </c>
      <c r="J159" s="96">
        <f t="shared" si="19"/>
        <v>0.7</v>
      </c>
      <c r="K159" s="92">
        <f>VLOOKUP(H159,'Taux émission CO2e'!$A$5:$D$16,4,FALSE)</f>
        <v>0.16</v>
      </c>
      <c r="L159" s="93">
        <f t="shared" si="24"/>
        <v>1.20587472</v>
      </c>
      <c r="M159" s="92">
        <f>VLOOKUP(H159,'Taux émission CO2e'!$A$20:$D$31,4,FALSE)</f>
        <v>6.7400000000000002E-2</v>
      </c>
      <c r="N159" s="105">
        <f t="shared" si="25"/>
        <v>1.1852743602</v>
      </c>
      <c r="O159" s="93">
        <f t="shared" si="26"/>
        <v>2.3911490801999999</v>
      </c>
      <c r="P159" s="92">
        <v>210</v>
      </c>
      <c r="Q159" s="92" t="s">
        <v>58</v>
      </c>
      <c r="R159" s="92" t="s">
        <v>61</v>
      </c>
      <c r="S159" s="20">
        <v>837.41300000000001</v>
      </c>
    </row>
    <row r="160" spans="1:19" x14ac:dyDescent="0.15">
      <c r="A160" s="90">
        <v>44300</v>
      </c>
      <c r="B160" s="90" t="str">
        <f t="shared" si="20"/>
        <v>avril</v>
      </c>
      <c r="C160" s="90" t="str">
        <f t="shared" si="21"/>
        <v>2021</v>
      </c>
      <c r="D160" s="90" t="str">
        <f t="shared" si="22"/>
        <v>avril2021</v>
      </c>
      <c r="E160" s="91">
        <v>1347757</v>
      </c>
      <c r="F160" s="91">
        <v>200</v>
      </c>
      <c r="G160" s="94">
        <f t="shared" si="23"/>
        <v>0.2</v>
      </c>
      <c r="H160" s="92" t="s">
        <v>45</v>
      </c>
      <c r="I160" s="96">
        <f t="shared" si="18"/>
        <v>0.3</v>
      </c>
      <c r="J160" s="96">
        <f t="shared" si="19"/>
        <v>0.7</v>
      </c>
      <c r="K160" s="92">
        <f>VLOOKUP(H160,'Taux émission CO2e'!$A$5:$D$16,4,FALSE)</f>
        <v>0.16</v>
      </c>
      <c r="L160" s="93">
        <f t="shared" si="24"/>
        <v>2.4026688000000003</v>
      </c>
      <c r="M160" s="92">
        <f>VLOOKUP(H160,'Taux émission CO2e'!$A$20:$D$31,4,FALSE)</f>
        <v>6.7400000000000002E-2</v>
      </c>
      <c r="N160" s="105">
        <f t="shared" si="25"/>
        <v>2.3616232079999997</v>
      </c>
      <c r="O160" s="93">
        <f t="shared" si="26"/>
        <v>4.764292008</v>
      </c>
      <c r="P160" s="92">
        <v>125</v>
      </c>
      <c r="Q160" s="92" t="s">
        <v>89</v>
      </c>
      <c r="R160" s="92" t="s">
        <v>55</v>
      </c>
      <c r="S160" s="20">
        <v>250.27799999999999</v>
      </c>
    </row>
    <row r="161" spans="1:19" x14ac:dyDescent="0.15">
      <c r="A161" s="90">
        <v>44301</v>
      </c>
      <c r="B161" s="90" t="str">
        <f t="shared" si="20"/>
        <v>avril</v>
      </c>
      <c r="C161" s="90" t="str">
        <f t="shared" si="21"/>
        <v>2021</v>
      </c>
      <c r="D161" s="90" t="str">
        <f t="shared" si="22"/>
        <v>avril2021</v>
      </c>
      <c r="E161" s="91">
        <v>1348614</v>
      </c>
      <c r="F161" s="91">
        <v>90</v>
      </c>
      <c r="G161" s="94">
        <f t="shared" si="23"/>
        <v>0.09</v>
      </c>
      <c r="H161" s="92" t="s">
        <v>45</v>
      </c>
      <c r="I161" s="96">
        <f t="shared" si="18"/>
        <v>0.3</v>
      </c>
      <c r="J161" s="96">
        <f t="shared" si="19"/>
        <v>0.7</v>
      </c>
      <c r="K161" s="92">
        <f>VLOOKUP(H161,'Taux émission CO2e'!$A$5:$D$16,4,FALSE)</f>
        <v>0.16</v>
      </c>
      <c r="L161" s="93">
        <f t="shared" si="24"/>
        <v>1.06184736</v>
      </c>
      <c r="M161" s="92">
        <f>VLOOKUP(H161,'Taux émission CO2e'!$A$20:$D$31,4,FALSE)</f>
        <v>6.7400000000000002E-2</v>
      </c>
      <c r="N161" s="105">
        <f t="shared" si="25"/>
        <v>1.0437074675999998</v>
      </c>
      <c r="O161" s="93">
        <f t="shared" si="26"/>
        <v>2.1055548275999998</v>
      </c>
      <c r="P161" s="92">
        <v>95</v>
      </c>
      <c r="Q161" s="92" t="s">
        <v>58</v>
      </c>
      <c r="R161" s="92" t="s">
        <v>105</v>
      </c>
      <c r="S161" s="20">
        <v>245.798</v>
      </c>
    </row>
    <row r="162" spans="1:19" x14ac:dyDescent="0.15">
      <c r="A162" s="90">
        <v>44301</v>
      </c>
      <c r="B162" s="90" t="str">
        <f t="shared" si="20"/>
        <v>avril</v>
      </c>
      <c r="C162" s="90" t="str">
        <f t="shared" si="21"/>
        <v>2021</v>
      </c>
      <c r="D162" s="90" t="str">
        <f t="shared" si="22"/>
        <v>avril2021</v>
      </c>
      <c r="E162" s="91">
        <v>1347979</v>
      </c>
      <c r="F162" s="91">
        <v>200</v>
      </c>
      <c r="G162" s="94">
        <f t="shared" si="23"/>
        <v>0.2</v>
      </c>
      <c r="H162" s="92" t="s">
        <v>45</v>
      </c>
      <c r="I162" s="96">
        <f t="shared" si="18"/>
        <v>0.3</v>
      </c>
      <c r="J162" s="96">
        <f t="shared" si="19"/>
        <v>0.7</v>
      </c>
      <c r="K162" s="92">
        <f>VLOOKUP(H162,'Taux émission CO2e'!$A$5:$D$16,4,FALSE)</f>
        <v>0.16</v>
      </c>
      <c r="L162" s="93">
        <f t="shared" si="24"/>
        <v>2.5569888000000005</v>
      </c>
      <c r="M162" s="92">
        <f>VLOOKUP(H162,'Taux émission CO2e'!$A$20:$D$31,4,FALSE)</f>
        <v>6.7400000000000002E-2</v>
      </c>
      <c r="N162" s="105">
        <f t="shared" si="25"/>
        <v>2.5133069080000001</v>
      </c>
      <c r="O162" s="93">
        <f t="shared" si="26"/>
        <v>5.0702957080000006</v>
      </c>
      <c r="P162" s="92">
        <v>125</v>
      </c>
      <c r="Q162" s="92" t="s">
        <v>77</v>
      </c>
      <c r="R162" s="92" t="s">
        <v>55</v>
      </c>
      <c r="S162" s="20">
        <v>266.35300000000001</v>
      </c>
    </row>
    <row r="163" spans="1:19" x14ac:dyDescent="0.15">
      <c r="A163" s="90">
        <v>44301</v>
      </c>
      <c r="B163" s="90" t="str">
        <f t="shared" si="20"/>
        <v>avril</v>
      </c>
      <c r="C163" s="90" t="str">
        <f t="shared" si="21"/>
        <v>2021</v>
      </c>
      <c r="D163" s="90" t="str">
        <f t="shared" si="22"/>
        <v>avril2021</v>
      </c>
      <c r="E163" s="91">
        <v>1347978</v>
      </c>
      <c r="F163" s="92">
        <v>1000</v>
      </c>
      <c r="G163" s="94">
        <f t="shared" si="23"/>
        <v>1</v>
      </c>
      <c r="H163" s="92" t="s">
        <v>46</v>
      </c>
      <c r="I163" s="96">
        <f t="shared" si="18"/>
        <v>0.3</v>
      </c>
      <c r="J163" s="96">
        <f t="shared" si="19"/>
        <v>0.7</v>
      </c>
      <c r="K163" s="92">
        <f>VLOOKUP(H163,'Taux émission CO2e'!$A$5:$D$16,4,FALSE)</f>
        <v>0.16</v>
      </c>
      <c r="L163" s="93">
        <f t="shared" si="24"/>
        <v>13.367856000000002</v>
      </c>
      <c r="M163" s="92">
        <f>VLOOKUP(H163,'Taux émission CO2e'!$A$20:$D$31,4,FALSE)</f>
        <v>6.7400000000000002E-2</v>
      </c>
      <c r="N163" s="105">
        <f t="shared" si="25"/>
        <v>13.139488460000001</v>
      </c>
      <c r="O163" s="93">
        <f t="shared" si="26"/>
        <v>26.507344460000002</v>
      </c>
      <c r="P163" s="92">
        <v>131</v>
      </c>
      <c r="Q163" s="92" t="s">
        <v>90</v>
      </c>
      <c r="R163" s="92" t="s">
        <v>55</v>
      </c>
      <c r="S163" s="20">
        <v>278.49700000000001</v>
      </c>
    </row>
    <row r="164" spans="1:19" x14ac:dyDescent="0.15">
      <c r="A164" s="90">
        <v>44301</v>
      </c>
      <c r="B164" s="90" t="str">
        <f t="shared" si="20"/>
        <v>avril</v>
      </c>
      <c r="C164" s="90" t="str">
        <f t="shared" si="21"/>
        <v>2021</v>
      </c>
      <c r="D164" s="90" t="str">
        <f t="shared" si="22"/>
        <v>avril2021</v>
      </c>
      <c r="E164" s="91">
        <v>1348782</v>
      </c>
      <c r="F164" s="91">
        <v>200</v>
      </c>
      <c r="G164" s="94">
        <f t="shared" si="23"/>
        <v>0.2</v>
      </c>
      <c r="H164" s="92" t="s">
        <v>46</v>
      </c>
      <c r="I164" s="96">
        <f t="shared" si="18"/>
        <v>0.3</v>
      </c>
      <c r="J164" s="96">
        <f t="shared" si="19"/>
        <v>0.7</v>
      </c>
      <c r="K164" s="92">
        <f>VLOOKUP(H164,'Taux émission CO2e'!$A$5:$D$16,4,FALSE)</f>
        <v>0.16</v>
      </c>
      <c r="L164" s="93">
        <f t="shared" si="24"/>
        <v>2.4772128000000002</v>
      </c>
      <c r="M164" s="92">
        <f>VLOOKUP(H164,'Taux émission CO2e'!$A$20:$D$31,4,FALSE)</f>
        <v>6.7400000000000002E-2</v>
      </c>
      <c r="N164" s="105">
        <f t="shared" si="25"/>
        <v>2.4348937479999999</v>
      </c>
      <c r="O164" s="93">
        <f t="shared" si="26"/>
        <v>4.9121065480000006</v>
      </c>
      <c r="P164" s="92">
        <v>131</v>
      </c>
      <c r="Q164" s="92" t="s">
        <v>102</v>
      </c>
      <c r="R164" s="92" t="s">
        <v>55</v>
      </c>
      <c r="S164" s="20">
        <v>258.04300000000001</v>
      </c>
    </row>
    <row r="165" spans="1:19" x14ac:dyDescent="0.15">
      <c r="A165" s="90">
        <v>44301</v>
      </c>
      <c r="B165" s="90" t="str">
        <f t="shared" si="20"/>
        <v>avril</v>
      </c>
      <c r="C165" s="90" t="str">
        <f t="shared" si="21"/>
        <v>2021</v>
      </c>
      <c r="D165" s="90" t="str">
        <f t="shared" si="22"/>
        <v>avril2021</v>
      </c>
      <c r="E165" s="91">
        <v>1348311</v>
      </c>
      <c r="F165" s="91">
        <v>400</v>
      </c>
      <c r="G165" s="94">
        <f t="shared" si="23"/>
        <v>0.4</v>
      </c>
      <c r="H165" s="92" t="s">
        <v>45</v>
      </c>
      <c r="I165" s="96">
        <f t="shared" si="18"/>
        <v>0.3</v>
      </c>
      <c r="J165" s="96">
        <f t="shared" si="19"/>
        <v>0.7</v>
      </c>
      <c r="K165" s="92">
        <f>VLOOKUP(H165,'Taux émission CO2e'!$A$5:$D$16,4,FALSE)</f>
        <v>0.16</v>
      </c>
      <c r="L165" s="93">
        <f t="shared" si="24"/>
        <v>9.9163008000000019</v>
      </c>
      <c r="M165" s="92">
        <f>VLOOKUP(H165,'Taux émission CO2e'!$A$20:$D$31,4,FALSE)</f>
        <v>6.7400000000000002E-2</v>
      </c>
      <c r="N165" s="105">
        <f t="shared" si="25"/>
        <v>9.7468973280000011</v>
      </c>
      <c r="O165" s="93">
        <f t="shared" si="26"/>
        <v>19.663198128000005</v>
      </c>
      <c r="P165" s="92">
        <v>228</v>
      </c>
      <c r="Q165" s="92" t="s">
        <v>52</v>
      </c>
      <c r="R165" s="92" t="s">
        <v>55</v>
      </c>
      <c r="S165" s="20">
        <v>516.47400000000005</v>
      </c>
    </row>
    <row r="166" spans="1:19" x14ac:dyDescent="0.15">
      <c r="A166" s="90">
        <v>44302</v>
      </c>
      <c r="B166" s="90" t="str">
        <f t="shared" si="20"/>
        <v>avril</v>
      </c>
      <c r="C166" s="90" t="str">
        <f t="shared" si="21"/>
        <v>2021</v>
      </c>
      <c r="D166" s="90" t="str">
        <f t="shared" si="22"/>
        <v>avril2021</v>
      </c>
      <c r="E166" s="91">
        <v>1348848</v>
      </c>
      <c r="F166" s="91">
        <v>40</v>
      </c>
      <c r="G166" s="94">
        <f t="shared" si="23"/>
        <v>0.04</v>
      </c>
      <c r="H166" s="92" t="s">
        <v>45</v>
      </c>
      <c r="I166" s="96">
        <f t="shared" si="18"/>
        <v>0.3</v>
      </c>
      <c r="J166" s="96">
        <f t="shared" si="19"/>
        <v>0.7</v>
      </c>
      <c r="K166" s="92">
        <f>VLOOKUP(H166,'Taux émission CO2e'!$A$5:$D$16,4,FALSE)</f>
        <v>0.16</v>
      </c>
      <c r="L166" s="93">
        <f t="shared" si="24"/>
        <v>0.47769023999999999</v>
      </c>
      <c r="M166" s="92">
        <f>VLOOKUP(H166,'Taux émission CO2e'!$A$20:$D$31,4,FALSE)</f>
        <v>6.7400000000000002E-2</v>
      </c>
      <c r="N166" s="105">
        <f t="shared" si="25"/>
        <v>0.46952969840000003</v>
      </c>
      <c r="O166" s="93">
        <f t="shared" si="26"/>
        <v>0.94721993839999996</v>
      </c>
      <c r="P166" s="92">
        <v>92</v>
      </c>
      <c r="Q166" s="92" t="s">
        <v>58</v>
      </c>
      <c r="R166" s="92" t="s">
        <v>82</v>
      </c>
      <c r="S166" s="20">
        <v>248.797</v>
      </c>
    </row>
    <row r="167" spans="1:19" x14ac:dyDescent="0.15">
      <c r="A167" s="90">
        <v>44302</v>
      </c>
      <c r="B167" s="90" t="str">
        <f t="shared" si="20"/>
        <v>avril</v>
      </c>
      <c r="C167" s="90" t="str">
        <f t="shared" si="21"/>
        <v>2021</v>
      </c>
      <c r="D167" s="90" t="str">
        <f t="shared" si="22"/>
        <v>avril2021</v>
      </c>
      <c r="E167" s="91">
        <v>1348734</v>
      </c>
      <c r="F167" s="91">
        <v>200</v>
      </c>
      <c r="G167" s="94">
        <f t="shared" si="23"/>
        <v>0.2</v>
      </c>
      <c r="H167" s="92" t="s">
        <v>45</v>
      </c>
      <c r="I167" s="96">
        <f t="shared" si="18"/>
        <v>0.3</v>
      </c>
      <c r="J167" s="96">
        <f t="shared" si="19"/>
        <v>0.7</v>
      </c>
      <c r="K167" s="92">
        <f>VLOOKUP(H167,'Taux émission CO2e'!$A$5:$D$16,4,FALSE)</f>
        <v>0.16</v>
      </c>
      <c r="L167" s="93">
        <f t="shared" si="24"/>
        <v>2.6701920000000001</v>
      </c>
      <c r="M167" s="92">
        <f>VLOOKUP(H167,'Taux émission CO2e'!$A$20:$D$31,4,FALSE)</f>
        <v>6.7400000000000002E-2</v>
      </c>
      <c r="N167" s="105">
        <f t="shared" si="25"/>
        <v>2.6245762199999998</v>
      </c>
      <c r="O167" s="93">
        <f t="shared" si="26"/>
        <v>5.2947682199999999</v>
      </c>
      <c r="P167" s="92">
        <v>158</v>
      </c>
      <c r="Q167" s="92" t="s">
        <v>74</v>
      </c>
      <c r="R167" s="92" t="s">
        <v>55</v>
      </c>
      <c r="S167" s="20">
        <v>278.14499999999998</v>
      </c>
    </row>
    <row r="168" spans="1:19" x14ac:dyDescent="0.15">
      <c r="A168" s="90">
        <v>44305</v>
      </c>
      <c r="B168" s="90" t="str">
        <f t="shared" si="20"/>
        <v>avril</v>
      </c>
      <c r="C168" s="90" t="str">
        <f t="shared" si="21"/>
        <v>2021</v>
      </c>
      <c r="D168" s="90" t="str">
        <f t="shared" si="22"/>
        <v>avril2021</v>
      </c>
      <c r="E168" s="91">
        <v>1349481</v>
      </c>
      <c r="F168" s="91">
        <v>60</v>
      </c>
      <c r="G168" s="94">
        <f t="shared" si="23"/>
        <v>0.06</v>
      </c>
      <c r="H168" s="92" t="s">
        <v>45</v>
      </c>
      <c r="I168" s="96">
        <f t="shared" si="18"/>
        <v>0.3</v>
      </c>
      <c r="J168" s="96">
        <f t="shared" si="19"/>
        <v>0.7</v>
      </c>
      <c r="K168" s="92">
        <f>VLOOKUP(H168,'Taux émission CO2e'!$A$5:$D$16,4,FALSE)</f>
        <v>0.16</v>
      </c>
      <c r="L168" s="93">
        <f t="shared" si="24"/>
        <v>0.76655807999999992</v>
      </c>
      <c r="M168" s="92">
        <f>VLOOKUP(H168,'Taux émission CO2e'!$A$20:$D$31,4,FALSE)</f>
        <v>6.7400000000000002E-2</v>
      </c>
      <c r="N168" s="105">
        <f t="shared" si="25"/>
        <v>0.75346271279999999</v>
      </c>
      <c r="O168" s="93">
        <f t="shared" si="26"/>
        <v>1.5200207928</v>
      </c>
      <c r="P168" s="92">
        <v>95</v>
      </c>
      <c r="Q168" s="92" t="s">
        <v>58</v>
      </c>
      <c r="R168" s="92" t="s">
        <v>53</v>
      </c>
      <c r="S168" s="20">
        <v>266.166</v>
      </c>
    </row>
    <row r="169" spans="1:19" x14ac:dyDescent="0.15">
      <c r="A169" s="90">
        <v>44306</v>
      </c>
      <c r="B169" s="90" t="str">
        <f t="shared" si="20"/>
        <v>avril</v>
      </c>
      <c r="C169" s="90" t="str">
        <f t="shared" si="21"/>
        <v>2021</v>
      </c>
      <c r="D169" s="90" t="str">
        <f t="shared" si="22"/>
        <v>avril2021</v>
      </c>
      <c r="E169" s="91">
        <v>1350069</v>
      </c>
      <c r="F169" s="91">
        <v>130</v>
      </c>
      <c r="G169" s="94">
        <f t="shared" si="23"/>
        <v>0.13</v>
      </c>
      <c r="H169" s="92" t="s">
        <v>46</v>
      </c>
      <c r="I169" s="96">
        <f t="shared" si="18"/>
        <v>0.3</v>
      </c>
      <c r="J169" s="96">
        <f t="shared" si="19"/>
        <v>0.7</v>
      </c>
      <c r="K169" s="92">
        <f>VLOOKUP(H169,'Taux émission CO2e'!$A$5:$D$16,4,FALSE)</f>
        <v>0.16</v>
      </c>
      <c r="L169" s="93">
        <f t="shared" si="24"/>
        <v>1.0486195200000001</v>
      </c>
      <c r="M169" s="92">
        <f>VLOOKUP(H169,'Taux émission CO2e'!$A$20:$D$31,4,FALSE)</f>
        <v>6.7400000000000002E-2</v>
      </c>
      <c r="N169" s="105">
        <f t="shared" si="25"/>
        <v>1.0307056031999999</v>
      </c>
      <c r="O169" s="93">
        <f t="shared" si="26"/>
        <v>2.0793251232000003</v>
      </c>
      <c r="P169" s="92">
        <v>95</v>
      </c>
      <c r="Q169" s="92" t="s">
        <v>58</v>
      </c>
      <c r="R169" s="92" t="s">
        <v>99</v>
      </c>
      <c r="S169" s="20">
        <v>168.048</v>
      </c>
    </row>
    <row r="170" spans="1:19" x14ac:dyDescent="0.15">
      <c r="A170" s="90">
        <v>44306</v>
      </c>
      <c r="B170" s="90" t="str">
        <f t="shared" si="20"/>
        <v>avril</v>
      </c>
      <c r="C170" s="90" t="str">
        <f t="shared" si="21"/>
        <v>2021</v>
      </c>
      <c r="D170" s="90" t="str">
        <f t="shared" si="22"/>
        <v>avril2021</v>
      </c>
      <c r="E170" s="91">
        <v>1349317</v>
      </c>
      <c r="F170" s="91">
        <v>200</v>
      </c>
      <c r="G170" s="94">
        <f t="shared" si="23"/>
        <v>0.2</v>
      </c>
      <c r="H170" s="92" t="s">
        <v>46</v>
      </c>
      <c r="I170" s="96">
        <f t="shared" si="18"/>
        <v>0.3</v>
      </c>
      <c r="J170" s="96">
        <f t="shared" si="19"/>
        <v>0.7</v>
      </c>
      <c r="K170" s="92">
        <f>VLOOKUP(H170,'Taux émission CO2e'!$A$5:$D$16,4,FALSE)</f>
        <v>0.16</v>
      </c>
      <c r="L170" s="93">
        <f t="shared" si="24"/>
        <v>1.6254336000000003</v>
      </c>
      <c r="M170" s="92">
        <f>VLOOKUP(H170,'Taux émission CO2e'!$A$20:$D$31,4,FALSE)</f>
        <v>6.7400000000000002E-2</v>
      </c>
      <c r="N170" s="105">
        <f t="shared" si="25"/>
        <v>1.5976657759999999</v>
      </c>
      <c r="O170" s="93">
        <f t="shared" si="26"/>
        <v>3.2230993760000004</v>
      </c>
      <c r="P170" s="92">
        <v>119</v>
      </c>
      <c r="Q170" s="92" t="s">
        <v>106</v>
      </c>
      <c r="R170" s="92" t="s">
        <v>55</v>
      </c>
      <c r="S170" s="20">
        <v>169.316</v>
      </c>
    </row>
    <row r="171" spans="1:19" x14ac:dyDescent="0.15">
      <c r="A171" s="90">
        <v>44306</v>
      </c>
      <c r="B171" s="90" t="str">
        <f t="shared" si="20"/>
        <v>avril</v>
      </c>
      <c r="C171" s="90" t="str">
        <f t="shared" si="21"/>
        <v>2021</v>
      </c>
      <c r="D171" s="90" t="str">
        <f t="shared" si="22"/>
        <v>avril2021</v>
      </c>
      <c r="E171" s="91">
        <v>1349851</v>
      </c>
      <c r="F171" s="91">
        <v>500</v>
      </c>
      <c r="G171" s="94">
        <f t="shared" si="23"/>
        <v>0.5</v>
      </c>
      <c r="H171" s="92" t="s">
        <v>32</v>
      </c>
      <c r="I171" s="96">
        <f t="shared" si="18"/>
        <v>1</v>
      </c>
      <c r="J171" s="96">
        <f t="shared" si="19"/>
        <v>0</v>
      </c>
      <c r="K171" s="92">
        <f>VLOOKUP(H171,'Taux émission CO2e'!$A$5:$D$16,4,FALSE)</f>
        <v>6.7400000000000002E-2</v>
      </c>
      <c r="L171" s="93">
        <f t="shared" si="24"/>
        <v>0.79774640000000008</v>
      </c>
      <c r="M171" s="92">
        <f>VLOOKUP(H171,'Taux émission CO2e'!$A$20:$D$31,4,FALSE)</f>
        <v>0</v>
      </c>
      <c r="N171" s="105">
        <f t="shared" si="25"/>
        <v>0</v>
      </c>
      <c r="O171" s="93">
        <f t="shared" si="26"/>
        <v>0.79774640000000008</v>
      </c>
      <c r="P171" s="92">
        <v>123</v>
      </c>
      <c r="Q171" s="92" t="s">
        <v>58</v>
      </c>
      <c r="R171" s="92" t="s">
        <v>107</v>
      </c>
      <c r="S171" s="20">
        <v>23.672000000000001</v>
      </c>
    </row>
    <row r="172" spans="1:19" x14ac:dyDescent="0.15">
      <c r="A172" s="90">
        <v>44306</v>
      </c>
      <c r="B172" s="90" t="str">
        <f t="shared" si="20"/>
        <v>avril</v>
      </c>
      <c r="C172" s="90" t="str">
        <f t="shared" si="21"/>
        <v>2021</v>
      </c>
      <c r="D172" s="90" t="str">
        <f t="shared" si="22"/>
        <v>avril2021</v>
      </c>
      <c r="E172" s="91">
        <v>1349841</v>
      </c>
      <c r="F172" s="91">
        <v>80</v>
      </c>
      <c r="G172" s="94">
        <f t="shared" si="23"/>
        <v>0.08</v>
      </c>
      <c r="H172" s="92" t="s">
        <v>45</v>
      </c>
      <c r="I172" s="96">
        <f t="shared" si="18"/>
        <v>0.3</v>
      </c>
      <c r="J172" s="96">
        <f t="shared" si="19"/>
        <v>0.7</v>
      </c>
      <c r="K172" s="92">
        <f>VLOOKUP(H172,'Taux émission CO2e'!$A$5:$D$16,4,FALSE)</f>
        <v>0.16</v>
      </c>
      <c r="L172" s="93">
        <f t="shared" si="24"/>
        <v>1.98066432</v>
      </c>
      <c r="M172" s="92">
        <f>VLOOKUP(H172,'Taux émission CO2e'!$A$20:$D$31,4,FALSE)</f>
        <v>6.7400000000000002E-2</v>
      </c>
      <c r="N172" s="105">
        <f t="shared" si="25"/>
        <v>1.9468279712000001</v>
      </c>
      <c r="O172" s="93">
        <f t="shared" si="26"/>
        <v>3.9274922912000001</v>
      </c>
      <c r="P172" s="92">
        <v>140</v>
      </c>
      <c r="Q172" s="92" t="s">
        <v>58</v>
      </c>
      <c r="R172" s="92" t="s">
        <v>57</v>
      </c>
      <c r="S172" s="20">
        <v>515.798</v>
      </c>
    </row>
    <row r="173" spans="1:19" x14ac:dyDescent="0.15">
      <c r="A173" s="90">
        <v>44306</v>
      </c>
      <c r="B173" s="90" t="str">
        <f t="shared" si="20"/>
        <v>avril</v>
      </c>
      <c r="C173" s="90" t="str">
        <f t="shared" si="21"/>
        <v>2021</v>
      </c>
      <c r="D173" s="90" t="str">
        <f t="shared" si="22"/>
        <v>avril2021</v>
      </c>
      <c r="E173" s="91">
        <v>1349593</v>
      </c>
      <c r="F173" s="91">
        <v>200</v>
      </c>
      <c r="G173" s="94">
        <f t="shared" si="23"/>
        <v>0.2</v>
      </c>
      <c r="H173" s="92" t="s">
        <v>46</v>
      </c>
      <c r="I173" s="96">
        <f t="shared" si="18"/>
        <v>0.3</v>
      </c>
      <c r="J173" s="96">
        <f t="shared" si="19"/>
        <v>0.7</v>
      </c>
      <c r="K173" s="92">
        <f>VLOOKUP(H173,'Taux émission CO2e'!$A$5:$D$16,4,FALSE)</f>
        <v>0.16</v>
      </c>
      <c r="L173" s="93">
        <f t="shared" si="24"/>
        <v>3.6536256000000003</v>
      </c>
      <c r="M173" s="92">
        <f>VLOOKUP(H173,'Taux émission CO2e'!$A$20:$D$31,4,FALSE)</f>
        <v>6.7400000000000002E-2</v>
      </c>
      <c r="N173" s="105">
        <f t="shared" si="25"/>
        <v>3.5912094960000003</v>
      </c>
      <c r="O173" s="93">
        <f t="shared" si="26"/>
        <v>7.244835096000001</v>
      </c>
      <c r="P173" s="92">
        <v>166</v>
      </c>
      <c r="Q173" s="92" t="s">
        <v>91</v>
      </c>
      <c r="R173" s="92" t="s">
        <v>55</v>
      </c>
      <c r="S173" s="20">
        <v>380.58600000000001</v>
      </c>
    </row>
    <row r="174" spans="1:19" x14ac:dyDescent="0.15">
      <c r="A174" s="90">
        <v>44306</v>
      </c>
      <c r="B174" s="90" t="str">
        <f t="shared" si="20"/>
        <v>avril</v>
      </c>
      <c r="C174" s="90" t="str">
        <f t="shared" si="21"/>
        <v>2021</v>
      </c>
      <c r="D174" s="90" t="str">
        <f t="shared" si="22"/>
        <v>avril2021</v>
      </c>
      <c r="E174" s="91">
        <v>1350064</v>
      </c>
      <c r="F174" s="91">
        <v>90</v>
      </c>
      <c r="G174" s="94">
        <f t="shared" si="23"/>
        <v>0.09</v>
      </c>
      <c r="H174" s="92" t="s">
        <v>46</v>
      </c>
      <c r="I174" s="96">
        <f t="shared" si="18"/>
        <v>0.3</v>
      </c>
      <c r="J174" s="96">
        <f t="shared" si="19"/>
        <v>0.7</v>
      </c>
      <c r="K174" s="92">
        <f>VLOOKUP(H174,'Taux émission CO2e'!$A$5:$D$16,4,FALSE)</f>
        <v>0.16</v>
      </c>
      <c r="L174" s="93">
        <f t="shared" si="24"/>
        <v>3.2643388799999999</v>
      </c>
      <c r="M174" s="92">
        <f>VLOOKUP(H174,'Taux émission CO2e'!$A$20:$D$31,4,FALSE)</f>
        <v>6.7400000000000002E-2</v>
      </c>
      <c r="N174" s="105">
        <f t="shared" si="25"/>
        <v>3.2085730907999999</v>
      </c>
      <c r="O174" s="93">
        <f t="shared" si="26"/>
        <v>6.4729119708000002</v>
      </c>
      <c r="P174" s="92">
        <v>168</v>
      </c>
      <c r="Q174" s="92" t="s">
        <v>58</v>
      </c>
      <c r="R174" s="92" t="s">
        <v>108</v>
      </c>
      <c r="S174" s="20">
        <v>755.63400000000001</v>
      </c>
    </row>
    <row r="175" spans="1:19" x14ac:dyDescent="0.15">
      <c r="A175" s="90">
        <v>44307</v>
      </c>
      <c r="B175" s="90" t="str">
        <f t="shared" si="20"/>
        <v>avril</v>
      </c>
      <c r="C175" s="90" t="str">
        <f t="shared" si="21"/>
        <v>2021</v>
      </c>
      <c r="D175" s="90" t="str">
        <f t="shared" si="22"/>
        <v>avril2021</v>
      </c>
      <c r="E175" s="91">
        <v>1350444</v>
      </c>
      <c r="F175" s="92">
        <v>1000</v>
      </c>
      <c r="G175" s="94">
        <f t="shared" si="23"/>
        <v>1</v>
      </c>
      <c r="H175" s="92" t="s">
        <v>38</v>
      </c>
      <c r="I175" s="96">
        <f t="shared" si="18"/>
        <v>1</v>
      </c>
      <c r="J175" s="96">
        <f t="shared" si="19"/>
        <v>0</v>
      </c>
      <c r="K175" s="92">
        <f>VLOOKUP(H175,'Taux émission CO2e'!$A$5:$D$16,4,FALSE)</f>
        <v>0.24099999999999999</v>
      </c>
      <c r="L175" s="93">
        <f t="shared" si="24"/>
        <v>8.2147259999999989</v>
      </c>
      <c r="M175" s="92">
        <f>VLOOKUP(H175,'Taux émission CO2e'!$A$20:$D$31,4,FALSE)</f>
        <v>0</v>
      </c>
      <c r="N175" s="105">
        <f t="shared" si="25"/>
        <v>0</v>
      </c>
      <c r="O175" s="93">
        <f t="shared" si="26"/>
        <v>8.2147259999999989</v>
      </c>
      <c r="P175" s="92">
        <v>123</v>
      </c>
      <c r="Q175" s="92" t="s">
        <v>58</v>
      </c>
      <c r="R175" s="92" t="s">
        <v>98</v>
      </c>
      <c r="S175" s="20">
        <v>34.085999999999999</v>
      </c>
    </row>
    <row r="176" spans="1:19" x14ac:dyDescent="0.15">
      <c r="A176" s="90">
        <v>44307</v>
      </c>
      <c r="B176" s="90" t="str">
        <f t="shared" si="20"/>
        <v>avril</v>
      </c>
      <c r="C176" s="90" t="str">
        <f t="shared" si="21"/>
        <v>2021</v>
      </c>
      <c r="D176" s="90" t="str">
        <f t="shared" si="22"/>
        <v>avril2021</v>
      </c>
      <c r="E176" s="91">
        <v>1350214</v>
      </c>
      <c r="F176" s="91">
        <v>250</v>
      </c>
      <c r="G176" s="94">
        <f t="shared" si="23"/>
        <v>0.25</v>
      </c>
      <c r="H176" s="92" t="s">
        <v>45</v>
      </c>
      <c r="I176" s="96">
        <f t="shared" si="18"/>
        <v>0.3</v>
      </c>
      <c r="J176" s="96">
        <f t="shared" si="19"/>
        <v>0.7</v>
      </c>
      <c r="K176" s="92">
        <f>VLOOKUP(H176,'Taux émission CO2e'!$A$5:$D$16,4,FALSE)</f>
        <v>0.16</v>
      </c>
      <c r="L176" s="93">
        <f t="shared" si="24"/>
        <v>3.1962360000000003</v>
      </c>
      <c r="M176" s="92">
        <f>VLOOKUP(H176,'Taux émission CO2e'!$A$20:$D$31,4,FALSE)</f>
        <v>6.7400000000000002E-2</v>
      </c>
      <c r="N176" s="105">
        <f t="shared" si="25"/>
        <v>3.1416336350000003</v>
      </c>
      <c r="O176" s="93">
        <f t="shared" si="26"/>
        <v>6.3378696350000006</v>
      </c>
      <c r="P176" s="92">
        <v>125</v>
      </c>
      <c r="Q176" s="92" t="s">
        <v>77</v>
      </c>
      <c r="R176" s="92" t="s">
        <v>55</v>
      </c>
      <c r="S176" s="20">
        <v>266.35300000000001</v>
      </c>
    </row>
    <row r="177" spans="1:19" x14ac:dyDescent="0.15">
      <c r="A177" s="90">
        <v>44307</v>
      </c>
      <c r="B177" s="90" t="str">
        <f t="shared" si="20"/>
        <v>avril</v>
      </c>
      <c r="C177" s="90" t="str">
        <f t="shared" si="21"/>
        <v>2021</v>
      </c>
      <c r="D177" s="90" t="str">
        <f t="shared" si="22"/>
        <v>avril2021</v>
      </c>
      <c r="E177" s="91">
        <v>1349950</v>
      </c>
      <c r="F177" s="91">
        <v>400</v>
      </c>
      <c r="G177" s="94">
        <f t="shared" si="23"/>
        <v>0.4</v>
      </c>
      <c r="H177" s="92" t="s">
        <v>45</v>
      </c>
      <c r="I177" s="96">
        <f t="shared" si="18"/>
        <v>0.3</v>
      </c>
      <c r="J177" s="96">
        <f t="shared" si="19"/>
        <v>0.7</v>
      </c>
      <c r="K177" s="92">
        <f>VLOOKUP(H177,'Taux émission CO2e'!$A$5:$D$16,4,FALSE)</f>
        <v>0.16</v>
      </c>
      <c r="L177" s="93">
        <f t="shared" si="24"/>
        <v>4.8053376000000005</v>
      </c>
      <c r="M177" s="92">
        <f>VLOOKUP(H177,'Taux émission CO2e'!$A$20:$D$31,4,FALSE)</f>
        <v>6.7400000000000002E-2</v>
      </c>
      <c r="N177" s="105">
        <f t="shared" si="25"/>
        <v>4.7232464159999994</v>
      </c>
      <c r="O177" s="93">
        <f t="shared" si="26"/>
        <v>9.5285840159999999</v>
      </c>
      <c r="P177" s="92">
        <v>158</v>
      </c>
      <c r="Q177" s="92" t="s">
        <v>89</v>
      </c>
      <c r="R177" s="92" t="s">
        <v>55</v>
      </c>
      <c r="S177" s="20">
        <v>250.27799999999999</v>
      </c>
    </row>
    <row r="178" spans="1:19" x14ac:dyDescent="0.15">
      <c r="A178" s="90">
        <v>44307</v>
      </c>
      <c r="B178" s="90" t="str">
        <f t="shared" si="20"/>
        <v>avril</v>
      </c>
      <c r="C178" s="90" t="str">
        <f t="shared" si="21"/>
        <v>2021</v>
      </c>
      <c r="D178" s="90" t="str">
        <f t="shared" si="22"/>
        <v>avril2021</v>
      </c>
      <c r="E178" s="91">
        <v>1350209</v>
      </c>
      <c r="F178" s="91">
        <v>250</v>
      </c>
      <c r="G178" s="94">
        <f t="shared" si="23"/>
        <v>0.25</v>
      </c>
      <c r="H178" s="92" t="s">
        <v>46</v>
      </c>
      <c r="I178" s="96">
        <f t="shared" si="18"/>
        <v>0.3</v>
      </c>
      <c r="J178" s="96">
        <f t="shared" si="19"/>
        <v>0.7</v>
      </c>
      <c r="K178" s="92">
        <f>VLOOKUP(H178,'Taux émission CO2e'!$A$5:$D$16,4,FALSE)</f>
        <v>0.16</v>
      </c>
      <c r="L178" s="93">
        <f t="shared" si="24"/>
        <v>6.4983119999999994</v>
      </c>
      <c r="M178" s="92">
        <f>VLOOKUP(H178,'Taux émission CO2e'!$A$20:$D$31,4,FALSE)</f>
        <v>6.7400000000000002E-2</v>
      </c>
      <c r="N178" s="105">
        <f t="shared" si="25"/>
        <v>6.3872991699999995</v>
      </c>
      <c r="O178" s="93">
        <f t="shared" si="26"/>
        <v>12.885611169999999</v>
      </c>
      <c r="P178" s="92">
        <v>196</v>
      </c>
      <c r="Q178" s="92" t="s">
        <v>62</v>
      </c>
      <c r="R178" s="92" t="s">
        <v>55</v>
      </c>
      <c r="S178" s="20">
        <v>541.52599999999995</v>
      </c>
    </row>
    <row r="179" spans="1:19" x14ac:dyDescent="0.15">
      <c r="A179" s="90">
        <v>44309</v>
      </c>
      <c r="B179" s="90" t="str">
        <f t="shared" si="20"/>
        <v>avril</v>
      </c>
      <c r="C179" s="90" t="str">
        <f t="shared" si="21"/>
        <v>2021</v>
      </c>
      <c r="D179" s="90" t="str">
        <f t="shared" si="22"/>
        <v>avril2021</v>
      </c>
      <c r="E179" s="91">
        <v>1350759</v>
      </c>
      <c r="F179" s="91">
        <v>200</v>
      </c>
      <c r="G179" s="94">
        <f t="shared" si="23"/>
        <v>0.2</v>
      </c>
      <c r="H179" s="92" t="s">
        <v>45</v>
      </c>
      <c r="I179" s="96">
        <f t="shared" si="18"/>
        <v>0.3</v>
      </c>
      <c r="J179" s="96">
        <f t="shared" si="19"/>
        <v>0.7</v>
      </c>
      <c r="K179" s="92">
        <f>VLOOKUP(H179,'Taux émission CO2e'!$A$5:$D$16,4,FALSE)</f>
        <v>0.16</v>
      </c>
      <c r="L179" s="93">
        <f t="shared" si="24"/>
        <v>4.958150400000001</v>
      </c>
      <c r="M179" s="92">
        <f>VLOOKUP(H179,'Taux émission CO2e'!$A$20:$D$31,4,FALSE)</f>
        <v>6.7400000000000002E-2</v>
      </c>
      <c r="N179" s="105">
        <f t="shared" si="25"/>
        <v>4.8734486640000005</v>
      </c>
      <c r="O179" s="93">
        <f t="shared" si="26"/>
        <v>9.8315990640000024</v>
      </c>
      <c r="P179" s="92">
        <v>165</v>
      </c>
      <c r="Q179" s="92" t="s">
        <v>52</v>
      </c>
      <c r="R179" s="92" t="s">
        <v>55</v>
      </c>
      <c r="S179" s="20">
        <v>516.47400000000005</v>
      </c>
    </row>
    <row r="180" spans="1:19" x14ac:dyDescent="0.15">
      <c r="A180" s="90">
        <v>44309</v>
      </c>
      <c r="B180" s="90" t="str">
        <f t="shared" si="20"/>
        <v>avril</v>
      </c>
      <c r="C180" s="90" t="str">
        <f t="shared" si="21"/>
        <v>2021</v>
      </c>
      <c r="D180" s="90" t="str">
        <f t="shared" si="22"/>
        <v>avril2021</v>
      </c>
      <c r="E180" s="91">
        <v>1351081</v>
      </c>
      <c r="F180" s="91">
        <v>750</v>
      </c>
      <c r="G180" s="94">
        <f t="shared" si="23"/>
        <v>0.75</v>
      </c>
      <c r="H180" s="92" t="s">
        <v>46</v>
      </c>
      <c r="I180" s="96">
        <f t="shared" si="18"/>
        <v>0.3</v>
      </c>
      <c r="J180" s="96">
        <f t="shared" si="19"/>
        <v>0.7</v>
      </c>
      <c r="K180" s="92">
        <f>VLOOKUP(H180,'Taux émission CO2e'!$A$5:$D$16,4,FALSE)</f>
        <v>0.16</v>
      </c>
      <c r="L180" s="93">
        <f t="shared" si="24"/>
        <v>17.918460000000003</v>
      </c>
      <c r="M180" s="92">
        <f>VLOOKUP(H180,'Taux émission CO2e'!$A$20:$D$31,4,FALSE)</f>
        <v>6.7400000000000002E-2</v>
      </c>
      <c r="N180" s="105">
        <f t="shared" si="25"/>
        <v>17.612352975</v>
      </c>
      <c r="O180" s="93">
        <f t="shared" si="26"/>
        <v>35.530812975000003</v>
      </c>
      <c r="P180" s="92">
        <v>352</v>
      </c>
      <c r="Q180" s="92" t="s">
        <v>109</v>
      </c>
      <c r="R180" s="92" t="s">
        <v>70</v>
      </c>
      <c r="S180" s="20">
        <v>497.73500000000001</v>
      </c>
    </row>
    <row r="181" spans="1:19" x14ac:dyDescent="0.15">
      <c r="A181" s="90">
        <v>44312</v>
      </c>
      <c r="B181" s="90" t="str">
        <f t="shared" si="20"/>
        <v>avril</v>
      </c>
      <c r="C181" s="90" t="str">
        <f t="shared" si="21"/>
        <v>2021</v>
      </c>
      <c r="D181" s="90" t="str">
        <f t="shared" si="22"/>
        <v>avril2021</v>
      </c>
      <c r="E181" s="91">
        <v>1350771</v>
      </c>
      <c r="F181" s="91">
        <v>200</v>
      </c>
      <c r="G181" s="94">
        <f t="shared" si="23"/>
        <v>0.2</v>
      </c>
      <c r="H181" s="92" t="s">
        <v>46</v>
      </c>
      <c r="I181" s="96">
        <f t="shared" si="18"/>
        <v>0.3</v>
      </c>
      <c r="J181" s="96">
        <f t="shared" si="19"/>
        <v>0.7</v>
      </c>
      <c r="K181" s="92">
        <f>VLOOKUP(H181,'Taux émission CO2e'!$A$5:$D$16,4,FALSE)</f>
        <v>0.16</v>
      </c>
      <c r="L181" s="93">
        <f t="shared" si="24"/>
        <v>2.4772128000000002</v>
      </c>
      <c r="M181" s="92">
        <f>VLOOKUP(H181,'Taux émission CO2e'!$A$20:$D$31,4,FALSE)</f>
        <v>6.7400000000000002E-2</v>
      </c>
      <c r="N181" s="105">
        <f t="shared" si="25"/>
        <v>2.4348937479999999</v>
      </c>
      <c r="O181" s="93">
        <f t="shared" si="26"/>
        <v>4.9121065480000006</v>
      </c>
      <c r="P181" s="92">
        <v>131</v>
      </c>
      <c r="Q181" s="92" t="s">
        <v>102</v>
      </c>
      <c r="R181" s="92" t="s">
        <v>55</v>
      </c>
      <c r="S181" s="20">
        <v>258.04300000000001</v>
      </c>
    </row>
    <row r="182" spans="1:19" x14ac:dyDescent="0.15">
      <c r="A182" s="90">
        <v>44312</v>
      </c>
      <c r="B182" s="90" t="str">
        <f t="shared" si="20"/>
        <v>avril</v>
      </c>
      <c r="C182" s="90" t="str">
        <f t="shared" si="21"/>
        <v>2021</v>
      </c>
      <c r="D182" s="90" t="str">
        <f t="shared" si="22"/>
        <v>avril2021</v>
      </c>
      <c r="E182" s="91">
        <v>1351208</v>
      </c>
      <c r="F182" s="91">
        <v>200</v>
      </c>
      <c r="G182" s="94">
        <f t="shared" si="23"/>
        <v>0.2</v>
      </c>
      <c r="H182" s="92" t="s">
        <v>46</v>
      </c>
      <c r="I182" s="96">
        <f t="shared" si="18"/>
        <v>0.3</v>
      </c>
      <c r="J182" s="96">
        <f t="shared" si="19"/>
        <v>0.7</v>
      </c>
      <c r="K182" s="92">
        <f>VLOOKUP(H182,'Taux émission CO2e'!$A$5:$D$16,4,FALSE)</f>
        <v>0.16</v>
      </c>
      <c r="L182" s="93">
        <f t="shared" si="24"/>
        <v>2.4184224000000003</v>
      </c>
      <c r="M182" s="92">
        <f>VLOOKUP(H182,'Taux émission CO2e'!$A$20:$D$31,4,FALSE)</f>
        <v>6.7400000000000002E-2</v>
      </c>
      <c r="N182" s="105">
        <f t="shared" si="25"/>
        <v>2.3771076840000003</v>
      </c>
      <c r="O182" s="93">
        <f t="shared" si="26"/>
        <v>4.795530084000001</v>
      </c>
      <c r="P182" s="92">
        <v>158</v>
      </c>
      <c r="Q182" s="92" t="s">
        <v>92</v>
      </c>
      <c r="R182" s="92" t="s">
        <v>55</v>
      </c>
      <c r="S182" s="20">
        <v>251.91900000000001</v>
      </c>
    </row>
    <row r="183" spans="1:19" x14ac:dyDescent="0.15">
      <c r="A183" s="90">
        <v>44313</v>
      </c>
      <c r="B183" s="90" t="str">
        <f t="shared" si="20"/>
        <v>avril</v>
      </c>
      <c r="C183" s="90" t="str">
        <f t="shared" si="21"/>
        <v>2021</v>
      </c>
      <c r="D183" s="90" t="str">
        <f t="shared" si="22"/>
        <v>avril2021</v>
      </c>
      <c r="E183" s="91">
        <v>1352400</v>
      </c>
      <c r="F183" s="91">
        <v>100</v>
      </c>
      <c r="G183" s="94">
        <f t="shared" si="23"/>
        <v>0.1</v>
      </c>
      <c r="H183" s="92" t="s">
        <v>46</v>
      </c>
      <c r="I183" s="96">
        <f t="shared" si="18"/>
        <v>0.3</v>
      </c>
      <c r="J183" s="96">
        <f t="shared" si="19"/>
        <v>0.7</v>
      </c>
      <c r="K183" s="92">
        <f>VLOOKUP(H183,'Taux émission CO2e'!$A$5:$D$16,4,FALSE)</f>
        <v>0.16</v>
      </c>
      <c r="L183" s="93">
        <f t="shared" si="24"/>
        <v>3.5541360000000006</v>
      </c>
      <c r="M183" s="92">
        <f>VLOOKUP(H183,'Taux émission CO2e'!$A$20:$D$31,4,FALSE)</f>
        <v>6.7400000000000002E-2</v>
      </c>
      <c r="N183" s="105">
        <f t="shared" si="25"/>
        <v>3.4934195100000003</v>
      </c>
      <c r="O183" s="93">
        <f t="shared" si="26"/>
        <v>7.0475555100000005</v>
      </c>
      <c r="P183" s="92">
        <v>150</v>
      </c>
      <c r="Q183" s="92" t="s">
        <v>58</v>
      </c>
      <c r="R183" s="92" t="s">
        <v>59</v>
      </c>
      <c r="S183" s="20">
        <v>740.44500000000005</v>
      </c>
    </row>
    <row r="184" spans="1:19" x14ac:dyDescent="0.15">
      <c r="A184" s="90">
        <v>44314</v>
      </c>
      <c r="B184" s="90" t="str">
        <f t="shared" si="20"/>
        <v>avril</v>
      </c>
      <c r="C184" s="90" t="str">
        <f t="shared" si="21"/>
        <v>2021</v>
      </c>
      <c r="D184" s="90" t="str">
        <f t="shared" si="22"/>
        <v>avril2021</v>
      </c>
      <c r="E184" s="91">
        <v>1352270</v>
      </c>
      <c r="F184" s="91">
        <v>250</v>
      </c>
      <c r="G184" s="94">
        <f t="shared" si="23"/>
        <v>0.25</v>
      </c>
      <c r="H184" s="92" t="s">
        <v>45</v>
      </c>
      <c r="I184" s="96">
        <f t="shared" si="18"/>
        <v>0.3</v>
      </c>
      <c r="J184" s="96">
        <f t="shared" si="19"/>
        <v>0.7</v>
      </c>
      <c r="K184" s="92">
        <f>VLOOKUP(H184,'Taux émission CO2e'!$A$5:$D$16,4,FALSE)</f>
        <v>0.16</v>
      </c>
      <c r="L184" s="93">
        <f t="shared" si="24"/>
        <v>3.003336</v>
      </c>
      <c r="M184" s="92">
        <f>VLOOKUP(H184,'Taux émission CO2e'!$A$20:$D$31,4,FALSE)</f>
        <v>6.7400000000000002E-2</v>
      </c>
      <c r="N184" s="105">
        <f t="shared" si="25"/>
        <v>2.95202901</v>
      </c>
      <c r="O184" s="93">
        <f t="shared" si="26"/>
        <v>5.9553650099999995</v>
      </c>
      <c r="P184" s="92">
        <v>158</v>
      </c>
      <c r="Q184" s="92" t="s">
        <v>89</v>
      </c>
      <c r="R184" s="92" t="s">
        <v>55</v>
      </c>
      <c r="S184" s="20">
        <v>250.27799999999999</v>
      </c>
    </row>
    <row r="185" spans="1:19" x14ac:dyDescent="0.15">
      <c r="A185" s="90">
        <v>44314</v>
      </c>
      <c r="B185" s="90" t="str">
        <f t="shared" si="20"/>
        <v>avril</v>
      </c>
      <c r="C185" s="90" t="str">
        <f t="shared" si="21"/>
        <v>2021</v>
      </c>
      <c r="D185" s="90" t="str">
        <f t="shared" si="22"/>
        <v>avril2021</v>
      </c>
      <c r="E185" s="91">
        <v>1352477</v>
      </c>
      <c r="F185" s="91">
        <v>200</v>
      </c>
      <c r="G185" s="94">
        <f t="shared" si="23"/>
        <v>0.2</v>
      </c>
      <c r="H185" s="92" t="s">
        <v>45</v>
      </c>
      <c r="I185" s="96">
        <f t="shared" si="18"/>
        <v>0.3</v>
      </c>
      <c r="J185" s="96">
        <f t="shared" si="19"/>
        <v>0.7</v>
      </c>
      <c r="K185" s="92">
        <f>VLOOKUP(H185,'Taux émission CO2e'!$A$5:$D$16,4,FALSE)</f>
        <v>0.16</v>
      </c>
      <c r="L185" s="93">
        <f t="shared" si="24"/>
        <v>2.6701920000000001</v>
      </c>
      <c r="M185" s="92">
        <f>VLOOKUP(H185,'Taux émission CO2e'!$A$20:$D$31,4,FALSE)</f>
        <v>6.7400000000000002E-2</v>
      </c>
      <c r="N185" s="105">
        <f t="shared" si="25"/>
        <v>2.6245762199999998</v>
      </c>
      <c r="O185" s="93">
        <f t="shared" si="26"/>
        <v>5.2947682199999999</v>
      </c>
      <c r="P185" s="92">
        <v>158</v>
      </c>
      <c r="Q185" s="92" t="s">
        <v>74</v>
      </c>
      <c r="R185" s="92" t="s">
        <v>55</v>
      </c>
      <c r="S185" s="20">
        <v>278.14499999999998</v>
      </c>
    </row>
    <row r="186" spans="1:19" x14ac:dyDescent="0.15">
      <c r="A186" s="90">
        <v>44314</v>
      </c>
      <c r="B186" s="90" t="str">
        <f t="shared" si="20"/>
        <v>avril</v>
      </c>
      <c r="C186" s="90" t="str">
        <f t="shared" si="21"/>
        <v>2021</v>
      </c>
      <c r="D186" s="90" t="str">
        <f t="shared" si="22"/>
        <v>avril2021</v>
      </c>
      <c r="E186" s="91">
        <v>1352173</v>
      </c>
      <c r="F186" s="91">
        <v>285</v>
      </c>
      <c r="G186" s="94">
        <f t="shared" si="23"/>
        <v>0.28499999999999998</v>
      </c>
      <c r="H186" s="92" t="s">
        <v>46</v>
      </c>
      <c r="I186" s="96">
        <f t="shared" si="18"/>
        <v>0.3</v>
      </c>
      <c r="J186" s="96">
        <f t="shared" si="19"/>
        <v>0.7</v>
      </c>
      <c r="K186" s="92">
        <f>VLOOKUP(H186,'Taux émission CO2e'!$A$5:$D$16,4,FALSE)</f>
        <v>0.16</v>
      </c>
      <c r="L186" s="93">
        <f t="shared" si="24"/>
        <v>5.2064164799999997</v>
      </c>
      <c r="M186" s="92">
        <f>VLOOKUP(H186,'Taux émission CO2e'!$A$20:$D$31,4,FALSE)</f>
        <v>6.7400000000000002E-2</v>
      </c>
      <c r="N186" s="105">
        <f t="shared" si="25"/>
        <v>5.1174735318</v>
      </c>
      <c r="O186" s="93">
        <f t="shared" si="26"/>
        <v>10.3238900118</v>
      </c>
      <c r="P186" s="92">
        <v>166</v>
      </c>
      <c r="Q186" s="92" t="s">
        <v>91</v>
      </c>
      <c r="R186" s="92" t="s">
        <v>55</v>
      </c>
      <c r="S186" s="20">
        <v>380.58600000000001</v>
      </c>
    </row>
    <row r="187" spans="1:19" x14ac:dyDescent="0.15">
      <c r="A187" s="90">
        <v>44314</v>
      </c>
      <c r="B187" s="90" t="str">
        <f t="shared" si="20"/>
        <v>avril</v>
      </c>
      <c r="C187" s="90" t="str">
        <f t="shared" si="21"/>
        <v>2021</v>
      </c>
      <c r="D187" s="90" t="str">
        <f t="shared" si="22"/>
        <v>avril2021</v>
      </c>
      <c r="E187" s="91">
        <v>1355960</v>
      </c>
      <c r="F187" s="91">
        <v>600</v>
      </c>
      <c r="G187" s="94">
        <f t="shared" si="23"/>
        <v>0.6</v>
      </c>
      <c r="H187" s="92" t="s">
        <v>45</v>
      </c>
      <c r="I187" s="96">
        <f t="shared" si="18"/>
        <v>0.3</v>
      </c>
      <c r="J187" s="96">
        <f t="shared" si="19"/>
        <v>0.7</v>
      </c>
      <c r="K187" s="92">
        <f>VLOOKUP(H187,'Taux émission CO2e'!$A$5:$D$16,4,FALSE)</f>
        <v>0.16</v>
      </c>
      <c r="L187" s="93">
        <f t="shared" si="24"/>
        <v>14.874451200000001</v>
      </c>
      <c r="M187" s="92">
        <f>VLOOKUP(H187,'Taux émission CO2e'!$A$20:$D$31,4,FALSE)</f>
        <v>6.7400000000000002E-2</v>
      </c>
      <c r="N187" s="105">
        <f t="shared" si="25"/>
        <v>14.620345992000001</v>
      </c>
      <c r="O187" s="93">
        <f t="shared" si="26"/>
        <v>29.494797192</v>
      </c>
      <c r="P187" s="92">
        <v>228</v>
      </c>
      <c r="Q187" s="92" t="s">
        <v>52</v>
      </c>
      <c r="R187" s="92" t="s">
        <v>55</v>
      </c>
      <c r="S187" s="20">
        <v>516.47400000000005</v>
      </c>
    </row>
    <row r="188" spans="1:19" x14ac:dyDescent="0.15">
      <c r="A188" s="90">
        <v>44315</v>
      </c>
      <c r="B188" s="90" t="str">
        <f t="shared" si="20"/>
        <v>avril</v>
      </c>
      <c r="C188" s="90" t="str">
        <f t="shared" si="21"/>
        <v>2021</v>
      </c>
      <c r="D188" s="90" t="str">
        <f t="shared" si="22"/>
        <v>avril2021</v>
      </c>
      <c r="E188" s="91">
        <v>1352454</v>
      </c>
      <c r="F188" s="92">
        <v>1000</v>
      </c>
      <c r="G188" s="94">
        <f t="shared" si="23"/>
        <v>1</v>
      </c>
      <c r="H188" s="92" t="s">
        <v>32</v>
      </c>
      <c r="I188" s="96">
        <f t="shared" si="18"/>
        <v>1</v>
      </c>
      <c r="J188" s="96">
        <f t="shared" si="19"/>
        <v>0</v>
      </c>
      <c r="K188" s="92">
        <f>VLOOKUP(H188,'Taux émission CO2e'!$A$5:$D$16,4,FALSE)</f>
        <v>6.7400000000000002E-2</v>
      </c>
      <c r="L188" s="93">
        <f t="shared" si="24"/>
        <v>17.952192200000002</v>
      </c>
      <c r="M188" s="92">
        <f>VLOOKUP(H188,'Taux émission CO2e'!$A$20:$D$31,4,FALSE)</f>
        <v>0</v>
      </c>
      <c r="N188" s="105">
        <f t="shared" si="25"/>
        <v>0</v>
      </c>
      <c r="O188" s="93">
        <f t="shared" si="26"/>
        <v>17.952192200000002</v>
      </c>
      <c r="P188" s="92">
        <v>420</v>
      </c>
      <c r="Q188" s="92" t="s">
        <v>77</v>
      </c>
      <c r="R188" s="92" t="s">
        <v>55</v>
      </c>
      <c r="S188" s="20">
        <v>266.35300000000001</v>
      </c>
    </row>
    <row r="189" spans="1:19" x14ac:dyDescent="0.15">
      <c r="A189" s="90">
        <v>44316</v>
      </c>
      <c r="B189" s="90" t="str">
        <f t="shared" si="20"/>
        <v>avril</v>
      </c>
      <c r="C189" s="90" t="str">
        <f t="shared" si="21"/>
        <v>2021</v>
      </c>
      <c r="D189" s="90" t="str">
        <f t="shared" si="22"/>
        <v>avril2021</v>
      </c>
      <c r="E189" s="91">
        <v>1359873</v>
      </c>
      <c r="F189" s="91">
        <v>200</v>
      </c>
      <c r="G189" s="94">
        <f t="shared" si="23"/>
        <v>0.2</v>
      </c>
      <c r="H189" s="92" t="s">
        <v>45</v>
      </c>
      <c r="I189" s="96">
        <f t="shared" si="18"/>
        <v>0.3</v>
      </c>
      <c r="J189" s="96">
        <f t="shared" si="19"/>
        <v>0.7</v>
      </c>
      <c r="K189" s="92">
        <f>VLOOKUP(H189,'Taux émission CO2e'!$A$5:$D$16,4,FALSE)</f>
        <v>0.16</v>
      </c>
      <c r="L189" s="93">
        <f t="shared" si="24"/>
        <v>2.8085760000000004</v>
      </c>
      <c r="M189" s="92">
        <f>VLOOKUP(H189,'Taux émission CO2e'!$A$20:$D$31,4,FALSE)</f>
        <v>6.7400000000000002E-2</v>
      </c>
      <c r="N189" s="105">
        <f t="shared" si="25"/>
        <v>2.76059616</v>
      </c>
      <c r="O189" s="93">
        <f t="shared" si="26"/>
        <v>5.5691721600000008</v>
      </c>
      <c r="P189" s="92">
        <v>158</v>
      </c>
      <c r="Q189" s="92" t="s">
        <v>110</v>
      </c>
      <c r="R189" s="92" t="s">
        <v>55</v>
      </c>
      <c r="S189" s="20">
        <v>292.56</v>
      </c>
    </row>
    <row r="190" spans="1:19" x14ac:dyDescent="0.15">
      <c r="A190" s="90">
        <v>44316</v>
      </c>
      <c r="B190" s="90" t="str">
        <f t="shared" si="20"/>
        <v>avril</v>
      </c>
      <c r="C190" s="90" t="str">
        <f t="shared" si="21"/>
        <v>2021</v>
      </c>
      <c r="D190" s="90" t="str">
        <f t="shared" si="22"/>
        <v>avril2021</v>
      </c>
      <c r="E190" s="91">
        <v>1355857</v>
      </c>
      <c r="F190" s="91">
        <v>250</v>
      </c>
      <c r="G190" s="94">
        <f t="shared" si="23"/>
        <v>0.25</v>
      </c>
      <c r="H190" s="92" t="s">
        <v>46</v>
      </c>
      <c r="I190" s="96">
        <f t="shared" si="18"/>
        <v>0.3</v>
      </c>
      <c r="J190" s="96">
        <f t="shared" si="19"/>
        <v>0.7</v>
      </c>
      <c r="K190" s="92">
        <f>VLOOKUP(H190,'Taux émission CO2e'!$A$5:$D$16,4,FALSE)</f>
        <v>0.16</v>
      </c>
      <c r="L190" s="93">
        <f t="shared" si="24"/>
        <v>6.4983119999999994</v>
      </c>
      <c r="M190" s="92">
        <f>VLOOKUP(H190,'Taux émission CO2e'!$A$20:$D$31,4,FALSE)</f>
        <v>6.7400000000000002E-2</v>
      </c>
      <c r="N190" s="105">
        <f t="shared" si="25"/>
        <v>6.3872991699999995</v>
      </c>
      <c r="O190" s="93">
        <f t="shared" si="26"/>
        <v>12.885611169999999</v>
      </c>
      <c r="P190" s="92">
        <v>196</v>
      </c>
      <c r="Q190" s="92" t="s">
        <v>62</v>
      </c>
      <c r="R190" s="92" t="s">
        <v>55</v>
      </c>
      <c r="S190" s="20">
        <v>541.52599999999995</v>
      </c>
    </row>
    <row r="191" spans="1:19" x14ac:dyDescent="0.15">
      <c r="A191" s="90">
        <v>44319</v>
      </c>
      <c r="B191" s="90" t="str">
        <f t="shared" si="20"/>
        <v>mai</v>
      </c>
      <c r="C191" s="90" t="str">
        <f t="shared" si="21"/>
        <v>2021</v>
      </c>
      <c r="D191" s="90" t="str">
        <f t="shared" si="22"/>
        <v>mai2021</v>
      </c>
      <c r="E191" s="91">
        <v>1360012</v>
      </c>
      <c r="F191" s="91">
        <v>90</v>
      </c>
      <c r="G191" s="94">
        <f t="shared" si="23"/>
        <v>0.09</v>
      </c>
      <c r="H191" s="92" t="s">
        <v>38</v>
      </c>
      <c r="I191" s="96">
        <f t="shared" si="18"/>
        <v>1</v>
      </c>
      <c r="J191" s="96">
        <f t="shared" si="19"/>
        <v>0</v>
      </c>
      <c r="K191" s="92">
        <f>VLOOKUP(H191,'Taux émission CO2e'!$A$5:$D$16,4,FALSE)</f>
        <v>0.24099999999999999</v>
      </c>
      <c r="L191" s="93">
        <f t="shared" si="24"/>
        <v>0.78713009999999994</v>
      </c>
      <c r="M191" s="92">
        <f>VLOOKUP(H191,'Taux émission CO2e'!$A$20:$D$31,4,FALSE)</f>
        <v>0</v>
      </c>
      <c r="N191" s="105">
        <f t="shared" si="25"/>
        <v>0</v>
      </c>
      <c r="O191" s="93">
        <f t="shared" si="26"/>
        <v>0.78713009999999994</v>
      </c>
      <c r="P191" s="92">
        <v>80</v>
      </c>
      <c r="Q191" s="92" t="s">
        <v>58</v>
      </c>
      <c r="R191" s="92" t="s">
        <v>111</v>
      </c>
      <c r="S191" s="20">
        <v>36.29</v>
      </c>
    </row>
    <row r="192" spans="1:19" x14ac:dyDescent="0.15">
      <c r="A192" s="90">
        <v>44319</v>
      </c>
      <c r="B192" s="90" t="str">
        <f t="shared" si="20"/>
        <v>mai</v>
      </c>
      <c r="C192" s="90" t="str">
        <f t="shared" si="21"/>
        <v>2021</v>
      </c>
      <c r="D192" s="90" t="str">
        <f t="shared" si="22"/>
        <v>mai2021</v>
      </c>
      <c r="E192" s="91">
        <v>1359871</v>
      </c>
      <c r="F192" s="91">
        <v>250</v>
      </c>
      <c r="G192" s="94">
        <f t="shared" si="23"/>
        <v>0.25</v>
      </c>
      <c r="H192" s="92" t="s">
        <v>46</v>
      </c>
      <c r="I192" s="96">
        <f t="shared" si="18"/>
        <v>0.3</v>
      </c>
      <c r="J192" s="96">
        <f t="shared" si="19"/>
        <v>0.7</v>
      </c>
      <c r="K192" s="92">
        <f>VLOOKUP(H192,'Taux émission CO2e'!$A$5:$D$16,4,FALSE)</f>
        <v>0.16</v>
      </c>
      <c r="L192" s="93">
        <f t="shared" si="24"/>
        <v>3.3419640000000004</v>
      </c>
      <c r="M192" s="92">
        <f>VLOOKUP(H192,'Taux émission CO2e'!$A$20:$D$31,4,FALSE)</f>
        <v>6.7400000000000002E-2</v>
      </c>
      <c r="N192" s="105">
        <f t="shared" si="25"/>
        <v>3.2848721150000002</v>
      </c>
      <c r="O192" s="93">
        <f t="shared" si="26"/>
        <v>6.6268361150000006</v>
      </c>
      <c r="P192" s="92">
        <v>158</v>
      </c>
      <c r="Q192" s="92" t="s">
        <v>90</v>
      </c>
      <c r="R192" s="92" t="s">
        <v>55</v>
      </c>
      <c r="S192" s="20">
        <v>278.49700000000001</v>
      </c>
    </row>
    <row r="193" spans="1:19" x14ac:dyDescent="0.15">
      <c r="A193" s="90">
        <v>44320</v>
      </c>
      <c r="B193" s="90" t="str">
        <f t="shared" si="20"/>
        <v>mai</v>
      </c>
      <c r="C193" s="90" t="str">
        <f t="shared" si="21"/>
        <v>2021</v>
      </c>
      <c r="D193" s="90" t="str">
        <f t="shared" si="22"/>
        <v>mai2021</v>
      </c>
      <c r="E193" s="91">
        <v>1360889</v>
      </c>
      <c r="F193" s="91">
        <v>120</v>
      </c>
      <c r="G193" s="94">
        <f t="shared" si="23"/>
        <v>0.12</v>
      </c>
      <c r="H193" s="92" t="s">
        <v>45</v>
      </c>
      <c r="I193" s="96">
        <f t="shared" si="18"/>
        <v>0.3</v>
      </c>
      <c r="J193" s="96">
        <f t="shared" si="19"/>
        <v>0.7</v>
      </c>
      <c r="K193" s="92">
        <f>VLOOKUP(H193,'Taux émission CO2e'!$A$5:$D$16,4,FALSE)</f>
        <v>0.16</v>
      </c>
      <c r="L193" s="93">
        <f t="shared" si="24"/>
        <v>0.9640512</v>
      </c>
      <c r="M193" s="92">
        <f>VLOOKUP(H193,'Taux émission CO2e'!$A$20:$D$31,4,FALSE)</f>
        <v>6.7400000000000002E-2</v>
      </c>
      <c r="N193" s="105">
        <f t="shared" si="25"/>
        <v>0.94758199200000004</v>
      </c>
      <c r="O193" s="93">
        <f t="shared" si="26"/>
        <v>1.911633192</v>
      </c>
      <c r="P193" s="92">
        <v>95</v>
      </c>
      <c r="Q193" s="92" t="s">
        <v>58</v>
      </c>
      <c r="R193" s="92" t="s">
        <v>112</v>
      </c>
      <c r="S193" s="20">
        <v>167.37</v>
      </c>
    </row>
    <row r="194" spans="1:19" x14ac:dyDescent="0.15">
      <c r="A194" s="90">
        <v>44320</v>
      </c>
      <c r="B194" s="90" t="str">
        <f t="shared" si="20"/>
        <v>mai</v>
      </c>
      <c r="C194" s="90" t="str">
        <f t="shared" si="21"/>
        <v>2021</v>
      </c>
      <c r="D194" s="90" t="str">
        <f t="shared" si="22"/>
        <v>mai2021</v>
      </c>
      <c r="E194" s="91">
        <v>1360879</v>
      </c>
      <c r="F194" s="91">
        <v>60</v>
      </c>
      <c r="G194" s="94">
        <f t="shared" si="23"/>
        <v>0.06</v>
      </c>
      <c r="H194" s="92" t="s">
        <v>45</v>
      </c>
      <c r="I194" s="96">
        <f t="shared" ref="I194:I257" si="27">VLOOKUP(H194,Segment1,2,FALSE)</f>
        <v>0.3</v>
      </c>
      <c r="J194" s="96">
        <f t="shared" ref="J194:J257" si="28">VLOOKUP(H194,Segment2,2,FALSE)</f>
        <v>0.7</v>
      </c>
      <c r="K194" s="92">
        <f>VLOOKUP(H194,'Taux émission CO2e'!$A$5:$D$16,4,FALSE)</f>
        <v>0.16</v>
      </c>
      <c r="L194" s="93">
        <f t="shared" si="24"/>
        <v>0.80841023999999984</v>
      </c>
      <c r="M194" s="92">
        <f>VLOOKUP(H194,'Taux émission CO2e'!$A$20:$D$31,4,FALSE)</f>
        <v>6.7400000000000002E-2</v>
      </c>
      <c r="N194" s="105">
        <f t="shared" si="25"/>
        <v>0.7945998984</v>
      </c>
      <c r="O194" s="93">
        <f t="shared" si="26"/>
        <v>1.6030101383999997</v>
      </c>
      <c r="P194" s="92">
        <v>100</v>
      </c>
      <c r="Q194" s="92" t="s">
        <v>58</v>
      </c>
      <c r="R194" s="92" t="s">
        <v>80</v>
      </c>
      <c r="S194" s="20">
        <v>280.69799999999998</v>
      </c>
    </row>
    <row r="195" spans="1:19" x14ac:dyDescent="0.15">
      <c r="A195" s="90">
        <v>44320</v>
      </c>
      <c r="B195" s="90" t="str">
        <f t="shared" ref="B195:B258" si="29">TEXT(A195,"mmmm")</f>
        <v>mai</v>
      </c>
      <c r="C195" s="90" t="str">
        <f t="shared" ref="C195:C258" si="30">TEXT(A195,"aaaa")</f>
        <v>2021</v>
      </c>
      <c r="D195" s="90" t="str">
        <f t="shared" ref="D195:D258" si="31">B195&amp;C195</f>
        <v>mai2021</v>
      </c>
      <c r="E195" s="91">
        <v>1359695</v>
      </c>
      <c r="F195" s="91">
        <v>200</v>
      </c>
      <c r="G195" s="94">
        <f t="shared" ref="G195:G258" si="32">F195/1000</f>
        <v>0.2</v>
      </c>
      <c r="H195" s="92" t="s">
        <v>46</v>
      </c>
      <c r="I195" s="96">
        <f t="shared" si="27"/>
        <v>0.3</v>
      </c>
      <c r="J195" s="96">
        <f t="shared" si="28"/>
        <v>0.7</v>
      </c>
      <c r="K195" s="92">
        <f>VLOOKUP(H195,'Taux émission CO2e'!$A$5:$D$16,4,FALSE)</f>
        <v>0.16</v>
      </c>
      <c r="L195" s="93">
        <f t="shared" ref="L195:L258" si="33">IFERROR(I195*K195*G195*S195,"0")</f>
        <v>2.4772128000000002</v>
      </c>
      <c r="M195" s="92">
        <f>VLOOKUP(H195,'Taux émission CO2e'!$A$20:$D$31,4,FALSE)</f>
        <v>6.7400000000000002E-2</v>
      </c>
      <c r="N195" s="105">
        <f t="shared" ref="N195:N258" si="34">IFERROR(J195*M195*G195*S195,"0")</f>
        <v>2.4348937479999999</v>
      </c>
      <c r="O195" s="93">
        <f t="shared" ref="O195:O258" si="35">L195+N195</f>
        <v>4.9121065480000006</v>
      </c>
      <c r="P195" s="92">
        <v>131</v>
      </c>
      <c r="Q195" s="92" t="s">
        <v>102</v>
      </c>
      <c r="R195" s="92" t="s">
        <v>55</v>
      </c>
      <c r="S195" s="20">
        <v>258.04300000000001</v>
      </c>
    </row>
    <row r="196" spans="1:19" x14ac:dyDescent="0.15">
      <c r="A196" s="90">
        <v>44320</v>
      </c>
      <c r="B196" s="90" t="str">
        <f t="shared" si="29"/>
        <v>mai</v>
      </c>
      <c r="C196" s="90" t="str">
        <f t="shared" si="30"/>
        <v>2021</v>
      </c>
      <c r="D196" s="90" t="str">
        <f t="shared" si="31"/>
        <v>mai2021</v>
      </c>
      <c r="E196" s="91">
        <v>1359847</v>
      </c>
      <c r="F196" s="91">
        <v>400</v>
      </c>
      <c r="G196" s="94">
        <f t="shared" si="32"/>
        <v>0.4</v>
      </c>
      <c r="H196" s="92" t="s">
        <v>46</v>
      </c>
      <c r="I196" s="96">
        <f t="shared" si="27"/>
        <v>0.3</v>
      </c>
      <c r="J196" s="96">
        <f t="shared" si="28"/>
        <v>0.7</v>
      </c>
      <c r="K196" s="92">
        <f>VLOOKUP(H196,'Taux émission CO2e'!$A$5:$D$16,4,FALSE)</f>
        <v>0.16</v>
      </c>
      <c r="L196" s="93">
        <f t="shared" si="33"/>
        <v>5.113977600000001</v>
      </c>
      <c r="M196" s="92">
        <f>VLOOKUP(H196,'Taux émission CO2e'!$A$20:$D$31,4,FALSE)</f>
        <v>6.7400000000000002E-2</v>
      </c>
      <c r="N196" s="105">
        <f t="shared" si="34"/>
        <v>5.0266138160000002</v>
      </c>
      <c r="O196" s="93">
        <f t="shared" si="35"/>
        <v>10.140591416000001</v>
      </c>
      <c r="P196" s="92">
        <v>158</v>
      </c>
      <c r="Q196" s="92" t="s">
        <v>77</v>
      </c>
      <c r="R196" s="92" t="s">
        <v>55</v>
      </c>
      <c r="S196" s="20">
        <v>266.35300000000001</v>
      </c>
    </row>
    <row r="197" spans="1:19" x14ac:dyDescent="0.15">
      <c r="A197" s="90">
        <v>44321</v>
      </c>
      <c r="B197" s="90" t="str">
        <f t="shared" si="29"/>
        <v>mai</v>
      </c>
      <c r="C197" s="90" t="str">
        <f t="shared" si="30"/>
        <v>2021</v>
      </c>
      <c r="D197" s="90" t="str">
        <f t="shared" si="31"/>
        <v>mai2021</v>
      </c>
      <c r="E197" s="91">
        <v>1360899</v>
      </c>
      <c r="F197" s="91">
        <v>200</v>
      </c>
      <c r="G197" s="94">
        <f t="shared" si="32"/>
        <v>0.2</v>
      </c>
      <c r="H197" s="92" t="s">
        <v>46</v>
      </c>
      <c r="I197" s="96">
        <f t="shared" si="27"/>
        <v>0.3</v>
      </c>
      <c r="J197" s="96">
        <f t="shared" si="28"/>
        <v>0.7</v>
      </c>
      <c r="K197" s="92">
        <f>VLOOKUP(H197,'Taux émission CO2e'!$A$5:$D$16,4,FALSE)</f>
        <v>0.16</v>
      </c>
      <c r="L197" s="93">
        <f t="shared" si="33"/>
        <v>3.6536256000000003</v>
      </c>
      <c r="M197" s="92">
        <f>VLOOKUP(H197,'Taux émission CO2e'!$A$20:$D$31,4,FALSE)</f>
        <v>6.7400000000000002E-2</v>
      </c>
      <c r="N197" s="105">
        <f t="shared" si="34"/>
        <v>3.5912094960000003</v>
      </c>
      <c r="O197" s="93">
        <f t="shared" si="35"/>
        <v>7.244835096000001</v>
      </c>
      <c r="P197" s="92">
        <v>166</v>
      </c>
      <c r="Q197" s="92" t="s">
        <v>91</v>
      </c>
      <c r="R197" s="92" t="s">
        <v>55</v>
      </c>
      <c r="S197" s="20">
        <v>380.58600000000001</v>
      </c>
    </row>
    <row r="198" spans="1:19" x14ac:dyDescent="0.15">
      <c r="A198" s="90">
        <v>44322</v>
      </c>
      <c r="B198" s="90" t="str">
        <f t="shared" si="29"/>
        <v>mai</v>
      </c>
      <c r="C198" s="90" t="str">
        <f t="shared" si="30"/>
        <v>2021</v>
      </c>
      <c r="D198" s="90" t="str">
        <f t="shared" si="31"/>
        <v>mai2021</v>
      </c>
      <c r="E198" s="91">
        <v>1361655</v>
      </c>
      <c r="F198" s="91">
        <v>225</v>
      </c>
      <c r="G198" s="94">
        <f t="shared" si="32"/>
        <v>0.22500000000000001</v>
      </c>
      <c r="H198" s="92" t="s">
        <v>45</v>
      </c>
      <c r="I198" s="96">
        <f t="shared" si="27"/>
        <v>0.3</v>
      </c>
      <c r="J198" s="96">
        <f t="shared" si="28"/>
        <v>0.7</v>
      </c>
      <c r="K198" s="92">
        <f>VLOOKUP(H198,'Taux émission CO2e'!$A$5:$D$16,4,FALSE)</f>
        <v>0.16</v>
      </c>
      <c r="L198" s="93">
        <f t="shared" si="33"/>
        <v>2.2302756000000001</v>
      </c>
      <c r="M198" s="92">
        <f>VLOOKUP(H198,'Taux émission CO2e'!$A$20:$D$31,4,FALSE)</f>
        <v>6.7400000000000002E-2</v>
      </c>
      <c r="N198" s="105">
        <f t="shared" si="34"/>
        <v>2.1921750585000002</v>
      </c>
      <c r="O198" s="93">
        <f t="shared" si="35"/>
        <v>4.4224506585000007</v>
      </c>
      <c r="P198" s="92">
        <v>100</v>
      </c>
      <c r="Q198" s="92" t="s">
        <v>113</v>
      </c>
      <c r="R198" s="92" t="s">
        <v>53</v>
      </c>
      <c r="S198" s="20">
        <v>206.50700000000001</v>
      </c>
    </row>
    <row r="199" spans="1:19" x14ac:dyDescent="0.15">
      <c r="A199" s="90">
        <v>44322</v>
      </c>
      <c r="B199" s="90" t="str">
        <f t="shared" si="29"/>
        <v>mai</v>
      </c>
      <c r="C199" s="90" t="str">
        <f t="shared" si="30"/>
        <v>2021</v>
      </c>
      <c r="D199" s="90" t="str">
        <f t="shared" si="31"/>
        <v>mai2021</v>
      </c>
      <c r="E199" s="91">
        <v>1361913</v>
      </c>
      <c r="F199" s="91">
        <v>200</v>
      </c>
      <c r="G199" s="94">
        <f t="shared" si="32"/>
        <v>0.2</v>
      </c>
      <c r="H199" s="92" t="s">
        <v>46</v>
      </c>
      <c r="I199" s="96">
        <f t="shared" si="27"/>
        <v>0.3</v>
      </c>
      <c r="J199" s="96">
        <f t="shared" si="28"/>
        <v>0.7</v>
      </c>
      <c r="K199" s="92">
        <f>VLOOKUP(H199,'Taux émission CO2e'!$A$5:$D$16,4,FALSE)</f>
        <v>0.16</v>
      </c>
      <c r="L199" s="93">
        <f t="shared" si="33"/>
        <v>2.4772128000000002</v>
      </c>
      <c r="M199" s="92">
        <f>VLOOKUP(H199,'Taux émission CO2e'!$A$20:$D$31,4,FALSE)</f>
        <v>6.7400000000000002E-2</v>
      </c>
      <c r="N199" s="105">
        <f t="shared" si="34"/>
        <v>2.4348937479999999</v>
      </c>
      <c r="O199" s="93">
        <f t="shared" si="35"/>
        <v>4.9121065480000006</v>
      </c>
      <c r="P199" s="92">
        <v>131</v>
      </c>
      <c r="Q199" s="92" t="s">
        <v>102</v>
      </c>
      <c r="R199" s="92" t="s">
        <v>55</v>
      </c>
      <c r="S199" s="20">
        <v>258.04300000000001</v>
      </c>
    </row>
    <row r="200" spans="1:19" x14ac:dyDescent="0.15">
      <c r="A200" s="90">
        <v>44322</v>
      </c>
      <c r="B200" s="90" t="str">
        <f t="shared" si="29"/>
        <v>mai</v>
      </c>
      <c r="C200" s="90" t="str">
        <f t="shared" si="30"/>
        <v>2021</v>
      </c>
      <c r="D200" s="90" t="str">
        <f t="shared" si="31"/>
        <v>mai2021</v>
      </c>
      <c r="E200" s="91">
        <v>1361617</v>
      </c>
      <c r="F200" s="91">
        <v>200</v>
      </c>
      <c r="G200" s="94">
        <f t="shared" si="32"/>
        <v>0.2</v>
      </c>
      <c r="H200" s="92" t="s">
        <v>45</v>
      </c>
      <c r="I200" s="96">
        <f t="shared" si="27"/>
        <v>0.3</v>
      </c>
      <c r="J200" s="96">
        <f t="shared" si="28"/>
        <v>0.7</v>
      </c>
      <c r="K200" s="92">
        <f>VLOOKUP(H200,'Taux émission CO2e'!$A$5:$D$16,4,FALSE)</f>
        <v>0.16</v>
      </c>
      <c r="L200" s="93">
        <f t="shared" si="33"/>
        <v>2.6701920000000001</v>
      </c>
      <c r="M200" s="92">
        <f>VLOOKUP(H200,'Taux émission CO2e'!$A$20:$D$31,4,FALSE)</f>
        <v>6.7400000000000002E-2</v>
      </c>
      <c r="N200" s="105">
        <f t="shared" si="34"/>
        <v>2.6245762199999998</v>
      </c>
      <c r="O200" s="93">
        <f t="shared" si="35"/>
        <v>5.2947682199999999</v>
      </c>
      <c r="P200" s="92">
        <v>158</v>
      </c>
      <c r="Q200" s="92" t="s">
        <v>74</v>
      </c>
      <c r="R200" s="92" t="s">
        <v>55</v>
      </c>
      <c r="S200" s="20">
        <v>278.14499999999998</v>
      </c>
    </row>
    <row r="201" spans="1:19" x14ac:dyDescent="0.15">
      <c r="A201" s="90">
        <v>44322</v>
      </c>
      <c r="B201" s="90" t="str">
        <f t="shared" si="29"/>
        <v>mai</v>
      </c>
      <c r="C201" s="90" t="str">
        <f t="shared" si="30"/>
        <v>2021</v>
      </c>
      <c r="D201" s="90" t="str">
        <f t="shared" si="31"/>
        <v>mai2021</v>
      </c>
      <c r="E201" s="91">
        <v>1361822</v>
      </c>
      <c r="F201" s="91">
        <v>250</v>
      </c>
      <c r="G201" s="94">
        <f t="shared" si="32"/>
        <v>0.25</v>
      </c>
      <c r="H201" s="92" t="s">
        <v>45</v>
      </c>
      <c r="I201" s="96">
        <f t="shared" si="27"/>
        <v>0.3</v>
      </c>
      <c r="J201" s="96">
        <f t="shared" si="28"/>
        <v>0.7</v>
      </c>
      <c r="K201" s="92">
        <f>VLOOKUP(H201,'Taux émission CO2e'!$A$5:$D$16,4,FALSE)</f>
        <v>0.16</v>
      </c>
      <c r="L201" s="93">
        <f t="shared" si="33"/>
        <v>3.003336</v>
      </c>
      <c r="M201" s="92">
        <f>VLOOKUP(H201,'Taux émission CO2e'!$A$20:$D$31,4,FALSE)</f>
        <v>6.7400000000000002E-2</v>
      </c>
      <c r="N201" s="105">
        <f t="shared" si="34"/>
        <v>2.95202901</v>
      </c>
      <c r="O201" s="93">
        <f t="shared" si="35"/>
        <v>5.9553650099999995</v>
      </c>
      <c r="P201" s="92">
        <v>158</v>
      </c>
      <c r="Q201" s="92" t="s">
        <v>89</v>
      </c>
      <c r="R201" s="92" t="s">
        <v>55</v>
      </c>
      <c r="S201" s="20">
        <v>250.27799999999999</v>
      </c>
    </row>
    <row r="202" spans="1:19" x14ac:dyDescent="0.15">
      <c r="A202" s="90">
        <v>44322</v>
      </c>
      <c r="B202" s="90" t="str">
        <f t="shared" si="29"/>
        <v>mai</v>
      </c>
      <c r="C202" s="90" t="str">
        <f t="shared" si="30"/>
        <v>2021</v>
      </c>
      <c r="D202" s="90" t="str">
        <f t="shared" si="31"/>
        <v>mai2021</v>
      </c>
      <c r="E202" s="91">
        <v>1361834</v>
      </c>
      <c r="F202" s="91">
        <v>250</v>
      </c>
      <c r="G202" s="94">
        <f t="shared" si="32"/>
        <v>0.25</v>
      </c>
      <c r="H202" s="92" t="s">
        <v>46</v>
      </c>
      <c r="I202" s="96">
        <f t="shared" si="27"/>
        <v>0.3</v>
      </c>
      <c r="J202" s="96">
        <f t="shared" si="28"/>
        <v>0.7</v>
      </c>
      <c r="K202" s="92">
        <f>VLOOKUP(H202,'Taux émission CO2e'!$A$5:$D$16,4,FALSE)</f>
        <v>0.16</v>
      </c>
      <c r="L202" s="93">
        <f t="shared" si="33"/>
        <v>6.4983119999999994</v>
      </c>
      <c r="M202" s="92">
        <f>VLOOKUP(H202,'Taux émission CO2e'!$A$20:$D$31,4,FALSE)</f>
        <v>6.7400000000000002E-2</v>
      </c>
      <c r="N202" s="105">
        <f t="shared" si="34"/>
        <v>6.3872991699999995</v>
      </c>
      <c r="O202" s="93">
        <f t="shared" si="35"/>
        <v>12.885611169999999</v>
      </c>
      <c r="P202" s="92">
        <v>196</v>
      </c>
      <c r="Q202" s="92" t="s">
        <v>62</v>
      </c>
      <c r="R202" s="92" t="s">
        <v>55</v>
      </c>
      <c r="S202" s="20">
        <v>541.52599999999995</v>
      </c>
    </row>
    <row r="203" spans="1:19" x14ac:dyDescent="0.15">
      <c r="A203" s="90">
        <v>44322</v>
      </c>
      <c r="B203" s="90" t="str">
        <f t="shared" si="29"/>
        <v>mai</v>
      </c>
      <c r="C203" s="90" t="str">
        <f t="shared" si="30"/>
        <v>2021</v>
      </c>
      <c r="D203" s="90" t="str">
        <f t="shared" si="31"/>
        <v>mai2021</v>
      </c>
      <c r="E203" s="91">
        <v>1361710</v>
      </c>
      <c r="F203" s="91">
        <v>400</v>
      </c>
      <c r="G203" s="94">
        <f t="shared" si="32"/>
        <v>0.4</v>
      </c>
      <c r="H203" s="92" t="s">
        <v>45</v>
      </c>
      <c r="I203" s="96">
        <f t="shared" si="27"/>
        <v>0.3</v>
      </c>
      <c r="J203" s="96">
        <f t="shared" si="28"/>
        <v>0.7</v>
      </c>
      <c r="K203" s="92">
        <f>VLOOKUP(H203,'Taux émission CO2e'!$A$5:$D$16,4,FALSE)</f>
        <v>0.16</v>
      </c>
      <c r="L203" s="93">
        <f t="shared" si="33"/>
        <v>9.9163008000000019</v>
      </c>
      <c r="M203" s="92">
        <f>VLOOKUP(H203,'Taux émission CO2e'!$A$20:$D$31,4,FALSE)</f>
        <v>6.7400000000000002E-2</v>
      </c>
      <c r="N203" s="105">
        <f t="shared" si="34"/>
        <v>9.7468973280000011</v>
      </c>
      <c r="O203" s="93">
        <f t="shared" si="35"/>
        <v>19.663198128000005</v>
      </c>
      <c r="P203" s="92">
        <v>228</v>
      </c>
      <c r="Q203" s="92" t="s">
        <v>52</v>
      </c>
      <c r="R203" s="92" t="s">
        <v>55</v>
      </c>
      <c r="S203" s="20">
        <v>516.47400000000005</v>
      </c>
    </row>
    <row r="204" spans="1:19" x14ac:dyDescent="0.15">
      <c r="A204" s="90">
        <v>44326</v>
      </c>
      <c r="B204" s="90" t="str">
        <f t="shared" si="29"/>
        <v>mai</v>
      </c>
      <c r="C204" s="90" t="str">
        <f t="shared" si="30"/>
        <v>2021</v>
      </c>
      <c r="D204" s="90" t="str">
        <f t="shared" si="31"/>
        <v>mai2021</v>
      </c>
      <c r="E204" s="91">
        <v>1361702</v>
      </c>
      <c r="F204" s="91">
        <v>200</v>
      </c>
      <c r="G204" s="94">
        <f t="shared" si="32"/>
        <v>0.2</v>
      </c>
      <c r="H204" s="92" t="s">
        <v>46</v>
      </c>
      <c r="I204" s="96">
        <f t="shared" si="27"/>
        <v>0.3</v>
      </c>
      <c r="J204" s="96">
        <f t="shared" si="28"/>
        <v>0.7</v>
      </c>
      <c r="K204" s="92">
        <f>VLOOKUP(H204,'Taux émission CO2e'!$A$5:$D$16,4,FALSE)</f>
        <v>0.16</v>
      </c>
      <c r="L204" s="93">
        <f t="shared" si="33"/>
        <v>2.4184224000000003</v>
      </c>
      <c r="M204" s="92">
        <f>VLOOKUP(H204,'Taux émission CO2e'!$A$20:$D$31,4,FALSE)</f>
        <v>6.7400000000000002E-2</v>
      </c>
      <c r="N204" s="105">
        <f t="shared" si="34"/>
        <v>2.3771076840000003</v>
      </c>
      <c r="O204" s="93">
        <f t="shared" si="35"/>
        <v>4.795530084000001</v>
      </c>
      <c r="P204" s="92">
        <v>125</v>
      </c>
      <c r="Q204" s="92" t="s">
        <v>92</v>
      </c>
      <c r="R204" s="92" t="s">
        <v>55</v>
      </c>
      <c r="S204" s="20">
        <v>251.91900000000001</v>
      </c>
    </row>
    <row r="205" spans="1:19" x14ac:dyDescent="0.15">
      <c r="A205" s="90">
        <v>44327</v>
      </c>
      <c r="B205" s="90" t="str">
        <f t="shared" si="29"/>
        <v>mai</v>
      </c>
      <c r="C205" s="90" t="str">
        <f t="shared" si="30"/>
        <v>2021</v>
      </c>
      <c r="D205" s="90" t="str">
        <f t="shared" si="31"/>
        <v>mai2021</v>
      </c>
      <c r="E205" s="91">
        <v>1362448</v>
      </c>
      <c r="F205" s="91">
        <v>200</v>
      </c>
      <c r="G205" s="94">
        <f t="shared" si="32"/>
        <v>0.2</v>
      </c>
      <c r="H205" s="92" t="s">
        <v>46</v>
      </c>
      <c r="I205" s="96">
        <f t="shared" si="27"/>
        <v>0.3</v>
      </c>
      <c r="J205" s="96">
        <f t="shared" si="28"/>
        <v>0.7</v>
      </c>
      <c r="K205" s="92">
        <f>VLOOKUP(H205,'Taux émission CO2e'!$A$5:$D$16,4,FALSE)</f>
        <v>0.16</v>
      </c>
      <c r="L205" s="93">
        <f t="shared" si="33"/>
        <v>2.4772128000000002</v>
      </c>
      <c r="M205" s="92">
        <f>VLOOKUP(H205,'Taux émission CO2e'!$A$20:$D$31,4,FALSE)</f>
        <v>6.7400000000000002E-2</v>
      </c>
      <c r="N205" s="105">
        <f t="shared" si="34"/>
        <v>2.4348937479999999</v>
      </c>
      <c r="O205" s="93">
        <f t="shared" si="35"/>
        <v>4.9121065480000006</v>
      </c>
      <c r="P205" s="92">
        <v>131</v>
      </c>
      <c r="Q205" s="92" t="s">
        <v>102</v>
      </c>
      <c r="R205" s="92" t="s">
        <v>55</v>
      </c>
      <c r="S205" s="20">
        <v>258.04300000000001</v>
      </c>
    </row>
    <row r="206" spans="1:19" x14ac:dyDescent="0.15">
      <c r="A206" s="90">
        <v>44328</v>
      </c>
      <c r="B206" s="90" t="str">
        <f t="shared" si="29"/>
        <v>mai</v>
      </c>
      <c r="C206" s="90" t="str">
        <f t="shared" si="30"/>
        <v>2021</v>
      </c>
      <c r="D206" s="90" t="str">
        <f t="shared" si="31"/>
        <v>mai2021</v>
      </c>
      <c r="E206" s="91" t="s">
        <v>114</v>
      </c>
      <c r="F206" s="91">
        <v>160</v>
      </c>
      <c r="G206" s="94">
        <f t="shared" si="32"/>
        <v>0.16</v>
      </c>
      <c r="H206" s="92" t="s">
        <v>45</v>
      </c>
      <c r="I206" s="96">
        <f t="shared" si="27"/>
        <v>0.3</v>
      </c>
      <c r="J206" s="96">
        <f t="shared" si="28"/>
        <v>0.7</v>
      </c>
      <c r="K206" s="92">
        <f>VLOOKUP(H206,'Taux émission CO2e'!$A$5:$D$16,4,FALSE)</f>
        <v>0.16</v>
      </c>
      <c r="L206" s="93">
        <f t="shared" si="33"/>
        <v>2.0270515200000001</v>
      </c>
      <c r="M206" s="92">
        <f>VLOOKUP(H206,'Taux émission CO2e'!$A$20:$D$31,4,FALSE)</f>
        <v>6.7400000000000002E-2</v>
      </c>
      <c r="N206" s="105">
        <f t="shared" si="34"/>
        <v>1.9924227232000002</v>
      </c>
      <c r="O206" s="93">
        <f t="shared" si="35"/>
        <v>4.0194742432000004</v>
      </c>
      <c r="P206" s="92">
        <v>139</v>
      </c>
      <c r="Q206" s="92" t="s">
        <v>58</v>
      </c>
      <c r="R206" s="92" t="s">
        <v>101</v>
      </c>
      <c r="S206" s="20">
        <v>263.93900000000002</v>
      </c>
    </row>
    <row r="207" spans="1:19" x14ac:dyDescent="0.15">
      <c r="A207" s="90">
        <v>44328</v>
      </c>
      <c r="B207" s="90" t="str">
        <f t="shared" si="29"/>
        <v>mai</v>
      </c>
      <c r="C207" s="90" t="str">
        <f t="shared" si="30"/>
        <v>2021</v>
      </c>
      <c r="D207" s="90" t="str">
        <f t="shared" si="31"/>
        <v>mai2021</v>
      </c>
      <c r="E207" s="91">
        <v>1363684</v>
      </c>
      <c r="F207" s="91">
        <v>1250</v>
      </c>
      <c r="G207" s="94">
        <f t="shared" si="32"/>
        <v>1.25</v>
      </c>
      <c r="H207" s="92" t="s">
        <v>38</v>
      </c>
      <c r="I207" s="96">
        <f t="shared" si="27"/>
        <v>1</v>
      </c>
      <c r="J207" s="96">
        <f t="shared" si="28"/>
        <v>0</v>
      </c>
      <c r="K207" s="92">
        <f>VLOOKUP(H207,'Taux émission CO2e'!$A$5:$D$16,4,FALSE)</f>
        <v>0.24099999999999999</v>
      </c>
      <c r="L207" s="93">
        <f t="shared" si="33"/>
        <v>16.496751250000003</v>
      </c>
      <c r="M207" s="92">
        <f>VLOOKUP(H207,'Taux émission CO2e'!$A$20:$D$31,4,FALSE)</f>
        <v>0</v>
      </c>
      <c r="N207" s="105">
        <f t="shared" si="34"/>
        <v>0</v>
      </c>
      <c r="O207" s="93">
        <f t="shared" si="35"/>
        <v>16.496751250000003</v>
      </c>
      <c r="P207" s="92">
        <v>144</v>
      </c>
      <c r="Q207" s="92" t="s">
        <v>56</v>
      </c>
      <c r="R207" s="92" t="s">
        <v>55</v>
      </c>
      <c r="S207" s="20">
        <v>54.761000000000003</v>
      </c>
    </row>
    <row r="208" spans="1:19" x14ac:dyDescent="0.15">
      <c r="A208" s="90">
        <v>44328</v>
      </c>
      <c r="B208" s="90" t="str">
        <f t="shared" si="29"/>
        <v>mai</v>
      </c>
      <c r="C208" s="90" t="str">
        <f t="shared" si="30"/>
        <v>2021</v>
      </c>
      <c r="D208" s="90" t="str">
        <f t="shared" si="31"/>
        <v>mai2021</v>
      </c>
      <c r="E208" s="91">
        <v>1363178</v>
      </c>
      <c r="F208" s="91">
        <v>400</v>
      </c>
      <c r="G208" s="94">
        <f t="shared" si="32"/>
        <v>0.4</v>
      </c>
      <c r="H208" s="92" t="s">
        <v>45</v>
      </c>
      <c r="I208" s="96">
        <f t="shared" si="27"/>
        <v>0.3</v>
      </c>
      <c r="J208" s="96">
        <f t="shared" si="28"/>
        <v>0.7</v>
      </c>
      <c r="K208" s="92">
        <f>VLOOKUP(H208,'Taux émission CO2e'!$A$5:$D$16,4,FALSE)</f>
        <v>0.16</v>
      </c>
      <c r="L208" s="93">
        <f t="shared" si="33"/>
        <v>5.113977600000001</v>
      </c>
      <c r="M208" s="92">
        <f>VLOOKUP(H208,'Taux émission CO2e'!$A$20:$D$31,4,FALSE)</f>
        <v>6.7400000000000002E-2</v>
      </c>
      <c r="N208" s="105">
        <f t="shared" si="34"/>
        <v>5.0266138160000002</v>
      </c>
      <c r="O208" s="93">
        <f t="shared" si="35"/>
        <v>10.140591416000001</v>
      </c>
      <c r="P208" s="92">
        <v>158</v>
      </c>
      <c r="Q208" s="92" t="s">
        <v>77</v>
      </c>
      <c r="R208" s="92" t="s">
        <v>55</v>
      </c>
      <c r="S208" s="20">
        <v>266.35300000000001</v>
      </c>
    </row>
    <row r="209" spans="1:19" x14ac:dyDescent="0.15">
      <c r="A209" s="90">
        <v>44328</v>
      </c>
      <c r="B209" s="90" t="str">
        <f t="shared" si="29"/>
        <v>mai</v>
      </c>
      <c r="C209" s="90" t="str">
        <f t="shared" si="30"/>
        <v>2021</v>
      </c>
      <c r="D209" s="90" t="str">
        <f t="shared" si="31"/>
        <v>mai2021</v>
      </c>
      <c r="E209" s="91">
        <v>1363307</v>
      </c>
      <c r="F209" s="91">
        <v>200</v>
      </c>
      <c r="G209" s="94">
        <f t="shared" si="32"/>
        <v>0.2</v>
      </c>
      <c r="H209" s="92" t="s">
        <v>46</v>
      </c>
      <c r="I209" s="96">
        <f t="shared" si="27"/>
        <v>0.3</v>
      </c>
      <c r="J209" s="96">
        <f t="shared" si="28"/>
        <v>0.7</v>
      </c>
      <c r="K209" s="92">
        <f>VLOOKUP(H209,'Taux émission CO2e'!$A$5:$D$16,4,FALSE)</f>
        <v>0.16</v>
      </c>
      <c r="L209" s="93">
        <f t="shared" si="33"/>
        <v>3.6536256000000003</v>
      </c>
      <c r="M209" s="92">
        <f>VLOOKUP(H209,'Taux émission CO2e'!$A$20:$D$31,4,FALSE)</f>
        <v>6.7400000000000002E-2</v>
      </c>
      <c r="N209" s="105">
        <f t="shared" si="34"/>
        <v>3.5912094960000003</v>
      </c>
      <c r="O209" s="93">
        <f t="shared" si="35"/>
        <v>7.244835096000001</v>
      </c>
      <c r="P209" s="92">
        <v>166</v>
      </c>
      <c r="Q209" s="92" t="s">
        <v>91</v>
      </c>
      <c r="R209" s="92" t="s">
        <v>55</v>
      </c>
      <c r="S209" s="20">
        <v>380.58600000000001</v>
      </c>
    </row>
    <row r="210" spans="1:19" x14ac:dyDescent="0.15">
      <c r="A210" s="90">
        <v>44328</v>
      </c>
      <c r="B210" s="90" t="str">
        <f t="shared" si="29"/>
        <v>mai</v>
      </c>
      <c r="C210" s="90" t="str">
        <f t="shared" si="30"/>
        <v>2021</v>
      </c>
      <c r="D210" s="90" t="str">
        <f t="shared" si="31"/>
        <v>mai2021</v>
      </c>
      <c r="E210" s="91">
        <v>1364067</v>
      </c>
      <c r="F210" s="92">
        <v>1000</v>
      </c>
      <c r="G210" s="94">
        <f t="shared" si="32"/>
        <v>1</v>
      </c>
      <c r="H210" s="92" t="s">
        <v>46</v>
      </c>
      <c r="I210" s="96">
        <f t="shared" si="27"/>
        <v>0.3</v>
      </c>
      <c r="J210" s="96">
        <f t="shared" si="28"/>
        <v>0.7</v>
      </c>
      <c r="K210" s="92">
        <f>VLOOKUP(H210,'Taux émission CO2e'!$A$5:$D$16,4,FALSE)</f>
        <v>0.16</v>
      </c>
      <c r="L210" s="93">
        <f t="shared" si="33"/>
        <v>4.2270719999999997</v>
      </c>
      <c r="M210" s="92">
        <f>VLOOKUP(H210,'Taux émission CO2e'!$A$20:$D$31,4,FALSE)</f>
        <v>6.7400000000000002E-2</v>
      </c>
      <c r="N210" s="105">
        <f t="shared" si="34"/>
        <v>4.1548595199999996</v>
      </c>
      <c r="O210" s="93">
        <f t="shared" si="35"/>
        <v>8.3819315199999984</v>
      </c>
      <c r="P210" s="92">
        <v>300</v>
      </c>
      <c r="Q210" s="92" t="s">
        <v>58</v>
      </c>
      <c r="R210" s="92" t="s">
        <v>86</v>
      </c>
      <c r="S210" s="20">
        <v>88.063999999999993</v>
      </c>
    </row>
    <row r="211" spans="1:19" x14ac:dyDescent="0.15">
      <c r="A211" s="90">
        <v>44328</v>
      </c>
      <c r="B211" s="90" t="str">
        <f t="shared" si="29"/>
        <v>mai</v>
      </c>
      <c r="C211" s="90" t="str">
        <f t="shared" si="30"/>
        <v>2021</v>
      </c>
      <c r="D211" s="90" t="str">
        <f t="shared" si="31"/>
        <v>mai2021</v>
      </c>
      <c r="E211" s="91">
        <v>1363684</v>
      </c>
      <c r="F211" s="91">
        <v>1250</v>
      </c>
      <c r="G211" s="94">
        <f t="shared" si="32"/>
        <v>1.25</v>
      </c>
      <c r="H211" s="92" t="s">
        <v>38</v>
      </c>
      <c r="I211" s="96">
        <f t="shared" si="27"/>
        <v>1</v>
      </c>
      <c r="J211" s="96">
        <f t="shared" si="28"/>
        <v>0</v>
      </c>
      <c r="K211" s="92">
        <f>VLOOKUP(H211,'Taux émission CO2e'!$A$5:$D$16,4,FALSE)</f>
        <v>0.24099999999999999</v>
      </c>
      <c r="L211" s="93">
        <f t="shared" si="33"/>
        <v>16.496751250000003</v>
      </c>
      <c r="M211" s="92">
        <f>VLOOKUP(H211,'Taux émission CO2e'!$A$20:$D$31,4,FALSE)</f>
        <v>0</v>
      </c>
      <c r="N211" s="105">
        <f t="shared" si="34"/>
        <v>0</v>
      </c>
      <c r="O211" s="93">
        <f t="shared" si="35"/>
        <v>16.496751250000003</v>
      </c>
      <c r="P211" s="92">
        <v>544</v>
      </c>
      <c r="Q211" s="92" t="s">
        <v>56</v>
      </c>
      <c r="R211" s="92" t="s">
        <v>55</v>
      </c>
      <c r="S211" s="20">
        <v>54.761000000000003</v>
      </c>
    </row>
    <row r="212" spans="1:19" x14ac:dyDescent="0.15">
      <c r="A212" s="90">
        <v>44330</v>
      </c>
      <c r="B212" s="90" t="str">
        <f t="shared" si="29"/>
        <v>mai</v>
      </c>
      <c r="C212" s="90" t="str">
        <f t="shared" si="30"/>
        <v>2021</v>
      </c>
      <c r="D212" s="90" t="str">
        <f t="shared" si="31"/>
        <v>mai2021</v>
      </c>
      <c r="E212" s="91">
        <v>1364357</v>
      </c>
      <c r="F212" s="91">
        <v>120</v>
      </c>
      <c r="G212" s="94">
        <f t="shared" si="32"/>
        <v>0.12</v>
      </c>
      <c r="H212" s="92" t="s">
        <v>46</v>
      </c>
      <c r="I212" s="96">
        <f t="shared" si="27"/>
        <v>0.3</v>
      </c>
      <c r="J212" s="96">
        <f t="shared" si="28"/>
        <v>0.7</v>
      </c>
      <c r="K212" s="92">
        <f>VLOOKUP(H212,'Taux émission CO2e'!$A$5:$D$16,4,FALSE)</f>
        <v>0.16</v>
      </c>
      <c r="L212" s="93">
        <f t="shared" si="33"/>
        <v>0.9679564799999999</v>
      </c>
      <c r="M212" s="92">
        <f>VLOOKUP(H212,'Taux émission CO2e'!$A$20:$D$31,4,FALSE)</f>
        <v>6.7400000000000002E-2</v>
      </c>
      <c r="N212" s="105">
        <f t="shared" si="34"/>
        <v>0.95142055680000004</v>
      </c>
      <c r="O212" s="93">
        <f t="shared" si="35"/>
        <v>1.9193770367999998</v>
      </c>
      <c r="P212" s="92">
        <v>95</v>
      </c>
      <c r="Q212" s="92" t="s">
        <v>58</v>
      </c>
      <c r="R212" s="92" t="s">
        <v>99</v>
      </c>
      <c r="S212" s="20">
        <v>168.048</v>
      </c>
    </row>
    <row r="213" spans="1:19" x14ac:dyDescent="0.15">
      <c r="A213" s="90">
        <v>44330</v>
      </c>
      <c r="B213" s="90" t="str">
        <f t="shared" si="29"/>
        <v>mai</v>
      </c>
      <c r="C213" s="90" t="str">
        <f t="shared" si="30"/>
        <v>2021</v>
      </c>
      <c r="D213" s="90" t="str">
        <f t="shared" si="31"/>
        <v>mai2021</v>
      </c>
      <c r="E213" s="91" t="s">
        <v>115</v>
      </c>
      <c r="F213" s="91">
        <v>100</v>
      </c>
      <c r="G213" s="94">
        <f t="shared" si="32"/>
        <v>0.1</v>
      </c>
      <c r="H213" s="92" t="s">
        <v>45</v>
      </c>
      <c r="I213" s="96">
        <f t="shared" si="27"/>
        <v>0.3</v>
      </c>
      <c r="J213" s="96">
        <f t="shared" si="28"/>
        <v>0.7</v>
      </c>
      <c r="K213" s="92">
        <f>VLOOKUP(H213,'Taux émission CO2e'!$A$5:$D$16,4,FALSE)</f>
        <v>0.16</v>
      </c>
      <c r="L213" s="93">
        <f t="shared" si="33"/>
        <v>0.91255680000000017</v>
      </c>
      <c r="M213" s="92">
        <f>VLOOKUP(H213,'Taux émission CO2e'!$A$20:$D$31,4,FALSE)</f>
        <v>6.7400000000000002E-2</v>
      </c>
      <c r="N213" s="105">
        <f t="shared" si="34"/>
        <v>0.89696728800000003</v>
      </c>
      <c r="O213" s="93">
        <f t="shared" si="35"/>
        <v>1.8095240880000003</v>
      </c>
      <c r="P213" s="92">
        <v>100</v>
      </c>
      <c r="Q213" s="92" t="s">
        <v>58</v>
      </c>
      <c r="R213" s="92" t="s">
        <v>116</v>
      </c>
      <c r="S213" s="20">
        <v>190.11600000000001</v>
      </c>
    </row>
    <row r="214" spans="1:19" x14ac:dyDescent="0.15">
      <c r="A214" s="90">
        <v>44330</v>
      </c>
      <c r="B214" s="90" t="str">
        <f t="shared" si="29"/>
        <v>mai</v>
      </c>
      <c r="C214" s="90" t="str">
        <f t="shared" si="30"/>
        <v>2021</v>
      </c>
      <c r="D214" s="90" t="str">
        <f t="shared" si="31"/>
        <v>mai2021</v>
      </c>
      <c r="E214" s="91">
        <v>1361706</v>
      </c>
      <c r="F214" s="91">
        <v>250</v>
      </c>
      <c r="G214" s="94">
        <f t="shared" si="32"/>
        <v>0.25</v>
      </c>
      <c r="H214" s="92" t="s">
        <v>46</v>
      </c>
      <c r="I214" s="96">
        <f t="shared" si="27"/>
        <v>0.3</v>
      </c>
      <c r="J214" s="96">
        <f t="shared" si="28"/>
        <v>0.7</v>
      </c>
      <c r="K214" s="92">
        <f>VLOOKUP(H214,'Taux émission CO2e'!$A$5:$D$16,4,FALSE)</f>
        <v>0.16</v>
      </c>
      <c r="L214" s="93">
        <f t="shared" si="33"/>
        <v>3.3419640000000004</v>
      </c>
      <c r="M214" s="92">
        <f>VLOOKUP(H214,'Taux émission CO2e'!$A$20:$D$31,4,FALSE)</f>
        <v>6.7400000000000002E-2</v>
      </c>
      <c r="N214" s="105">
        <f t="shared" si="34"/>
        <v>3.2848721150000002</v>
      </c>
      <c r="O214" s="93">
        <f t="shared" si="35"/>
        <v>6.6268361150000006</v>
      </c>
      <c r="P214" s="92">
        <v>158</v>
      </c>
      <c r="Q214" s="92" t="s">
        <v>90</v>
      </c>
      <c r="R214" s="92" t="s">
        <v>55</v>
      </c>
      <c r="S214" s="20">
        <v>278.49700000000001</v>
      </c>
    </row>
    <row r="215" spans="1:19" x14ac:dyDescent="0.15">
      <c r="A215" s="90">
        <v>44330</v>
      </c>
      <c r="B215" s="90" t="str">
        <f t="shared" si="29"/>
        <v>mai</v>
      </c>
      <c r="C215" s="90" t="str">
        <f t="shared" si="30"/>
        <v>2021</v>
      </c>
      <c r="D215" s="90" t="str">
        <f t="shared" si="31"/>
        <v>mai2021</v>
      </c>
      <c r="E215" s="91">
        <v>1364080</v>
      </c>
      <c r="F215" s="91">
        <v>250</v>
      </c>
      <c r="G215" s="94">
        <f t="shared" si="32"/>
        <v>0.25</v>
      </c>
      <c r="H215" s="92" t="s">
        <v>46</v>
      </c>
      <c r="I215" s="96">
        <f t="shared" si="27"/>
        <v>0.3</v>
      </c>
      <c r="J215" s="96">
        <f t="shared" si="28"/>
        <v>0.7</v>
      </c>
      <c r="K215" s="92">
        <f>VLOOKUP(H215,'Taux émission CO2e'!$A$5:$D$16,4,FALSE)</f>
        <v>0.16</v>
      </c>
      <c r="L215" s="93">
        <f t="shared" si="33"/>
        <v>3.3419640000000004</v>
      </c>
      <c r="M215" s="92">
        <f>VLOOKUP(H215,'Taux émission CO2e'!$A$20:$D$31,4,FALSE)</f>
        <v>6.7400000000000002E-2</v>
      </c>
      <c r="N215" s="105">
        <f t="shared" si="34"/>
        <v>3.2848721150000002</v>
      </c>
      <c r="O215" s="93">
        <f t="shared" si="35"/>
        <v>6.6268361150000006</v>
      </c>
      <c r="P215" s="92">
        <v>158</v>
      </c>
      <c r="Q215" s="92" t="s">
        <v>90</v>
      </c>
      <c r="R215" s="92" t="s">
        <v>55</v>
      </c>
      <c r="S215" s="20">
        <v>278.49700000000001</v>
      </c>
    </row>
    <row r="216" spans="1:19" x14ac:dyDescent="0.15">
      <c r="A216" s="90">
        <v>44330</v>
      </c>
      <c r="B216" s="90" t="str">
        <f t="shared" si="29"/>
        <v>mai</v>
      </c>
      <c r="C216" s="90" t="str">
        <f t="shared" si="30"/>
        <v>2021</v>
      </c>
      <c r="D216" s="90" t="str">
        <f t="shared" si="31"/>
        <v>mai2021</v>
      </c>
      <c r="E216" s="91">
        <v>1364089</v>
      </c>
      <c r="F216" s="91">
        <v>400</v>
      </c>
      <c r="G216" s="94">
        <f t="shared" si="32"/>
        <v>0.4</v>
      </c>
      <c r="H216" s="92" t="s">
        <v>45</v>
      </c>
      <c r="I216" s="96">
        <f t="shared" si="27"/>
        <v>0.3</v>
      </c>
      <c r="J216" s="96">
        <f t="shared" si="28"/>
        <v>0.7</v>
      </c>
      <c r="K216" s="92">
        <f>VLOOKUP(H216,'Taux émission CO2e'!$A$5:$D$16,4,FALSE)</f>
        <v>0.16</v>
      </c>
      <c r="L216" s="93">
        <f t="shared" si="33"/>
        <v>9.9163008000000019</v>
      </c>
      <c r="M216" s="92">
        <f>VLOOKUP(H216,'Taux émission CO2e'!$A$20:$D$31,4,FALSE)</f>
        <v>6.7400000000000002E-2</v>
      </c>
      <c r="N216" s="105">
        <f t="shared" si="34"/>
        <v>9.7468973280000011</v>
      </c>
      <c r="O216" s="93">
        <f t="shared" si="35"/>
        <v>19.663198128000005</v>
      </c>
      <c r="P216" s="92">
        <v>228</v>
      </c>
      <c r="Q216" s="92" t="s">
        <v>52</v>
      </c>
      <c r="R216" s="92" t="s">
        <v>55</v>
      </c>
      <c r="S216" s="20">
        <v>516.47400000000005</v>
      </c>
    </row>
    <row r="217" spans="1:19" x14ac:dyDescent="0.15">
      <c r="A217" s="90">
        <v>44333</v>
      </c>
      <c r="B217" s="90" t="str">
        <f t="shared" si="29"/>
        <v>mai</v>
      </c>
      <c r="C217" s="90" t="str">
        <f t="shared" si="30"/>
        <v>2021</v>
      </c>
      <c r="D217" s="90" t="str">
        <f t="shared" si="31"/>
        <v>mai2021</v>
      </c>
      <c r="E217" s="91" t="s">
        <v>117</v>
      </c>
      <c r="F217" s="91">
        <v>70</v>
      </c>
      <c r="G217" s="94">
        <f t="shared" si="32"/>
        <v>7.0000000000000007E-2</v>
      </c>
      <c r="H217" s="92" t="s">
        <v>45</v>
      </c>
      <c r="I217" s="96">
        <f t="shared" si="27"/>
        <v>0.3</v>
      </c>
      <c r="J217" s="96">
        <f t="shared" si="28"/>
        <v>0.7</v>
      </c>
      <c r="K217" s="92">
        <f>VLOOKUP(H217,'Taux émission CO2e'!$A$5:$D$16,4,FALSE)</f>
        <v>0.16</v>
      </c>
      <c r="L217" s="93">
        <f t="shared" si="33"/>
        <v>0.84194544000000016</v>
      </c>
      <c r="M217" s="92">
        <f>VLOOKUP(H217,'Taux émission CO2e'!$A$20:$D$31,4,FALSE)</f>
        <v>6.7400000000000002E-2</v>
      </c>
      <c r="N217" s="105">
        <f t="shared" si="34"/>
        <v>0.82756220540000003</v>
      </c>
      <c r="O217" s="93">
        <f t="shared" si="35"/>
        <v>1.6695076454000002</v>
      </c>
      <c r="P217" s="92">
        <v>92</v>
      </c>
      <c r="Q217" s="92" t="s">
        <v>58</v>
      </c>
      <c r="R217" s="92" t="s">
        <v>79</v>
      </c>
      <c r="S217" s="20">
        <v>250.57900000000001</v>
      </c>
    </row>
    <row r="218" spans="1:19" x14ac:dyDescent="0.15">
      <c r="A218" s="90">
        <v>44333</v>
      </c>
      <c r="B218" s="90" t="str">
        <f t="shared" si="29"/>
        <v>mai</v>
      </c>
      <c r="C218" s="90" t="str">
        <f t="shared" si="30"/>
        <v>2021</v>
      </c>
      <c r="D218" s="90" t="str">
        <f t="shared" si="31"/>
        <v>mai2021</v>
      </c>
      <c r="E218" s="91" t="s">
        <v>118</v>
      </c>
      <c r="F218" s="91">
        <v>120</v>
      </c>
      <c r="G218" s="94">
        <f t="shared" si="32"/>
        <v>0.12</v>
      </c>
      <c r="H218" s="92" t="s">
        <v>45</v>
      </c>
      <c r="I218" s="96">
        <f t="shared" si="27"/>
        <v>0.3</v>
      </c>
      <c r="J218" s="96">
        <f t="shared" si="28"/>
        <v>0.7</v>
      </c>
      <c r="K218" s="92">
        <f>VLOOKUP(H218,'Taux émission CO2e'!$A$5:$D$16,4,FALSE)</f>
        <v>0.16</v>
      </c>
      <c r="L218" s="93">
        <f t="shared" si="33"/>
        <v>1.4330707199999999</v>
      </c>
      <c r="M218" s="92">
        <f>VLOOKUP(H218,'Taux émission CO2e'!$A$20:$D$31,4,FALSE)</f>
        <v>6.7400000000000002E-2</v>
      </c>
      <c r="N218" s="105">
        <f t="shared" si="34"/>
        <v>1.4085890952</v>
      </c>
      <c r="O218" s="93">
        <f t="shared" si="35"/>
        <v>2.8416598151999999</v>
      </c>
      <c r="P218" s="92">
        <v>92</v>
      </c>
      <c r="Q218" s="92" t="s">
        <v>58</v>
      </c>
      <c r="R218" s="92" t="s">
        <v>82</v>
      </c>
      <c r="S218" s="20">
        <v>248.797</v>
      </c>
    </row>
    <row r="219" spans="1:19" x14ac:dyDescent="0.15">
      <c r="A219" s="90">
        <v>44333</v>
      </c>
      <c r="B219" s="90" t="str">
        <f t="shared" si="29"/>
        <v>mai</v>
      </c>
      <c r="C219" s="90" t="str">
        <f t="shared" si="30"/>
        <v>2021</v>
      </c>
      <c r="D219" s="90" t="str">
        <f t="shared" si="31"/>
        <v>mai2021</v>
      </c>
      <c r="E219" s="91" t="s">
        <v>119</v>
      </c>
      <c r="F219" s="91">
        <v>110</v>
      </c>
      <c r="G219" s="94">
        <f t="shared" si="32"/>
        <v>0.11</v>
      </c>
      <c r="H219" s="92" t="s">
        <v>45</v>
      </c>
      <c r="I219" s="96">
        <f t="shared" si="27"/>
        <v>0.3</v>
      </c>
      <c r="J219" s="96">
        <f t="shared" si="28"/>
        <v>0.7</v>
      </c>
      <c r="K219" s="92">
        <f>VLOOKUP(H219,'Taux émission CO2e'!$A$5:$D$16,4,FALSE)</f>
        <v>0.16</v>
      </c>
      <c r="L219" s="93">
        <f t="shared" si="33"/>
        <v>1.40535648</v>
      </c>
      <c r="M219" s="92">
        <f>VLOOKUP(H219,'Taux émission CO2e'!$A$20:$D$31,4,FALSE)</f>
        <v>6.7400000000000002E-2</v>
      </c>
      <c r="N219" s="105">
        <f t="shared" si="34"/>
        <v>1.3813483067999999</v>
      </c>
      <c r="O219" s="93">
        <f t="shared" si="35"/>
        <v>2.7867047867999997</v>
      </c>
      <c r="P219" s="92">
        <v>95</v>
      </c>
      <c r="Q219" s="92" t="s">
        <v>58</v>
      </c>
      <c r="R219" s="92" t="s">
        <v>53</v>
      </c>
      <c r="S219" s="20">
        <v>266.166</v>
      </c>
    </row>
    <row r="220" spans="1:19" x14ac:dyDescent="0.15">
      <c r="A220" s="90">
        <v>44333</v>
      </c>
      <c r="B220" s="90" t="str">
        <f t="shared" si="29"/>
        <v>mai</v>
      </c>
      <c r="C220" s="90" t="str">
        <f t="shared" si="30"/>
        <v>2021</v>
      </c>
      <c r="D220" s="90" t="str">
        <f t="shared" si="31"/>
        <v>mai2021</v>
      </c>
      <c r="E220" s="91" t="s">
        <v>120</v>
      </c>
      <c r="F220" s="91">
        <v>120</v>
      </c>
      <c r="G220" s="94">
        <f t="shared" si="32"/>
        <v>0.12</v>
      </c>
      <c r="H220" s="92" t="s">
        <v>45</v>
      </c>
      <c r="I220" s="96">
        <f t="shared" si="27"/>
        <v>0.3</v>
      </c>
      <c r="J220" s="96">
        <f t="shared" si="28"/>
        <v>0.7</v>
      </c>
      <c r="K220" s="92">
        <f>VLOOKUP(H220,'Taux émission CO2e'!$A$5:$D$16,4,FALSE)</f>
        <v>0.16</v>
      </c>
      <c r="L220" s="93">
        <f t="shared" si="33"/>
        <v>1.6168204799999997</v>
      </c>
      <c r="M220" s="92">
        <f>VLOOKUP(H220,'Taux émission CO2e'!$A$20:$D$31,4,FALSE)</f>
        <v>6.7400000000000002E-2</v>
      </c>
      <c r="N220" s="105">
        <f t="shared" si="34"/>
        <v>1.5891997968</v>
      </c>
      <c r="O220" s="93">
        <f t="shared" si="35"/>
        <v>3.2060202767999995</v>
      </c>
      <c r="P220" s="92">
        <v>100</v>
      </c>
      <c r="Q220" s="92" t="s">
        <v>58</v>
      </c>
      <c r="R220" s="92" t="s">
        <v>80</v>
      </c>
      <c r="S220" s="20">
        <v>280.69799999999998</v>
      </c>
    </row>
    <row r="221" spans="1:19" x14ac:dyDescent="0.15">
      <c r="A221" s="90">
        <v>44333</v>
      </c>
      <c r="B221" s="90" t="str">
        <f t="shared" si="29"/>
        <v>mai</v>
      </c>
      <c r="C221" s="90" t="str">
        <f t="shared" si="30"/>
        <v>2021</v>
      </c>
      <c r="D221" s="90" t="str">
        <f t="shared" si="31"/>
        <v>mai2021</v>
      </c>
      <c r="E221" s="91" t="s">
        <v>121</v>
      </c>
      <c r="F221" s="91">
        <v>70</v>
      </c>
      <c r="G221" s="94">
        <f t="shared" si="32"/>
        <v>7.0000000000000007E-2</v>
      </c>
      <c r="H221" s="92" t="s">
        <v>46</v>
      </c>
      <c r="I221" s="96">
        <f t="shared" si="27"/>
        <v>0.3</v>
      </c>
      <c r="J221" s="96">
        <f t="shared" si="28"/>
        <v>0.7</v>
      </c>
      <c r="K221" s="92">
        <f>VLOOKUP(H221,'Taux émission CO2e'!$A$5:$D$16,4,FALSE)</f>
        <v>0.16</v>
      </c>
      <c r="L221" s="93">
        <f t="shared" si="33"/>
        <v>1.8183648000000001</v>
      </c>
      <c r="M221" s="92">
        <f>VLOOKUP(H221,'Taux émission CO2e'!$A$20:$D$31,4,FALSE)</f>
        <v>6.7400000000000002E-2</v>
      </c>
      <c r="N221" s="105">
        <f t="shared" si="34"/>
        <v>1.7873010679999999</v>
      </c>
      <c r="O221" s="93">
        <f t="shared" si="35"/>
        <v>3.605665868</v>
      </c>
      <c r="P221" s="92">
        <v>123</v>
      </c>
      <c r="Q221" s="92" t="s">
        <v>58</v>
      </c>
      <c r="R221" s="92" t="s">
        <v>65</v>
      </c>
      <c r="S221" s="20">
        <v>541.17999999999995</v>
      </c>
    </row>
    <row r="222" spans="1:19" x14ac:dyDescent="0.15">
      <c r="A222" s="90">
        <v>44333</v>
      </c>
      <c r="B222" s="90" t="str">
        <f t="shared" si="29"/>
        <v>mai</v>
      </c>
      <c r="C222" s="90" t="str">
        <f t="shared" si="30"/>
        <v>2021</v>
      </c>
      <c r="D222" s="90" t="str">
        <f t="shared" si="31"/>
        <v>mai2021</v>
      </c>
      <c r="E222" s="91">
        <v>1364242</v>
      </c>
      <c r="F222" s="91">
        <v>200</v>
      </c>
      <c r="G222" s="94">
        <f t="shared" si="32"/>
        <v>0.2</v>
      </c>
      <c r="H222" s="92" t="s">
        <v>46</v>
      </c>
      <c r="I222" s="96">
        <f t="shared" si="27"/>
        <v>0.3</v>
      </c>
      <c r="J222" s="96">
        <f t="shared" si="28"/>
        <v>0.7</v>
      </c>
      <c r="K222" s="92">
        <f>VLOOKUP(H222,'Taux émission CO2e'!$A$5:$D$16,4,FALSE)</f>
        <v>0.16</v>
      </c>
      <c r="L222" s="93">
        <f t="shared" si="33"/>
        <v>2.4772128000000002</v>
      </c>
      <c r="M222" s="92">
        <f>VLOOKUP(H222,'Taux émission CO2e'!$A$20:$D$31,4,FALSE)</f>
        <v>6.7400000000000002E-2</v>
      </c>
      <c r="N222" s="105">
        <f t="shared" si="34"/>
        <v>2.4348937479999999</v>
      </c>
      <c r="O222" s="93">
        <f t="shared" si="35"/>
        <v>4.9121065480000006</v>
      </c>
      <c r="P222" s="92">
        <v>131</v>
      </c>
      <c r="Q222" s="92" t="s">
        <v>102</v>
      </c>
      <c r="R222" s="92" t="s">
        <v>55</v>
      </c>
      <c r="S222" s="20">
        <v>258.04300000000001</v>
      </c>
    </row>
    <row r="223" spans="1:19" x14ac:dyDescent="0.15">
      <c r="A223" s="90">
        <v>44333</v>
      </c>
      <c r="B223" s="90" t="str">
        <f t="shared" si="29"/>
        <v>mai</v>
      </c>
      <c r="C223" s="90" t="str">
        <f t="shared" si="30"/>
        <v>2021</v>
      </c>
      <c r="D223" s="90" t="str">
        <f t="shared" si="31"/>
        <v>mai2021</v>
      </c>
      <c r="E223" s="91" t="s">
        <v>122</v>
      </c>
      <c r="F223" s="91">
        <v>70</v>
      </c>
      <c r="G223" s="94">
        <f t="shared" si="32"/>
        <v>7.0000000000000007E-2</v>
      </c>
      <c r="H223" s="92" t="s">
        <v>45</v>
      </c>
      <c r="I223" s="96">
        <f t="shared" si="27"/>
        <v>0.3</v>
      </c>
      <c r="J223" s="96">
        <f t="shared" si="28"/>
        <v>0.7</v>
      </c>
      <c r="K223" s="92">
        <f>VLOOKUP(H223,'Taux émission CO2e'!$A$5:$D$16,4,FALSE)</f>
        <v>0.16</v>
      </c>
      <c r="L223" s="93">
        <f t="shared" si="33"/>
        <v>1.2783288000000002</v>
      </c>
      <c r="M223" s="92">
        <f>VLOOKUP(H223,'Taux émission CO2e'!$A$20:$D$31,4,FALSE)</f>
        <v>6.7400000000000002E-2</v>
      </c>
      <c r="N223" s="105">
        <f t="shared" si="34"/>
        <v>1.256490683</v>
      </c>
      <c r="O223" s="93">
        <f t="shared" si="35"/>
        <v>2.5348194830000002</v>
      </c>
      <c r="P223" s="92">
        <v>131</v>
      </c>
      <c r="Q223" s="92" t="s">
        <v>58</v>
      </c>
      <c r="R223" s="92" t="s">
        <v>83</v>
      </c>
      <c r="S223" s="20">
        <v>380.45499999999998</v>
      </c>
    </row>
    <row r="224" spans="1:19" x14ac:dyDescent="0.15">
      <c r="A224" s="90">
        <v>44333</v>
      </c>
      <c r="B224" s="90" t="str">
        <f t="shared" si="29"/>
        <v>mai</v>
      </c>
      <c r="C224" s="90" t="str">
        <f t="shared" si="30"/>
        <v>2021</v>
      </c>
      <c r="D224" s="90" t="str">
        <f t="shared" si="31"/>
        <v>mai2021</v>
      </c>
      <c r="E224" s="91" t="s">
        <v>123</v>
      </c>
      <c r="F224" s="91">
        <v>90</v>
      </c>
      <c r="G224" s="94">
        <f t="shared" si="32"/>
        <v>0.09</v>
      </c>
      <c r="H224" s="92" t="s">
        <v>45</v>
      </c>
      <c r="I224" s="96">
        <f t="shared" si="27"/>
        <v>0.3</v>
      </c>
      <c r="J224" s="96">
        <f t="shared" si="28"/>
        <v>0.7</v>
      </c>
      <c r="K224" s="92">
        <f>VLOOKUP(H224,'Taux émission CO2e'!$A$5:$D$16,4,FALSE)</f>
        <v>0.16</v>
      </c>
      <c r="L224" s="93">
        <f t="shared" si="33"/>
        <v>2.2282473600000001</v>
      </c>
      <c r="M224" s="92">
        <f>VLOOKUP(H224,'Taux émission CO2e'!$A$20:$D$31,4,FALSE)</f>
        <v>6.7400000000000002E-2</v>
      </c>
      <c r="N224" s="105">
        <f t="shared" si="34"/>
        <v>2.1901814675999995</v>
      </c>
      <c r="O224" s="93">
        <f t="shared" si="35"/>
        <v>4.4184288275999997</v>
      </c>
      <c r="P224" s="92">
        <v>140</v>
      </c>
      <c r="Q224" s="92" t="s">
        <v>58</v>
      </c>
      <c r="R224" s="92" t="s">
        <v>57</v>
      </c>
      <c r="S224" s="20">
        <v>515.798</v>
      </c>
    </row>
    <row r="225" spans="1:19" x14ac:dyDescent="0.15">
      <c r="A225" s="90">
        <v>44333</v>
      </c>
      <c r="B225" s="90" t="str">
        <f t="shared" si="29"/>
        <v>mai</v>
      </c>
      <c r="C225" s="90" t="str">
        <f t="shared" si="30"/>
        <v>2021</v>
      </c>
      <c r="D225" s="90" t="str">
        <f t="shared" si="31"/>
        <v>mai2021</v>
      </c>
      <c r="E225" s="91">
        <v>1363676</v>
      </c>
      <c r="F225" s="91">
        <v>250</v>
      </c>
      <c r="G225" s="94">
        <f t="shared" si="32"/>
        <v>0.25</v>
      </c>
      <c r="H225" s="92" t="s">
        <v>46</v>
      </c>
      <c r="I225" s="96">
        <f t="shared" si="27"/>
        <v>0.3</v>
      </c>
      <c r="J225" s="96">
        <f t="shared" si="28"/>
        <v>0.7</v>
      </c>
      <c r="K225" s="92">
        <f>VLOOKUP(H225,'Taux émission CO2e'!$A$5:$D$16,4,FALSE)</f>
        <v>0.16</v>
      </c>
      <c r="L225" s="93">
        <f t="shared" si="33"/>
        <v>6.4983119999999994</v>
      </c>
      <c r="M225" s="92">
        <f>VLOOKUP(H225,'Taux émission CO2e'!$A$20:$D$31,4,FALSE)</f>
        <v>6.7400000000000002E-2</v>
      </c>
      <c r="N225" s="105">
        <f t="shared" si="34"/>
        <v>6.3872991699999995</v>
      </c>
      <c r="O225" s="93">
        <f t="shared" si="35"/>
        <v>12.885611169999999</v>
      </c>
      <c r="P225" s="92">
        <v>196</v>
      </c>
      <c r="Q225" s="92" t="s">
        <v>62</v>
      </c>
      <c r="R225" s="92" t="s">
        <v>55</v>
      </c>
      <c r="S225" s="20">
        <v>541.52599999999995</v>
      </c>
    </row>
    <row r="226" spans="1:19" x14ac:dyDescent="0.15">
      <c r="A226" s="90">
        <v>44334</v>
      </c>
      <c r="B226" s="90" t="str">
        <f t="shared" si="29"/>
        <v>mai</v>
      </c>
      <c r="C226" s="90" t="str">
        <f t="shared" si="30"/>
        <v>2021</v>
      </c>
      <c r="D226" s="90" t="str">
        <f t="shared" si="31"/>
        <v>mai2021</v>
      </c>
      <c r="E226" s="91" t="s">
        <v>124</v>
      </c>
      <c r="F226" s="91">
        <v>200</v>
      </c>
      <c r="G226" s="94">
        <f t="shared" si="32"/>
        <v>0.2</v>
      </c>
      <c r="H226" s="92" t="s">
        <v>45</v>
      </c>
      <c r="I226" s="96">
        <f t="shared" si="27"/>
        <v>0.3</v>
      </c>
      <c r="J226" s="96">
        <f t="shared" si="28"/>
        <v>0.7</v>
      </c>
      <c r="K226" s="92">
        <f>VLOOKUP(H226,'Taux émission CO2e'!$A$5:$D$16,4,FALSE)</f>
        <v>0.16</v>
      </c>
      <c r="L226" s="93">
        <f t="shared" si="33"/>
        <v>2.6701920000000001</v>
      </c>
      <c r="M226" s="92">
        <f>VLOOKUP(H226,'Taux émission CO2e'!$A$20:$D$31,4,FALSE)</f>
        <v>6.7400000000000002E-2</v>
      </c>
      <c r="N226" s="105">
        <f t="shared" si="34"/>
        <v>2.6245762199999998</v>
      </c>
      <c r="O226" s="93">
        <f t="shared" si="35"/>
        <v>5.2947682199999999</v>
      </c>
      <c r="P226" s="92">
        <v>158</v>
      </c>
      <c r="Q226" s="92" t="s">
        <v>74</v>
      </c>
      <c r="R226" s="92" t="s">
        <v>55</v>
      </c>
      <c r="S226" s="20">
        <v>278.14499999999998</v>
      </c>
    </row>
    <row r="227" spans="1:19" x14ac:dyDescent="0.15">
      <c r="A227" s="90">
        <v>44335</v>
      </c>
      <c r="B227" s="90" t="str">
        <f t="shared" si="29"/>
        <v>mai</v>
      </c>
      <c r="C227" s="90" t="str">
        <f t="shared" si="30"/>
        <v>2021</v>
      </c>
      <c r="D227" s="90" t="str">
        <f t="shared" si="31"/>
        <v>mai2021</v>
      </c>
      <c r="E227" s="91" t="s">
        <v>125</v>
      </c>
      <c r="F227" s="91">
        <v>200</v>
      </c>
      <c r="G227" s="94">
        <f t="shared" si="32"/>
        <v>0.2</v>
      </c>
      <c r="H227" s="92" t="s">
        <v>46</v>
      </c>
      <c r="I227" s="96">
        <f t="shared" si="27"/>
        <v>0.3</v>
      </c>
      <c r="J227" s="96">
        <f t="shared" si="28"/>
        <v>0.7</v>
      </c>
      <c r="K227" s="92">
        <f>VLOOKUP(H227,'Taux émission CO2e'!$A$5:$D$16,4,FALSE)</f>
        <v>0.16</v>
      </c>
      <c r="L227" s="93">
        <f t="shared" si="33"/>
        <v>2.4184224000000003</v>
      </c>
      <c r="M227" s="92">
        <f>VLOOKUP(H227,'Taux émission CO2e'!$A$20:$D$31,4,FALSE)</f>
        <v>6.7400000000000002E-2</v>
      </c>
      <c r="N227" s="105">
        <f t="shared" si="34"/>
        <v>2.3771076840000003</v>
      </c>
      <c r="O227" s="93">
        <f t="shared" si="35"/>
        <v>4.795530084000001</v>
      </c>
      <c r="P227" s="92">
        <v>125</v>
      </c>
      <c r="Q227" s="92" t="s">
        <v>92</v>
      </c>
      <c r="R227" s="92" t="s">
        <v>55</v>
      </c>
      <c r="S227" s="20">
        <v>251.91900000000001</v>
      </c>
    </row>
    <row r="228" spans="1:19" x14ac:dyDescent="0.15">
      <c r="A228" s="90">
        <v>44335</v>
      </c>
      <c r="B228" s="90" t="str">
        <f t="shared" si="29"/>
        <v>mai</v>
      </c>
      <c r="C228" s="90" t="str">
        <f t="shared" si="30"/>
        <v>2021</v>
      </c>
      <c r="D228" s="90" t="str">
        <f t="shared" si="31"/>
        <v>mai2021</v>
      </c>
      <c r="E228" s="91" t="s">
        <v>126</v>
      </c>
      <c r="F228" s="91">
        <v>600</v>
      </c>
      <c r="G228" s="94">
        <f t="shared" si="32"/>
        <v>0.6</v>
      </c>
      <c r="H228" s="92" t="s">
        <v>45</v>
      </c>
      <c r="I228" s="96">
        <f t="shared" si="27"/>
        <v>0.3</v>
      </c>
      <c r="J228" s="96">
        <f t="shared" si="28"/>
        <v>0.7</v>
      </c>
      <c r="K228" s="92">
        <f>VLOOKUP(H228,'Taux émission CO2e'!$A$5:$D$16,4,FALSE)</f>
        <v>0.16</v>
      </c>
      <c r="L228" s="93">
        <f t="shared" si="33"/>
        <v>14.426784</v>
      </c>
      <c r="M228" s="92">
        <f>VLOOKUP(H228,'Taux émission CO2e'!$A$20:$D$31,4,FALSE)</f>
        <v>6.7400000000000002E-2</v>
      </c>
      <c r="N228" s="105">
        <f t="shared" si="34"/>
        <v>14.18032644</v>
      </c>
      <c r="O228" s="93">
        <f t="shared" si="35"/>
        <v>28.60711044</v>
      </c>
      <c r="P228" s="92">
        <v>309.37</v>
      </c>
      <c r="Q228" s="92" t="s">
        <v>74</v>
      </c>
      <c r="R228" s="92" t="s">
        <v>127</v>
      </c>
      <c r="S228" s="20">
        <v>500.93</v>
      </c>
    </row>
    <row r="229" spans="1:19" x14ac:dyDescent="0.15">
      <c r="A229" s="90">
        <v>44336</v>
      </c>
      <c r="B229" s="90" t="str">
        <f t="shared" si="29"/>
        <v>mai</v>
      </c>
      <c r="C229" s="90" t="str">
        <f t="shared" si="30"/>
        <v>2021</v>
      </c>
      <c r="D229" s="90" t="str">
        <f t="shared" si="31"/>
        <v>mai2021</v>
      </c>
      <c r="E229" s="91" t="s">
        <v>128</v>
      </c>
      <c r="F229" s="91">
        <v>400</v>
      </c>
      <c r="G229" s="94">
        <f t="shared" si="32"/>
        <v>0.4</v>
      </c>
      <c r="H229" s="92" t="s">
        <v>45</v>
      </c>
      <c r="I229" s="96">
        <f t="shared" si="27"/>
        <v>0.3</v>
      </c>
      <c r="J229" s="96">
        <f t="shared" si="28"/>
        <v>0.7</v>
      </c>
      <c r="K229" s="92">
        <f>VLOOKUP(H229,'Taux émission CO2e'!$A$5:$D$16,4,FALSE)</f>
        <v>0.16</v>
      </c>
      <c r="L229" s="93">
        <f t="shared" si="33"/>
        <v>5.113977600000001</v>
      </c>
      <c r="M229" s="92">
        <f>VLOOKUP(H229,'Taux émission CO2e'!$A$20:$D$31,4,FALSE)</f>
        <v>6.7400000000000002E-2</v>
      </c>
      <c r="N229" s="105">
        <f t="shared" si="34"/>
        <v>5.0266138160000002</v>
      </c>
      <c r="O229" s="93">
        <f t="shared" si="35"/>
        <v>10.140591416000001</v>
      </c>
      <c r="P229" s="92">
        <v>158</v>
      </c>
      <c r="Q229" s="92" t="s">
        <v>77</v>
      </c>
      <c r="R229" s="92" t="s">
        <v>55</v>
      </c>
      <c r="S229" s="20">
        <v>266.35300000000001</v>
      </c>
    </row>
    <row r="230" spans="1:19" x14ac:dyDescent="0.15">
      <c r="A230" s="90">
        <v>44336</v>
      </c>
      <c r="B230" s="90" t="str">
        <f t="shared" si="29"/>
        <v>mai</v>
      </c>
      <c r="C230" s="90" t="str">
        <f t="shared" si="30"/>
        <v>2021</v>
      </c>
      <c r="D230" s="90" t="str">
        <f t="shared" si="31"/>
        <v>mai2021</v>
      </c>
      <c r="E230" s="91" t="s">
        <v>129</v>
      </c>
      <c r="F230" s="91">
        <v>750</v>
      </c>
      <c r="G230" s="94">
        <f t="shared" si="32"/>
        <v>0.75</v>
      </c>
      <c r="H230" s="92" t="s">
        <v>45</v>
      </c>
      <c r="I230" s="96">
        <f t="shared" si="27"/>
        <v>0.3</v>
      </c>
      <c r="J230" s="96">
        <f t="shared" si="28"/>
        <v>0.7</v>
      </c>
      <c r="K230" s="92">
        <f>VLOOKUP(H230,'Taux émission CO2e'!$A$5:$D$16,4,FALSE)</f>
        <v>0.16</v>
      </c>
      <c r="L230" s="93">
        <f t="shared" si="33"/>
        <v>9.0100080000000009</v>
      </c>
      <c r="M230" s="92">
        <f>VLOOKUP(H230,'Taux émission CO2e'!$A$20:$D$31,4,FALSE)</f>
        <v>6.7400000000000002E-2</v>
      </c>
      <c r="N230" s="105">
        <f t="shared" si="34"/>
        <v>8.8560870299999994</v>
      </c>
      <c r="O230" s="93">
        <f t="shared" si="35"/>
        <v>17.86609503</v>
      </c>
      <c r="P230" s="92">
        <v>206</v>
      </c>
      <c r="Q230" s="92" t="s">
        <v>89</v>
      </c>
      <c r="R230" s="92" t="s">
        <v>55</v>
      </c>
      <c r="S230" s="20">
        <v>250.27799999999999</v>
      </c>
    </row>
    <row r="231" spans="1:19" x14ac:dyDescent="0.15">
      <c r="A231" s="90">
        <v>44337</v>
      </c>
      <c r="B231" s="90" t="str">
        <f t="shared" si="29"/>
        <v>mai</v>
      </c>
      <c r="C231" s="90" t="str">
        <f t="shared" si="30"/>
        <v>2021</v>
      </c>
      <c r="D231" s="90" t="str">
        <f t="shared" si="31"/>
        <v>mai2021</v>
      </c>
      <c r="E231" s="91" t="s">
        <v>130</v>
      </c>
      <c r="F231" s="91">
        <v>250</v>
      </c>
      <c r="G231" s="94">
        <f t="shared" si="32"/>
        <v>0.25</v>
      </c>
      <c r="H231" s="92" t="s">
        <v>46</v>
      </c>
      <c r="I231" s="96">
        <f t="shared" si="27"/>
        <v>0.3</v>
      </c>
      <c r="J231" s="96">
        <f t="shared" si="28"/>
        <v>0.7</v>
      </c>
      <c r="K231" s="92">
        <f>VLOOKUP(H231,'Taux émission CO2e'!$A$5:$D$16,4,FALSE)</f>
        <v>0.16</v>
      </c>
      <c r="L231" s="93">
        <f t="shared" si="33"/>
        <v>3.3419640000000004</v>
      </c>
      <c r="M231" s="92">
        <f>VLOOKUP(H231,'Taux émission CO2e'!$A$20:$D$31,4,FALSE)</f>
        <v>6.7400000000000002E-2</v>
      </c>
      <c r="N231" s="105">
        <f t="shared" si="34"/>
        <v>3.2848721150000002</v>
      </c>
      <c r="O231" s="93">
        <f t="shared" si="35"/>
        <v>6.6268361150000006</v>
      </c>
      <c r="P231" s="92">
        <v>158</v>
      </c>
      <c r="Q231" s="92" t="s">
        <v>90</v>
      </c>
      <c r="R231" s="92" t="s">
        <v>55</v>
      </c>
      <c r="S231" s="20">
        <v>278.49700000000001</v>
      </c>
    </row>
    <row r="232" spans="1:19" x14ac:dyDescent="0.15">
      <c r="A232" s="90">
        <v>44337</v>
      </c>
      <c r="B232" s="90" t="str">
        <f t="shared" si="29"/>
        <v>mai</v>
      </c>
      <c r="C232" s="90" t="str">
        <f t="shared" si="30"/>
        <v>2021</v>
      </c>
      <c r="D232" s="90" t="str">
        <f t="shared" si="31"/>
        <v>mai2021</v>
      </c>
      <c r="E232" s="91" t="s">
        <v>131</v>
      </c>
      <c r="F232" s="91">
        <v>250</v>
      </c>
      <c r="G232" s="94">
        <f t="shared" si="32"/>
        <v>0.25</v>
      </c>
      <c r="H232" s="92" t="s">
        <v>46</v>
      </c>
      <c r="I232" s="96">
        <f t="shared" si="27"/>
        <v>0.3</v>
      </c>
      <c r="J232" s="96">
        <f t="shared" si="28"/>
        <v>0.7</v>
      </c>
      <c r="K232" s="92">
        <f>VLOOKUP(H232,'Taux émission CO2e'!$A$5:$D$16,4,FALSE)</f>
        <v>0.16</v>
      </c>
      <c r="L232" s="93">
        <f t="shared" si="33"/>
        <v>6.4983119999999994</v>
      </c>
      <c r="M232" s="92">
        <f>VLOOKUP(H232,'Taux émission CO2e'!$A$20:$D$31,4,FALSE)</f>
        <v>6.7400000000000002E-2</v>
      </c>
      <c r="N232" s="105">
        <f t="shared" si="34"/>
        <v>6.3872991699999995</v>
      </c>
      <c r="O232" s="93">
        <f t="shared" si="35"/>
        <v>12.885611169999999</v>
      </c>
      <c r="P232" s="92">
        <v>196</v>
      </c>
      <c r="Q232" s="92" t="s">
        <v>62</v>
      </c>
      <c r="R232" s="92" t="s">
        <v>55</v>
      </c>
      <c r="S232" s="20">
        <v>541.52599999999995</v>
      </c>
    </row>
    <row r="233" spans="1:19" x14ac:dyDescent="0.15">
      <c r="A233" s="90">
        <v>44337</v>
      </c>
      <c r="B233" s="90" t="str">
        <f t="shared" si="29"/>
        <v>mai</v>
      </c>
      <c r="C233" s="90" t="str">
        <f t="shared" si="30"/>
        <v>2021</v>
      </c>
      <c r="D233" s="90" t="str">
        <f t="shared" si="31"/>
        <v>mai2021</v>
      </c>
      <c r="E233" s="91" t="s">
        <v>132</v>
      </c>
      <c r="F233" s="91">
        <v>400</v>
      </c>
      <c r="G233" s="94">
        <f t="shared" si="32"/>
        <v>0.4</v>
      </c>
      <c r="H233" s="92" t="s">
        <v>45</v>
      </c>
      <c r="I233" s="96">
        <f t="shared" si="27"/>
        <v>0.3</v>
      </c>
      <c r="J233" s="96">
        <f t="shared" si="28"/>
        <v>0.7</v>
      </c>
      <c r="K233" s="92">
        <f>VLOOKUP(H233,'Taux émission CO2e'!$A$5:$D$16,4,FALSE)</f>
        <v>0.16</v>
      </c>
      <c r="L233" s="93">
        <f t="shared" si="33"/>
        <v>9.9163008000000019</v>
      </c>
      <c r="M233" s="92">
        <f>VLOOKUP(H233,'Taux émission CO2e'!$A$20:$D$31,4,FALSE)</f>
        <v>6.7400000000000002E-2</v>
      </c>
      <c r="N233" s="105">
        <f t="shared" si="34"/>
        <v>9.7468973280000011</v>
      </c>
      <c r="O233" s="93">
        <f t="shared" si="35"/>
        <v>19.663198128000005</v>
      </c>
      <c r="P233" s="92">
        <v>228</v>
      </c>
      <c r="Q233" s="92" t="s">
        <v>52</v>
      </c>
      <c r="R233" s="92" t="s">
        <v>55</v>
      </c>
      <c r="S233" s="20">
        <v>516.47400000000005</v>
      </c>
    </row>
    <row r="234" spans="1:19" x14ac:dyDescent="0.15">
      <c r="A234" s="90">
        <v>44341</v>
      </c>
      <c r="B234" s="90" t="str">
        <f t="shared" si="29"/>
        <v>mai</v>
      </c>
      <c r="C234" s="90" t="str">
        <f t="shared" si="30"/>
        <v>2021</v>
      </c>
      <c r="D234" s="90" t="str">
        <f t="shared" si="31"/>
        <v>mai2021</v>
      </c>
      <c r="E234" s="91" t="s">
        <v>133</v>
      </c>
      <c r="F234" s="91">
        <v>200</v>
      </c>
      <c r="G234" s="94">
        <f t="shared" si="32"/>
        <v>0.2</v>
      </c>
      <c r="H234" s="92" t="s">
        <v>45</v>
      </c>
      <c r="I234" s="96">
        <f t="shared" si="27"/>
        <v>0.3</v>
      </c>
      <c r="J234" s="96">
        <f t="shared" si="28"/>
        <v>0.7</v>
      </c>
      <c r="K234" s="92">
        <f>VLOOKUP(H234,'Taux émission CO2e'!$A$5:$D$16,4,FALSE)</f>
        <v>0.16</v>
      </c>
      <c r="L234" s="93">
        <f t="shared" si="33"/>
        <v>2.4086208</v>
      </c>
      <c r="M234" s="92">
        <f>VLOOKUP(H234,'Taux émission CO2e'!$A$20:$D$31,4,FALSE)</f>
        <v>6.7400000000000002E-2</v>
      </c>
      <c r="N234" s="105">
        <f t="shared" si="34"/>
        <v>2.3674735280000001</v>
      </c>
      <c r="O234" s="93">
        <f t="shared" si="35"/>
        <v>4.7760943280000001</v>
      </c>
      <c r="P234" s="92">
        <v>132</v>
      </c>
      <c r="Q234" s="92" t="s">
        <v>67</v>
      </c>
      <c r="R234" s="92" t="s">
        <v>53</v>
      </c>
      <c r="S234" s="20">
        <v>250.898</v>
      </c>
    </row>
    <row r="235" spans="1:19" x14ac:dyDescent="0.15">
      <c r="A235" s="90">
        <v>44341</v>
      </c>
      <c r="B235" s="90" t="str">
        <f t="shared" si="29"/>
        <v>mai</v>
      </c>
      <c r="C235" s="90" t="str">
        <f t="shared" si="30"/>
        <v>2021</v>
      </c>
      <c r="D235" s="90" t="str">
        <f t="shared" si="31"/>
        <v>mai2021</v>
      </c>
      <c r="E235" s="91" t="s">
        <v>134</v>
      </c>
      <c r="F235" s="91">
        <v>80</v>
      </c>
      <c r="G235" s="94">
        <f t="shared" si="32"/>
        <v>0.08</v>
      </c>
      <c r="H235" s="92" t="s">
        <v>32</v>
      </c>
      <c r="I235" s="96">
        <f t="shared" si="27"/>
        <v>1</v>
      </c>
      <c r="J235" s="96">
        <f t="shared" si="28"/>
        <v>0</v>
      </c>
      <c r="K235" s="92">
        <f>VLOOKUP(H235,'Taux émission CO2e'!$A$5:$D$16,4,FALSE)</f>
        <v>6.7400000000000002E-2</v>
      </c>
      <c r="L235" s="93">
        <f t="shared" si="33"/>
        <v>0.83552814399999997</v>
      </c>
      <c r="M235" s="92">
        <f>VLOOKUP(H235,'Taux émission CO2e'!$A$20:$D$31,4,FALSE)</f>
        <v>0</v>
      </c>
      <c r="N235" s="105">
        <f t="shared" si="34"/>
        <v>0</v>
      </c>
      <c r="O235" s="93">
        <f t="shared" si="35"/>
        <v>0.83552814399999997</v>
      </c>
      <c r="P235" s="92">
        <v>250</v>
      </c>
      <c r="Q235" s="92" t="s">
        <v>135</v>
      </c>
      <c r="R235" s="92" t="s">
        <v>61</v>
      </c>
      <c r="S235" s="20">
        <v>154.95699999999999</v>
      </c>
    </row>
    <row r="236" spans="1:19" x14ac:dyDescent="0.15">
      <c r="A236" s="90">
        <v>44342</v>
      </c>
      <c r="B236" s="90" t="str">
        <f t="shared" si="29"/>
        <v>mai</v>
      </c>
      <c r="C236" s="90" t="str">
        <f t="shared" si="30"/>
        <v>2021</v>
      </c>
      <c r="D236" s="90" t="str">
        <f t="shared" si="31"/>
        <v>mai2021</v>
      </c>
      <c r="E236" s="91" t="s">
        <v>136</v>
      </c>
      <c r="F236" s="91">
        <v>200</v>
      </c>
      <c r="G236" s="94">
        <f t="shared" si="32"/>
        <v>0.2</v>
      </c>
      <c r="H236" s="92" t="s">
        <v>45</v>
      </c>
      <c r="I236" s="96">
        <f t="shared" si="27"/>
        <v>0.3</v>
      </c>
      <c r="J236" s="96">
        <f t="shared" si="28"/>
        <v>0.7</v>
      </c>
      <c r="K236" s="92">
        <f>VLOOKUP(H236,'Taux émission CO2e'!$A$5:$D$16,4,FALSE)</f>
        <v>0.16</v>
      </c>
      <c r="L236" s="93">
        <f t="shared" si="33"/>
        <v>2.4772128000000002</v>
      </c>
      <c r="M236" s="92">
        <f>VLOOKUP(H236,'Taux émission CO2e'!$A$20:$D$31,4,FALSE)</f>
        <v>6.7400000000000002E-2</v>
      </c>
      <c r="N236" s="105">
        <f t="shared" si="34"/>
        <v>2.4348937479999999</v>
      </c>
      <c r="O236" s="93">
        <f t="shared" si="35"/>
        <v>4.9121065480000006</v>
      </c>
      <c r="P236" s="92">
        <v>131</v>
      </c>
      <c r="Q236" s="92" t="s">
        <v>102</v>
      </c>
      <c r="R236" s="92" t="s">
        <v>55</v>
      </c>
      <c r="S236" s="20">
        <v>258.04300000000001</v>
      </c>
    </row>
    <row r="237" spans="1:19" x14ac:dyDescent="0.15">
      <c r="A237" s="90">
        <v>44342</v>
      </c>
      <c r="B237" s="90" t="str">
        <f t="shared" si="29"/>
        <v>mai</v>
      </c>
      <c r="C237" s="90" t="str">
        <f t="shared" si="30"/>
        <v>2021</v>
      </c>
      <c r="D237" s="90" t="str">
        <f t="shared" si="31"/>
        <v>mai2021</v>
      </c>
      <c r="E237" s="91" t="s">
        <v>137</v>
      </c>
      <c r="F237" s="91">
        <v>200</v>
      </c>
      <c r="G237" s="94">
        <f t="shared" si="32"/>
        <v>0.2</v>
      </c>
      <c r="H237" s="92" t="s">
        <v>45</v>
      </c>
      <c r="I237" s="96">
        <f t="shared" si="27"/>
        <v>0.3</v>
      </c>
      <c r="J237" s="96">
        <f t="shared" si="28"/>
        <v>0.7</v>
      </c>
      <c r="K237" s="92">
        <f>VLOOKUP(H237,'Taux émission CO2e'!$A$5:$D$16,4,FALSE)</f>
        <v>0.16</v>
      </c>
      <c r="L237" s="93">
        <f t="shared" si="33"/>
        <v>2.6701920000000001</v>
      </c>
      <c r="M237" s="92">
        <f>VLOOKUP(H237,'Taux émission CO2e'!$A$20:$D$31,4,FALSE)</f>
        <v>6.7400000000000002E-2</v>
      </c>
      <c r="N237" s="105">
        <f t="shared" si="34"/>
        <v>2.6245762199999998</v>
      </c>
      <c r="O237" s="93">
        <f t="shared" si="35"/>
        <v>5.2947682199999999</v>
      </c>
      <c r="P237" s="92">
        <v>158</v>
      </c>
      <c r="Q237" s="92" t="s">
        <v>74</v>
      </c>
      <c r="R237" s="92" t="s">
        <v>55</v>
      </c>
      <c r="S237" s="20">
        <v>278.14499999999998</v>
      </c>
    </row>
    <row r="238" spans="1:19" x14ac:dyDescent="0.15">
      <c r="A238" s="90">
        <v>44342</v>
      </c>
      <c r="B238" s="90" t="str">
        <f t="shared" si="29"/>
        <v>mai</v>
      </c>
      <c r="C238" s="90" t="str">
        <f t="shared" si="30"/>
        <v>2021</v>
      </c>
      <c r="D238" s="90" t="str">
        <f t="shared" si="31"/>
        <v>mai2021</v>
      </c>
      <c r="E238" s="91" t="s">
        <v>138</v>
      </c>
      <c r="F238" s="91">
        <v>400</v>
      </c>
      <c r="G238" s="94">
        <f t="shared" si="32"/>
        <v>0.4</v>
      </c>
      <c r="H238" s="92" t="s">
        <v>46</v>
      </c>
      <c r="I238" s="96">
        <f t="shared" si="27"/>
        <v>0.3</v>
      </c>
      <c r="J238" s="96">
        <f t="shared" si="28"/>
        <v>0.7</v>
      </c>
      <c r="K238" s="92">
        <f>VLOOKUP(H238,'Taux émission CO2e'!$A$5:$D$16,4,FALSE)</f>
        <v>0.16</v>
      </c>
      <c r="L238" s="93">
        <f t="shared" si="33"/>
        <v>7.3072512000000005</v>
      </c>
      <c r="M238" s="92">
        <f>VLOOKUP(H238,'Taux émission CO2e'!$A$20:$D$31,4,FALSE)</f>
        <v>6.7400000000000002E-2</v>
      </c>
      <c r="N238" s="105">
        <f t="shared" si="34"/>
        <v>7.1824189920000006</v>
      </c>
      <c r="O238" s="93">
        <f t="shared" si="35"/>
        <v>14.489670192000002</v>
      </c>
      <c r="P238" s="92">
        <v>200</v>
      </c>
      <c r="Q238" s="92" t="s">
        <v>91</v>
      </c>
      <c r="R238" s="92" t="s">
        <v>55</v>
      </c>
      <c r="S238" s="20">
        <v>380.58600000000001</v>
      </c>
    </row>
    <row r="239" spans="1:19" x14ac:dyDescent="0.15">
      <c r="A239" s="90">
        <v>44343</v>
      </c>
      <c r="B239" s="90" t="str">
        <f t="shared" si="29"/>
        <v>mai</v>
      </c>
      <c r="C239" s="90" t="str">
        <f t="shared" si="30"/>
        <v>2021</v>
      </c>
      <c r="D239" s="90" t="str">
        <f t="shared" si="31"/>
        <v>mai2021</v>
      </c>
      <c r="E239" s="91" t="s">
        <v>139</v>
      </c>
      <c r="F239" s="91">
        <v>200</v>
      </c>
      <c r="G239" s="94">
        <f t="shared" si="32"/>
        <v>0.2</v>
      </c>
      <c r="H239" s="92" t="s">
        <v>46</v>
      </c>
      <c r="I239" s="96">
        <f t="shared" si="27"/>
        <v>0.3</v>
      </c>
      <c r="J239" s="96">
        <f t="shared" si="28"/>
        <v>0.7</v>
      </c>
      <c r="K239" s="92">
        <f>VLOOKUP(H239,'Taux émission CO2e'!$A$5:$D$16,4,FALSE)</f>
        <v>0.16</v>
      </c>
      <c r="L239" s="93">
        <f t="shared" si="33"/>
        <v>2.4184224000000003</v>
      </c>
      <c r="M239" s="92">
        <f>VLOOKUP(H239,'Taux émission CO2e'!$A$20:$D$31,4,FALSE)</f>
        <v>6.7400000000000002E-2</v>
      </c>
      <c r="N239" s="105">
        <f t="shared" si="34"/>
        <v>2.3771076840000003</v>
      </c>
      <c r="O239" s="93">
        <f t="shared" si="35"/>
        <v>4.795530084000001</v>
      </c>
      <c r="P239" s="92">
        <v>125</v>
      </c>
      <c r="Q239" s="92" t="s">
        <v>92</v>
      </c>
      <c r="R239" s="92" t="s">
        <v>55</v>
      </c>
      <c r="S239" s="20">
        <v>251.91900000000001</v>
      </c>
    </row>
    <row r="240" spans="1:19" x14ac:dyDescent="0.15">
      <c r="A240" s="90">
        <v>44343</v>
      </c>
      <c r="B240" s="90" t="str">
        <f t="shared" si="29"/>
        <v>mai</v>
      </c>
      <c r="C240" s="90" t="str">
        <f t="shared" si="30"/>
        <v>2021</v>
      </c>
      <c r="D240" s="90" t="str">
        <f t="shared" si="31"/>
        <v>mai2021</v>
      </c>
      <c r="E240" s="91" t="s">
        <v>140</v>
      </c>
      <c r="F240" s="91">
        <v>200</v>
      </c>
      <c r="G240" s="94">
        <f t="shared" si="32"/>
        <v>0.2</v>
      </c>
      <c r="H240" s="92" t="s">
        <v>45</v>
      </c>
      <c r="I240" s="96">
        <f t="shared" si="27"/>
        <v>0.3</v>
      </c>
      <c r="J240" s="96">
        <f t="shared" si="28"/>
        <v>0.7</v>
      </c>
      <c r="K240" s="92">
        <f>VLOOKUP(H240,'Taux émission CO2e'!$A$5:$D$16,4,FALSE)</f>
        <v>0.16</v>
      </c>
      <c r="L240" s="93">
        <f t="shared" si="33"/>
        <v>2.5569888000000005</v>
      </c>
      <c r="M240" s="92">
        <f>VLOOKUP(H240,'Taux émission CO2e'!$A$20:$D$31,4,FALSE)</f>
        <v>6.7400000000000002E-2</v>
      </c>
      <c r="N240" s="105">
        <f t="shared" si="34"/>
        <v>2.5133069080000001</v>
      </c>
      <c r="O240" s="93">
        <f t="shared" si="35"/>
        <v>5.0702957080000006</v>
      </c>
      <c r="P240" s="92">
        <v>158</v>
      </c>
      <c r="Q240" s="92" t="s">
        <v>77</v>
      </c>
      <c r="R240" s="92" t="s">
        <v>55</v>
      </c>
      <c r="S240" s="20">
        <v>266.35300000000001</v>
      </c>
    </row>
    <row r="241" spans="1:19" x14ac:dyDescent="0.15">
      <c r="A241" s="90">
        <v>44343</v>
      </c>
      <c r="B241" s="90" t="str">
        <f t="shared" si="29"/>
        <v>mai</v>
      </c>
      <c r="C241" s="90" t="str">
        <f t="shared" si="30"/>
        <v>2021</v>
      </c>
      <c r="D241" s="90" t="str">
        <f t="shared" si="31"/>
        <v>mai2021</v>
      </c>
      <c r="E241" s="91" t="s">
        <v>141</v>
      </c>
      <c r="F241" s="91">
        <v>200</v>
      </c>
      <c r="G241" s="94">
        <f t="shared" si="32"/>
        <v>0.2</v>
      </c>
      <c r="H241" s="92" t="s">
        <v>46</v>
      </c>
      <c r="I241" s="96">
        <f t="shared" si="27"/>
        <v>0.3</v>
      </c>
      <c r="J241" s="96">
        <f t="shared" si="28"/>
        <v>0.7</v>
      </c>
      <c r="K241" s="92">
        <f>VLOOKUP(H241,'Taux émission CO2e'!$A$5:$D$16,4,FALSE)</f>
        <v>0.16</v>
      </c>
      <c r="L241" s="93">
        <f t="shared" si="33"/>
        <v>2.6735712000000005</v>
      </c>
      <c r="M241" s="92">
        <f>VLOOKUP(H241,'Taux émission CO2e'!$A$20:$D$31,4,FALSE)</f>
        <v>6.7400000000000002E-2</v>
      </c>
      <c r="N241" s="105">
        <f t="shared" si="34"/>
        <v>2.6278976919999999</v>
      </c>
      <c r="O241" s="93">
        <f t="shared" si="35"/>
        <v>5.3014688920000008</v>
      </c>
      <c r="P241" s="92">
        <v>158</v>
      </c>
      <c r="Q241" s="92" t="s">
        <v>90</v>
      </c>
      <c r="R241" s="92" t="s">
        <v>55</v>
      </c>
      <c r="S241" s="20">
        <v>278.49700000000001</v>
      </c>
    </row>
    <row r="242" spans="1:19" x14ac:dyDescent="0.15">
      <c r="A242" s="90">
        <v>44343</v>
      </c>
      <c r="B242" s="90" t="str">
        <f t="shared" si="29"/>
        <v>mai</v>
      </c>
      <c r="C242" s="90" t="str">
        <f t="shared" si="30"/>
        <v>2021</v>
      </c>
      <c r="D242" s="90" t="str">
        <f t="shared" si="31"/>
        <v>mai2021</v>
      </c>
      <c r="E242" s="91" t="s">
        <v>142</v>
      </c>
      <c r="F242" s="91">
        <v>200</v>
      </c>
      <c r="G242" s="94">
        <f t="shared" si="32"/>
        <v>0.2</v>
      </c>
      <c r="H242" s="92" t="s">
        <v>45</v>
      </c>
      <c r="I242" s="96">
        <f t="shared" si="27"/>
        <v>0.3</v>
      </c>
      <c r="J242" s="96">
        <f t="shared" si="28"/>
        <v>0.7</v>
      </c>
      <c r="K242" s="92">
        <f>VLOOKUP(H242,'Taux émission CO2e'!$A$5:$D$16,4,FALSE)</f>
        <v>0.16</v>
      </c>
      <c r="L242" s="93">
        <f t="shared" si="33"/>
        <v>4.958150400000001</v>
      </c>
      <c r="M242" s="92">
        <f>VLOOKUP(H242,'Taux émission CO2e'!$A$20:$D$31,4,FALSE)</f>
        <v>6.7400000000000002E-2</v>
      </c>
      <c r="N242" s="105">
        <f t="shared" si="34"/>
        <v>4.8734486640000005</v>
      </c>
      <c r="O242" s="93">
        <f t="shared" si="35"/>
        <v>9.8315990640000024</v>
      </c>
      <c r="P242" s="92">
        <v>165</v>
      </c>
      <c r="Q242" s="92" t="s">
        <v>52</v>
      </c>
      <c r="R242" s="92" t="s">
        <v>55</v>
      </c>
      <c r="S242" s="20">
        <v>516.47400000000005</v>
      </c>
    </row>
    <row r="243" spans="1:19" x14ac:dyDescent="0.15">
      <c r="A243" s="90">
        <v>44343</v>
      </c>
      <c r="B243" s="90" t="str">
        <f t="shared" si="29"/>
        <v>mai</v>
      </c>
      <c r="C243" s="90" t="str">
        <f t="shared" si="30"/>
        <v>2021</v>
      </c>
      <c r="D243" s="90" t="str">
        <f t="shared" si="31"/>
        <v>mai2021</v>
      </c>
      <c r="E243" s="91" t="s">
        <v>143</v>
      </c>
      <c r="F243" s="91">
        <v>200</v>
      </c>
      <c r="G243" s="94">
        <f t="shared" si="32"/>
        <v>0.2</v>
      </c>
      <c r="H243" s="92" t="s">
        <v>46</v>
      </c>
      <c r="I243" s="96">
        <f t="shared" si="27"/>
        <v>0.3</v>
      </c>
      <c r="J243" s="96">
        <f t="shared" si="28"/>
        <v>0.7</v>
      </c>
      <c r="K243" s="92">
        <f>VLOOKUP(H243,'Taux émission CO2e'!$A$5:$D$16,4,FALSE)</f>
        <v>0.16</v>
      </c>
      <c r="L243" s="93">
        <f t="shared" si="33"/>
        <v>5.1986496000000004</v>
      </c>
      <c r="M243" s="92">
        <f>VLOOKUP(H243,'Taux émission CO2e'!$A$20:$D$31,4,FALSE)</f>
        <v>6.7400000000000002E-2</v>
      </c>
      <c r="N243" s="105">
        <f t="shared" si="34"/>
        <v>5.1098393359999994</v>
      </c>
      <c r="O243" s="93">
        <f t="shared" si="35"/>
        <v>10.308488936</v>
      </c>
      <c r="P243" s="92">
        <v>196</v>
      </c>
      <c r="Q243" s="92" t="s">
        <v>62</v>
      </c>
      <c r="R243" s="92" t="s">
        <v>55</v>
      </c>
      <c r="S243" s="20">
        <v>541.52599999999995</v>
      </c>
    </row>
    <row r="244" spans="1:19" x14ac:dyDescent="0.15">
      <c r="A244" s="90">
        <v>44347</v>
      </c>
      <c r="B244" s="90" t="str">
        <f t="shared" si="29"/>
        <v>mai</v>
      </c>
      <c r="C244" s="90" t="str">
        <f t="shared" si="30"/>
        <v>2021</v>
      </c>
      <c r="D244" s="90" t="str">
        <f t="shared" si="31"/>
        <v>mai2021</v>
      </c>
      <c r="E244" s="91" t="s">
        <v>144</v>
      </c>
      <c r="F244" s="91">
        <v>200</v>
      </c>
      <c r="G244" s="94">
        <f t="shared" si="32"/>
        <v>0.2</v>
      </c>
      <c r="H244" s="92" t="s">
        <v>45</v>
      </c>
      <c r="I244" s="96">
        <f t="shared" si="27"/>
        <v>0.3</v>
      </c>
      <c r="J244" s="96">
        <f t="shared" si="28"/>
        <v>0.7</v>
      </c>
      <c r="K244" s="92">
        <f>VLOOKUP(H244,'Taux émission CO2e'!$A$5:$D$16,4,FALSE)</f>
        <v>0.16</v>
      </c>
      <c r="L244" s="93">
        <f t="shared" si="33"/>
        <v>2.4184224000000003</v>
      </c>
      <c r="M244" s="92">
        <f>VLOOKUP(H244,'Taux émission CO2e'!$A$20:$D$31,4,FALSE)</f>
        <v>6.7400000000000002E-2</v>
      </c>
      <c r="N244" s="105">
        <f t="shared" si="34"/>
        <v>2.3771076840000003</v>
      </c>
      <c r="O244" s="93">
        <f t="shared" si="35"/>
        <v>4.795530084000001</v>
      </c>
      <c r="P244" s="92">
        <v>125</v>
      </c>
      <c r="Q244" s="92" t="s">
        <v>92</v>
      </c>
      <c r="R244" s="92" t="s">
        <v>55</v>
      </c>
      <c r="S244" s="20">
        <v>251.91900000000001</v>
      </c>
    </row>
    <row r="245" spans="1:19" x14ac:dyDescent="0.15">
      <c r="A245" s="90">
        <v>44348</v>
      </c>
      <c r="B245" s="90" t="str">
        <f t="shared" si="29"/>
        <v>juin</v>
      </c>
      <c r="C245" s="90" t="str">
        <f t="shared" si="30"/>
        <v>2021</v>
      </c>
      <c r="D245" s="90" t="str">
        <f t="shared" si="31"/>
        <v>juin2021</v>
      </c>
      <c r="E245" s="91" t="s">
        <v>145</v>
      </c>
      <c r="F245" s="91">
        <v>200</v>
      </c>
      <c r="G245" s="94">
        <f t="shared" si="32"/>
        <v>0.2</v>
      </c>
      <c r="H245" s="92" t="s">
        <v>38</v>
      </c>
      <c r="I245" s="96">
        <f t="shared" si="27"/>
        <v>1</v>
      </c>
      <c r="J245" s="96">
        <f t="shared" si="28"/>
        <v>0</v>
      </c>
      <c r="K245" s="92">
        <f>VLOOKUP(H245,'Taux émission CO2e'!$A$5:$D$16,4,FALSE)</f>
        <v>0.24099999999999999</v>
      </c>
      <c r="L245" s="93">
        <f t="shared" si="33"/>
        <v>2.4624416</v>
      </c>
      <c r="M245" s="92">
        <f>VLOOKUP(H245,'Taux émission CO2e'!$A$20:$D$31,4,FALSE)</f>
        <v>0</v>
      </c>
      <c r="N245" s="105">
        <f t="shared" si="34"/>
        <v>0</v>
      </c>
      <c r="O245" s="93">
        <f t="shared" si="35"/>
        <v>2.4624416</v>
      </c>
      <c r="P245" s="92">
        <v>80</v>
      </c>
      <c r="Q245" s="92" t="s">
        <v>58</v>
      </c>
      <c r="R245" s="92" t="s">
        <v>146</v>
      </c>
      <c r="S245" s="20">
        <v>51.088000000000001</v>
      </c>
    </row>
    <row r="246" spans="1:19" x14ac:dyDescent="0.15">
      <c r="A246" s="90">
        <v>44348</v>
      </c>
      <c r="B246" s="90" t="str">
        <f t="shared" si="29"/>
        <v>juin</v>
      </c>
      <c r="C246" s="90" t="str">
        <f t="shared" si="30"/>
        <v>2021</v>
      </c>
      <c r="D246" s="90" t="str">
        <f t="shared" si="31"/>
        <v>juin2021</v>
      </c>
      <c r="E246" s="91" t="s">
        <v>147</v>
      </c>
      <c r="F246" s="91">
        <v>200</v>
      </c>
      <c r="G246" s="94">
        <f t="shared" si="32"/>
        <v>0.2</v>
      </c>
      <c r="H246" s="92" t="s">
        <v>45</v>
      </c>
      <c r="I246" s="96">
        <f t="shared" si="27"/>
        <v>0.3</v>
      </c>
      <c r="J246" s="96">
        <f t="shared" si="28"/>
        <v>0.7</v>
      </c>
      <c r="K246" s="92">
        <f>VLOOKUP(H246,'Taux émission CO2e'!$A$5:$D$16,4,FALSE)</f>
        <v>0.16</v>
      </c>
      <c r="L246" s="93">
        <f t="shared" si="33"/>
        <v>2.4772128000000002</v>
      </c>
      <c r="M246" s="92">
        <f>VLOOKUP(H246,'Taux émission CO2e'!$A$20:$D$31,4,FALSE)</f>
        <v>6.7400000000000002E-2</v>
      </c>
      <c r="N246" s="105">
        <f t="shared" si="34"/>
        <v>2.4348937479999999</v>
      </c>
      <c r="O246" s="93">
        <f t="shared" si="35"/>
        <v>4.9121065480000006</v>
      </c>
      <c r="P246" s="92">
        <v>131</v>
      </c>
      <c r="Q246" s="92" t="s">
        <v>102</v>
      </c>
      <c r="R246" s="92" t="s">
        <v>55</v>
      </c>
      <c r="S246" s="20">
        <v>258.04300000000001</v>
      </c>
    </row>
    <row r="247" spans="1:19" x14ac:dyDescent="0.15">
      <c r="A247" s="90">
        <v>44348</v>
      </c>
      <c r="B247" s="90" t="str">
        <f t="shared" si="29"/>
        <v>juin</v>
      </c>
      <c r="C247" s="90" t="str">
        <f t="shared" si="30"/>
        <v>2021</v>
      </c>
      <c r="D247" s="90" t="str">
        <f t="shared" si="31"/>
        <v>juin2021</v>
      </c>
      <c r="E247" s="91" t="s">
        <v>148</v>
      </c>
      <c r="F247" s="91">
        <v>300</v>
      </c>
      <c r="G247" s="94">
        <f t="shared" si="32"/>
        <v>0.3</v>
      </c>
      <c r="H247" s="92" t="s">
        <v>45</v>
      </c>
      <c r="I247" s="96">
        <f t="shared" si="27"/>
        <v>0.3</v>
      </c>
      <c r="J247" s="96">
        <f t="shared" si="28"/>
        <v>0.7</v>
      </c>
      <c r="K247" s="92">
        <f>VLOOKUP(H247,'Taux émission CO2e'!$A$5:$D$16,4,FALSE)</f>
        <v>0.16</v>
      </c>
      <c r="L247" s="93">
        <f t="shared" si="33"/>
        <v>3.6040031999999997</v>
      </c>
      <c r="M247" s="92">
        <f>VLOOKUP(H247,'Taux émission CO2e'!$A$20:$D$31,4,FALSE)</f>
        <v>6.7400000000000002E-2</v>
      </c>
      <c r="N247" s="105">
        <f t="shared" si="34"/>
        <v>3.5424348119999998</v>
      </c>
      <c r="O247" s="93">
        <f t="shared" si="35"/>
        <v>7.1464380119999991</v>
      </c>
      <c r="P247" s="92">
        <v>158</v>
      </c>
      <c r="Q247" s="92" t="s">
        <v>89</v>
      </c>
      <c r="R247" s="92" t="s">
        <v>55</v>
      </c>
      <c r="S247" s="20">
        <v>250.27799999999999</v>
      </c>
    </row>
    <row r="248" spans="1:19" x14ac:dyDescent="0.15">
      <c r="A248" s="90">
        <v>44348</v>
      </c>
      <c r="B248" s="90" t="str">
        <f t="shared" si="29"/>
        <v>juin</v>
      </c>
      <c r="C248" s="90" t="str">
        <f t="shared" si="30"/>
        <v>2021</v>
      </c>
      <c r="D248" s="90" t="str">
        <f t="shared" si="31"/>
        <v>juin2021</v>
      </c>
      <c r="E248" s="91" t="s">
        <v>149</v>
      </c>
      <c r="F248" s="91">
        <v>200</v>
      </c>
      <c r="G248" s="94">
        <f t="shared" si="32"/>
        <v>0.2</v>
      </c>
      <c r="H248" s="92" t="s">
        <v>45</v>
      </c>
      <c r="I248" s="96">
        <f t="shared" si="27"/>
        <v>0.3</v>
      </c>
      <c r="J248" s="96">
        <f t="shared" si="28"/>
        <v>0.7</v>
      </c>
      <c r="K248" s="92">
        <f>VLOOKUP(H248,'Taux émission CO2e'!$A$5:$D$16,4,FALSE)</f>
        <v>0.16</v>
      </c>
      <c r="L248" s="93">
        <f t="shared" si="33"/>
        <v>2.6701920000000001</v>
      </c>
      <c r="M248" s="92">
        <f>VLOOKUP(H248,'Taux émission CO2e'!$A$20:$D$31,4,FALSE)</f>
        <v>6.7400000000000002E-2</v>
      </c>
      <c r="N248" s="105">
        <f t="shared" si="34"/>
        <v>2.6245762199999998</v>
      </c>
      <c r="O248" s="93">
        <f t="shared" si="35"/>
        <v>5.2947682199999999</v>
      </c>
      <c r="P248" s="92">
        <v>158</v>
      </c>
      <c r="Q248" s="92" t="s">
        <v>74</v>
      </c>
      <c r="R248" s="92" t="s">
        <v>55</v>
      </c>
      <c r="S248" s="20">
        <v>278.14499999999998</v>
      </c>
    </row>
    <row r="249" spans="1:19" x14ac:dyDescent="0.15">
      <c r="A249" s="90">
        <v>44348</v>
      </c>
      <c r="B249" s="90" t="str">
        <f t="shared" si="29"/>
        <v>juin</v>
      </c>
      <c r="C249" s="90" t="str">
        <f t="shared" si="30"/>
        <v>2021</v>
      </c>
      <c r="D249" s="90" t="str">
        <f t="shared" si="31"/>
        <v>juin2021</v>
      </c>
      <c r="E249" s="91" t="s">
        <v>150</v>
      </c>
      <c r="F249" s="91">
        <v>300</v>
      </c>
      <c r="G249" s="94">
        <f t="shared" si="32"/>
        <v>0.3</v>
      </c>
      <c r="H249" s="92" t="s">
        <v>46</v>
      </c>
      <c r="I249" s="96">
        <f t="shared" si="27"/>
        <v>0.3</v>
      </c>
      <c r="J249" s="96">
        <f t="shared" si="28"/>
        <v>0.7</v>
      </c>
      <c r="K249" s="92">
        <f>VLOOKUP(H249,'Taux émission CO2e'!$A$5:$D$16,4,FALSE)</f>
        <v>0.16</v>
      </c>
      <c r="L249" s="93">
        <f t="shared" si="33"/>
        <v>5.4804383999999997</v>
      </c>
      <c r="M249" s="92">
        <f>VLOOKUP(H249,'Taux émission CO2e'!$A$20:$D$31,4,FALSE)</f>
        <v>6.7400000000000002E-2</v>
      </c>
      <c r="N249" s="105">
        <f t="shared" si="34"/>
        <v>5.386814244</v>
      </c>
      <c r="O249" s="93">
        <f t="shared" si="35"/>
        <v>10.867252644000001</v>
      </c>
      <c r="P249" s="92">
        <v>166</v>
      </c>
      <c r="Q249" s="92" t="s">
        <v>91</v>
      </c>
      <c r="R249" s="92" t="s">
        <v>55</v>
      </c>
      <c r="S249" s="20">
        <v>380.58600000000001</v>
      </c>
    </row>
    <row r="250" spans="1:19" x14ac:dyDescent="0.15">
      <c r="A250" s="90">
        <v>44348</v>
      </c>
      <c r="B250" s="90" t="str">
        <f t="shared" si="29"/>
        <v>juin</v>
      </c>
      <c r="C250" s="90" t="str">
        <f t="shared" si="30"/>
        <v>2021</v>
      </c>
      <c r="D250" s="90" t="str">
        <f t="shared" si="31"/>
        <v>juin2021</v>
      </c>
      <c r="E250" s="91" t="s">
        <v>151</v>
      </c>
      <c r="F250" s="91">
        <v>60</v>
      </c>
      <c r="G250" s="94">
        <f t="shared" si="32"/>
        <v>0.06</v>
      </c>
      <c r="H250" s="92" t="s">
        <v>46</v>
      </c>
      <c r="I250" s="96">
        <f t="shared" si="27"/>
        <v>0.3</v>
      </c>
      <c r="J250" s="96">
        <f t="shared" si="28"/>
        <v>0.7</v>
      </c>
      <c r="K250" s="92">
        <f>VLOOKUP(H250,'Taux émission CO2e'!$A$5:$D$16,4,FALSE)</f>
        <v>0.16</v>
      </c>
      <c r="L250" s="93">
        <f t="shared" si="33"/>
        <v>2.23001856</v>
      </c>
      <c r="M250" s="92">
        <f>VLOOKUP(H250,'Taux émission CO2e'!$A$20:$D$31,4,FALSE)</f>
        <v>6.7400000000000002E-2</v>
      </c>
      <c r="N250" s="105">
        <f t="shared" si="34"/>
        <v>2.1919224096000001</v>
      </c>
      <c r="O250" s="93">
        <f t="shared" si="35"/>
        <v>4.4219409695999996</v>
      </c>
      <c r="P250" s="92">
        <v>200</v>
      </c>
      <c r="Q250" s="92" t="s">
        <v>56</v>
      </c>
      <c r="R250" s="92" t="s">
        <v>85</v>
      </c>
      <c r="S250" s="20">
        <v>774.31200000000001</v>
      </c>
    </row>
    <row r="251" spans="1:19" x14ac:dyDescent="0.15">
      <c r="A251" s="90">
        <v>44349</v>
      </c>
      <c r="B251" s="90" t="str">
        <f t="shared" si="29"/>
        <v>juin</v>
      </c>
      <c r="C251" s="90" t="str">
        <f t="shared" si="30"/>
        <v>2021</v>
      </c>
      <c r="D251" s="90" t="str">
        <f t="shared" si="31"/>
        <v>juin2021</v>
      </c>
      <c r="E251" s="91" t="s">
        <v>152</v>
      </c>
      <c r="F251" s="91">
        <v>300</v>
      </c>
      <c r="G251" s="94">
        <f t="shared" si="32"/>
        <v>0.3</v>
      </c>
      <c r="H251" s="92" t="s">
        <v>38</v>
      </c>
      <c r="I251" s="96">
        <f t="shared" si="27"/>
        <v>1</v>
      </c>
      <c r="J251" s="96">
        <f t="shared" si="28"/>
        <v>0</v>
      </c>
      <c r="K251" s="92">
        <f>VLOOKUP(H251,'Taux émission CO2e'!$A$5:$D$16,4,FALSE)</f>
        <v>0.24099999999999999</v>
      </c>
      <c r="L251" s="93">
        <f t="shared" si="33"/>
        <v>3.7776026999999996</v>
      </c>
      <c r="M251" s="92">
        <f>VLOOKUP(H251,'Taux émission CO2e'!$A$20:$D$31,4,FALSE)</f>
        <v>0</v>
      </c>
      <c r="N251" s="105">
        <f t="shared" si="34"/>
        <v>0</v>
      </c>
      <c r="O251" s="93">
        <f t="shared" si="35"/>
        <v>3.7776026999999996</v>
      </c>
      <c r="P251" s="92">
        <v>80</v>
      </c>
      <c r="Q251" s="92" t="s">
        <v>153</v>
      </c>
      <c r="R251" s="92" t="s">
        <v>55</v>
      </c>
      <c r="S251" s="20">
        <v>52.249000000000002</v>
      </c>
    </row>
    <row r="252" spans="1:19" x14ac:dyDescent="0.15">
      <c r="A252" s="90">
        <v>44349</v>
      </c>
      <c r="B252" s="90" t="str">
        <f t="shared" si="29"/>
        <v>juin</v>
      </c>
      <c r="C252" s="90" t="str">
        <f t="shared" si="30"/>
        <v>2021</v>
      </c>
      <c r="D252" s="90" t="str">
        <f t="shared" si="31"/>
        <v>juin2021</v>
      </c>
      <c r="E252" s="91" t="s">
        <v>154</v>
      </c>
      <c r="F252" s="91">
        <v>300</v>
      </c>
      <c r="G252" s="94">
        <f t="shared" si="32"/>
        <v>0.3</v>
      </c>
      <c r="H252" s="92" t="s">
        <v>38</v>
      </c>
      <c r="I252" s="96">
        <f t="shared" si="27"/>
        <v>1</v>
      </c>
      <c r="J252" s="96">
        <f t="shared" si="28"/>
        <v>0</v>
      </c>
      <c r="K252" s="92">
        <f>VLOOKUP(H252,'Taux émission CO2e'!$A$5:$D$16,4,FALSE)</f>
        <v>0.24099999999999999</v>
      </c>
      <c r="L252" s="93">
        <f t="shared" si="33"/>
        <v>3.6936623999999996</v>
      </c>
      <c r="M252" s="92">
        <f>VLOOKUP(H252,'Taux émission CO2e'!$A$20:$D$31,4,FALSE)</f>
        <v>0</v>
      </c>
      <c r="N252" s="105">
        <f t="shared" si="34"/>
        <v>0</v>
      </c>
      <c r="O252" s="93">
        <f t="shared" si="35"/>
        <v>3.6936623999999996</v>
      </c>
      <c r="P252" s="92">
        <v>80</v>
      </c>
      <c r="Q252" s="92" t="s">
        <v>58</v>
      </c>
      <c r="R252" s="92" t="s">
        <v>146</v>
      </c>
      <c r="S252" s="20">
        <v>51.088000000000001</v>
      </c>
    </row>
    <row r="253" spans="1:19" x14ac:dyDescent="0.15">
      <c r="A253" s="90">
        <v>44349</v>
      </c>
      <c r="B253" s="90" t="str">
        <f t="shared" si="29"/>
        <v>juin</v>
      </c>
      <c r="C253" s="90" t="str">
        <f t="shared" si="30"/>
        <v>2021</v>
      </c>
      <c r="D253" s="90" t="str">
        <f t="shared" si="31"/>
        <v>juin2021</v>
      </c>
      <c r="E253" s="91" t="s">
        <v>155</v>
      </c>
      <c r="F253" s="91">
        <v>300</v>
      </c>
      <c r="G253" s="94">
        <f t="shared" si="32"/>
        <v>0.3</v>
      </c>
      <c r="H253" s="92" t="s">
        <v>38</v>
      </c>
      <c r="I253" s="96">
        <f t="shared" si="27"/>
        <v>1</v>
      </c>
      <c r="J253" s="96">
        <f t="shared" si="28"/>
        <v>0</v>
      </c>
      <c r="K253" s="92">
        <f>VLOOKUP(H253,'Taux émission CO2e'!$A$5:$D$16,4,FALSE)</f>
        <v>0.24099999999999999</v>
      </c>
      <c r="L253" s="93">
        <f t="shared" si="33"/>
        <v>5.1770414999999996</v>
      </c>
      <c r="M253" s="92">
        <f>VLOOKUP(H253,'Taux émission CO2e'!$A$20:$D$31,4,FALSE)</f>
        <v>0</v>
      </c>
      <c r="N253" s="105">
        <f t="shared" si="34"/>
        <v>0</v>
      </c>
      <c r="O253" s="93">
        <f t="shared" si="35"/>
        <v>5.1770414999999996</v>
      </c>
      <c r="P253" s="92">
        <v>80</v>
      </c>
      <c r="Q253" s="92" t="s">
        <v>58</v>
      </c>
      <c r="R253" s="92" t="s">
        <v>156</v>
      </c>
      <c r="S253" s="20">
        <v>71.605000000000004</v>
      </c>
    </row>
    <row r="254" spans="1:19" x14ac:dyDescent="0.15">
      <c r="A254" s="90">
        <v>44349</v>
      </c>
      <c r="B254" s="90" t="str">
        <f t="shared" si="29"/>
        <v>juin</v>
      </c>
      <c r="C254" s="90" t="str">
        <f t="shared" si="30"/>
        <v>2021</v>
      </c>
      <c r="D254" s="90" t="str">
        <f t="shared" si="31"/>
        <v>juin2021</v>
      </c>
      <c r="E254" s="91" t="s">
        <v>157</v>
      </c>
      <c r="F254" s="91">
        <v>300</v>
      </c>
      <c r="G254" s="94">
        <f t="shared" si="32"/>
        <v>0.3</v>
      </c>
      <c r="H254" s="92" t="s">
        <v>38</v>
      </c>
      <c r="I254" s="96">
        <f t="shared" si="27"/>
        <v>1</v>
      </c>
      <c r="J254" s="96">
        <f t="shared" si="28"/>
        <v>0</v>
      </c>
      <c r="K254" s="92">
        <f>VLOOKUP(H254,'Taux émission CO2e'!$A$5:$D$16,4,FALSE)</f>
        <v>0.24099999999999999</v>
      </c>
      <c r="L254" s="93">
        <f t="shared" si="33"/>
        <v>5.6857442999999996</v>
      </c>
      <c r="M254" s="92">
        <f>VLOOKUP(H254,'Taux émission CO2e'!$A$20:$D$31,4,FALSE)</f>
        <v>0</v>
      </c>
      <c r="N254" s="105">
        <f t="shared" si="34"/>
        <v>0</v>
      </c>
      <c r="O254" s="93">
        <f t="shared" si="35"/>
        <v>5.6857442999999996</v>
      </c>
      <c r="P254" s="92">
        <v>80</v>
      </c>
      <c r="Q254" s="92" t="s">
        <v>58</v>
      </c>
      <c r="R254" s="92" t="s">
        <v>158</v>
      </c>
      <c r="S254" s="20">
        <v>78.641000000000005</v>
      </c>
    </row>
    <row r="255" spans="1:19" x14ac:dyDescent="0.15">
      <c r="A255" s="90">
        <v>44350</v>
      </c>
      <c r="B255" s="90" t="str">
        <f t="shared" si="29"/>
        <v>juin</v>
      </c>
      <c r="C255" s="90" t="str">
        <f t="shared" si="30"/>
        <v>2021</v>
      </c>
      <c r="D255" s="90" t="str">
        <f t="shared" si="31"/>
        <v>juin2021</v>
      </c>
      <c r="E255" s="91" t="s">
        <v>159</v>
      </c>
      <c r="F255" s="91">
        <v>100</v>
      </c>
      <c r="G255" s="94">
        <f t="shared" si="32"/>
        <v>0.1</v>
      </c>
      <c r="H255" s="92" t="s">
        <v>38</v>
      </c>
      <c r="I255" s="96">
        <f t="shared" si="27"/>
        <v>1</v>
      </c>
      <c r="J255" s="96">
        <f t="shared" si="28"/>
        <v>0</v>
      </c>
      <c r="K255" s="92">
        <f>VLOOKUP(H255,'Taux émission CO2e'!$A$5:$D$16,4,FALSE)</f>
        <v>0.24099999999999999</v>
      </c>
      <c r="L255" s="93">
        <f t="shared" si="33"/>
        <v>0.8695039</v>
      </c>
      <c r="M255" s="92">
        <f>VLOOKUP(H255,'Taux émission CO2e'!$A$20:$D$31,4,FALSE)</f>
        <v>0</v>
      </c>
      <c r="N255" s="105">
        <f t="shared" si="34"/>
        <v>0</v>
      </c>
      <c r="O255" s="93">
        <f t="shared" si="35"/>
        <v>0.8695039</v>
      </c>
      <c r="P255" s="92">
        <v>80</v>
      </c>
      <c r="Q255" s="92" t="s">
        <v>58</v>
      </c>
      <c r="R255" s="92" t="s">
        <v>160</v>
      </c>
      <c r="S255" s="20">
        <v>36.079000000000001</v>
      </c>
    </row>
    <row r="256" spans="1:19" x14ac:dyDescent="0.15">
      <c r="A256" s="90">
        <v>44350</v>
      </c>
      <c r="B256" s="90" t="str">
        <f t="shared" si="29"/>
        <v>juin</v>
      </c>
      <c r="C256" s="90" t="str">
        <f t="shared" si="30"/>
        <v>2021</v>
      </c>
      <c r="D256" s="90" t="str">
        <f t="shared" si="31"/>
        <v>juin2021</v>
      </c>
      <c r="E256" s="91" t="s">
        <v>161</v>
      </c>
      <c r="F256" s="91">
        <v>200</v>
      </c>
      <c r="G256" s="94">
        <f t="shared" si="32"/>
        <v>0.2</v>
      </c>
      <c r="H256" s="92" t="s">
        <v>46</v>
      </c>
      <c r="I256" s="96">
        <f t="shared" si="27"/>
        <v>0.3</v>
      </c>
      <c r="J256" s="96">
        <f t="shared" si="28"/>
        <v>0.7</v>
      </c>
      <c r="K256" s="92">
        <f>VLOOKUP(H256,'Taux émission CO2e'!$A$5:$D$16,4,FALSE)</f>
        <v>0.16</v>
      </c>
      <c r="L256" s="93">
        <f t="shared" si="33"/>
        <v>2.5569888000000005</v>
      </c>
      <c r="M256" s="92">
        <f>VLOOKUP(H256,'Taux émission CO2e'!$A$20:$D$31,4,FALSE)</f>
        <v>6.7400000000000002E-2</v>
      </c>
      <c r="N256" s="105">
        <f t="shared" si="34"/>
        <v>2.5133069080000001</v>
      </c>
      <c r="O256" s="93">
        <f t="shared" si="35"/>
        <v>5.0702957080000006</v>
      </c>
      <c r="P256" s="92">
        <v>158</v>
      </c>
      <c r="Q256" s="92" t="s">
        <v>77</v>
      </c>
      <c r="R256" s="92" t="s">
        <v>55</v>
      </c>
      <c r="S256" s="20">
        <v>266.35300000000001</v>
      </c>
    </row>
    <row r="257" spans="1:19" x14ac:dyDescent="0.15">
      <c r="A257" s="90">
        <v>44350</v>
      </c>
      <c r="B257" s="90" t="str">
        <f t="shared" si="29"/>
        <v>juin</v>
      </c>
      <c r="C257" s="90" t="str">
        <f t="shared" si="30"/>
        <v>2021</v>
      </c>
      <c r="D257" s="90" t="str">
        <f t="shared" si="31"/>
        <v>juin2021</v>
      </c>
      <c r="E257" s="91" t="s">
        <v>162</v>
      </c>
      <c r="F257" s="91">
        <v>150</v>
      </c>
      <c r="G257" s="94">
        <f t="shared" si="32"/>
        <v>0.15</v>
      </c>
      <c r="H257" s="92" t="s">
        <v>45</v>
      </c>
      <c r="I257" s="96">
        <f t="shared" si="27"/>
        <v>0.3</v>
      </c>
      <c r="J257" s="96">
        <f t="shared" si="28"/>
        <v>0.7</v>
      </c>
      <c r="K257" s="92">
        <f>VLOOKUP(H257,'Taux émission CO2e'!$A$5:$D$16,4,FALSE)</f>
        <v>0.16</v>
      </c>
      <c r="L257" s="93">
        <f t="shared" si="33"/>
        <v>1.8020015999999999</v>
      </c>
      <c r="M257" s="92">
        <f>VLOOKUP(H257,'Taux émission CO2e'!$A$20:$D$31,4,FALSE)</f>
        <v>6.7400000000000002E-2</v>
      </c>
      <c r="N257" s="105">
        <f t="shared" si="34"/>
        <v>1.7712174059999999</v>
      </c>
      <c r="O257" s="93">
        <f t="shared" si="35"/>
        <v>3.5732190059999995</v>
      </c>
      <c r="P257" s="92">
        <v>158</v>
      </c>
      <c r="Q257" s="92" t="s">
        <v>89</v>
      </c>
      <c r="R257" s="92" t="s">
        <v>55</v>
      </c>
      <c r="S257" s="20">
        <v>250.27799999999999</v>
      </c>
    </row>
    <row r="258" spans="1:19" x14ac:dyDescent="0.15">
      <c r="A258" s="90">
        <v>44350</v>
      </c>
      <c r="B258" s="90" t="str">
        <f t="shared" si="29"/>
        <v>juin</v>
      </c>
      <c r="C258" s="90" t="str">
        <f t="shared" si="30"/>
        <v>2021</v>
      </c>
      <c r="D258" s="90" t="str">
        <f t="shared" si="31"/>
        <v>juin2021</v>
      </c>
      <c r="E258" s="91" t="s">
        <v>163</v>
      </c>
      <c r="F258" s="91">
        <v>200</v>
      </c>
      <c r="G258" s="94">
        <f t="shared" si="32"/>
        <v>0.2</v>
      </c>
      <c r="H258" s="92" t="s">
        <v>46</v>
      </c>
      <c r="I258" s="96">
        <f t="shared" ref="I258:I321" si="36">VLOOKUP(H258,Segment1,2,FALSE)</f>
        <v>0.3</v>
      </c>
      <c r="J258" s="96">
        <f t="shared" ref="J258:J321" si="37">VLOOKUP(H258,Segment2,2,FALSE)</f>
        <v>0.7</v>
      </c>
      <c r="K258" s="92">
        <f>VLOOKUP(H258,'Taux émission CO2e'!$A$5:$D$16,4,FALSE)</f>
        <v>0.16</v>
      </c>
      <c r="L258" s="93">
        <f t="shared" si="33"/>
        <v>5.1986496000000004</v>
      </c>
      <c r="M258" s="92">
        <f>VLOOKUP(H258,'Taux émission CO2e'!$A$20:$D$31,4,FALSE)</f>
        <v>6.7400000000000002E-2</v>
      </c>
      <c r="N258" s="105">
        <f t="shared" si="34"/>
        <v>5.1098393359999994</v>
      </c>
      <c r="O258" s="93">
        <f t="shared" si="35"/>
        <v>10.308488936</v>
      </c>
      <c r="P258" s="92">
        <v>196</v>
      </c>
      <c r="Q258" s="92" t="s">
        <v>62</v>
      </c>
      <c r="R258" s="92" t="s">
        <v>55</v>
      </c>
      <c r="S258" s="20">
        <v>541.52599999999995</v>
      </c>
    </row>
    <row r="259" spans="1:19" x14ac:dyDescent="0.15">
      <c r="A259" s="90">
        <v>44350</v>
      </c>
      <c r="B259" s="90" t="str">
        <f t="shared" ref="B259:B322" si="38">TEXT(A259,"mmmm")</f>
        <v>juin</v>
      </c>
      <c r="C259" s="90" t="str">
        <f t="shared" ref="C259:C322" si="39">TEXT(A259,"aaaa")</f>
        <v>2021</v>
      </c>
      <c r="D259" s="90" t="str">
        <f t="shared" ref="D259:D322" si="40">B259&amp;C259</f>
        <v>juin2021</v>
      </c>
      <c r="E259" s="91" t="s">
        <v>164</v>
      </c>
      <c r="F259" s="91">
        <v>300</v>
      </c>
      <c r="G259" s="94">
        <f t="shared" ref="G259:G322" si="41">F259/1000</f>
        <v>0.3</v>
      </c>
      <c r="H259" s="92" t="s">
        <v>45</v>
      </c>
      <c r="I259" s="96">
        <f t="shared" si="36"/>
        <v>0.3</v>
      </c>
      <c r="J259" s="96">
        <f t="shared" si="37"/>
        <v>0.7</v>
      </c>
      <c r="K259" s="92">
        <f>VLOOKUP(H259,'Taux émission CO2e'!$A$5:$D$16,4,FALSE)</f>
        <v>0.16</v>
      </c>
      <c r="L259" s="93">
        <f t="shared" ref="L259:L322" si="42">IFERROR(I259*K259*G259*S259,"0")</f>
        <v>3.6276336000000002</v>
      </c>
      <c r="M259" s="92">
        <f>VLOOKUP(H259,'Taux émission CO2e'!$A$20:$D$31,4,FALSE)</f>
        <v>6.7400000000000002E-2</v>
      </c>
      <c r="N259" s="105">
        <f t="shared" ref="N259:N322" si="43">IFERROR(J259*M259*G259*S259,"0")</f>
        <v>3.565661526</v>
      </c>
      <c r="O259" s="93">
        <f t="shared" ref="O259:O322" si="44">L259+N259</f>
        <v>7.1932951260000006</v>
      </c>
      <c r="P259" s="92">
        <v>206</v>
      </c>
      <c r="Q259" s="92" t="s">
        <v>92</v>
      </c>
      <c r="R259" s="92" t="s">
        <v>55</v>
      </c>
      <c r="S259" s="20">
        <v>251.91900000000001</v>
      </c>
    </row>
    <row r="260" spans="1:19" x14ac:dyDescent="0.15">
      <c r="A260" s="90">
        <v>44350</v>
      </c>
      <c r="B260" s="90" t="str">
        <f t="shared" si="38"/>
        <v>juin</v>
      </c>
      <c r="C260" s="90" t="str">
        <f t="shared" si="39"/>
        <v>2021</v>
      </c>
      <c r="D260" s="90" t="str">
        <f t="shared" si="40"/>
        <v>juin2021</v>
      </c>
      <c r="E260" s="91" t="s">
        <v>165</v>
      </c>
      <c r="F260" s="91">
        <v>400</v>
      </c>
      <c r="G260" s="94">
        <f t="shared" si="41"/>
        <v>0.4</v>
      </c>
      <c r="H260" s="92" t="s">
        <v>45</v>
      </c>
      <c r="I260" s="96">
        <f t="shared" si="36"/>
        <v>0.3</v>
      </c>
      <c r="J260" s="96">
        <f t="shared" si="37"/>
        <v>0.7</v>
      </c>
      <c r="K260" s="92">
        <f>VLOOKUP(H260,'Taux émission CO2e'!$A$5:$D$16,4,FALSE)</f>
        <v>0.16</v>
      </c>
      <c r="L260" s="93">
        <f t="shared" si="42"/>
        <v>9.9163008000000019</v>
      </c>
      <c r="M260" s="92">
        <f>VLOOKUP(H260,'Taux émission CO2e'!$A$20:$D$31,4,FALSE)</f>
        <v>6.7400000000000002E-2</v>
      </c>
      <c r="N260" s="105">
        <f t="shared" si="43"/>
        <v>9.7468973280000011</v>
      </c>
      <c r="O260" s="93">
        <f t="shared" si="44"/>
        <v>19.663198128000005</v>
      </c>
      <c r="P260" s="92">
        <v>228</v>
      </c>
      <c r="Q260" s="92" t="s">
        <v>52</v>
      </c>
      <c r="R260" s="92" t="s">
        <v>55</v>
      </c>
      <c r="S260" s="20">
        <v>516.47400000000005</v>
      </c>
    </row>
    <row r="261" spans="1:19" x14ac:dyDescent="0.15">
      <c r="A261" s="90">
        <v>44351</v>
      </c>
      <c r="B261" s="90" t="str">
        <f t="shared" si="38"/>
        <v>juin</v>
      </c>
      <c r="C261" s="90" t="str">
        <f t="shared" si="39"/>
        <v>2021</v>
      </c>
      <c r="D261" s="90" t="str">
        <f t="shared" si="40"/>
        <v>juin2021</v>
      </c>
      <c r="E261" s="91" t="s">
        <v>166</v>
      </c>
      <c r="F261" s="91">
        <v>150</v>
      </c>
      <c r="G261" s="94">
        <f t="shared" si="41"/>
        <v>0.15</v>
      </c>
      <c r="H261" s="92" t="s">
        <v>45</v>
      </c>
      <c r="I261" s="96">
        <f t="shared" si="36"/>
        <v>0.3</v>
      </c>
      <c r="J261" s="96">
        <f t="shared" si="37"/>
        <v>0.7</v>
      </c>
      <c r="K261" s="92">
        <f>VLOOKUP(H261,'Taux émission CO2e'!$A$5:$D$16,4,FALSE)</f>
        <v>0.16</v>
      </c>
      <c r="L261" s="93">
        <f t="shared" si="42"/>
        <v>1.3719311999999999</v>
      </c>
      <c r="M261" s="92">
        <f>VLOOKUP(H261,'Taux émission CO2e'!$A$20:$D$31,4,FALSE)</f>
        <v>6.7400000000000002E-2</v>
      </c>
      <c r="N261" s="105">
        <f t="shared" si="43"/>
        <v>1.348494042</v>
      </c>
      <c r="O261" s="93">
        <f t="shared" si="44"/>
        <v>2.7204252420000001</v>
      </c>
      <c r="P261" s="92">
        <v>114.22</v>
      </c>
      <c r="Q261" s="92" t="s">
        <v>167</v>
      </c>
      <c r="R261" s="92" t="s">
        <v>55</v>
      </c>
      <c r="S261" s="20">
        <v>190.54599999999999</v>
      </c>
    </row>
    <row r="262" spans="1:19" x14ac:dyDescent="0.15">
      <c r="A262" s="90">
        <v>44354</v>
      </c>
      <c r="B262" s="90" t="str">
        <f t="shared" si="38"/>
        <v>juin</v>
      </c>
      <c r="C262" s="90" t="str">
        <f t="shared" si="39"/>
        <v>2021</v>
      </c>
      <c r="D262" s="90" t="str">
        <f t="shared" si="40"/>
        <v>juin2021</v>
      </c>
      <c r="E262" s="91" t="s">
        <v>168</v>
      </c>
      <c r="F262" s="91">
        <v>200</v>
      </c>
      <c r="G262" s="94">
        <f t="shared" si="41"/>
        <v>0.2</v>
      </c>
      <c r="H262" s="92" t="s">
        <v>46</v>
      </c>
      <c r="I262" s="96">
        <f t="shared" si="36"/>
        <v>0.3</v>
      </c>
      <c r="J262" s="96">
        <f t="shared" si="37"/>
        <v>0.7</v>
      </c>
      <c r="K262" s="92">
        <f>VLOOKUP(H262,'Taux émission CO2e'!$A$5:$D$16,4,FALSE)</f>
        <v>0.16</v>
      </c>
      <c r="L262" s="93">
        <f t="shared" si="42"/>
        <v>3.6536256000000003</v>
      </c>
      <c r="M262" s="92">
        <f>VLOOKUP(H262,'Taux émission CO2e'!$A$20:$D$31,4,FALSE)</f>
        <v>6.7400000000000002E-2</v>
      </c>
      <c r="N262" s="105">
        <f t="shared" si="43"/>
        <v>3.5912094960000003</v>
      </c>
      <c r="O262" s="93">
        <f t="shared" si="44"/>
        <v>7.244835096000001</v>
      </c>
      <c r="P262" s="92">
        <v>200</v>
      </c>
      <c r="Q262" s="92" t="s">
        <v>91</v>
      </c>
      <c r="R262" s="92" t="s">
        <v>55</v>
      </c>
      <c r="S262" s="20">
        <v>380.58600000000001</v>
      </c>
    </row>
    <row r="263" spans="1:19" x14ac:dyDescent="0.15">
      <c r="A263" s="90">
        <v>44355</v>
      </c>
      <c r="B263" s="90" t="str">
        <f t="shared" si="38"/>
        <v>juin</v>
      </c>
      <c r="C263" s="90" t="str">
        <f t="shared" si="39"/>
        <v>2021</v>
      </c>
      <c r="D263" s="90" t="str">
        <f t="shared" si="40"/>
        <v>juin2021</v>
      </c>
      <c r="E263" s="91" t="s">
        <v>169</v>
      </c>
      <c r="F263" s="91">
        <v>300</v>
      </c>
      <c r="G263" s="94">
        <f t="shared" si="41"/>
        <v>0.3</v>
      </c>
      <c r="H263" s="92" t="s">
        <v>46</v>
      </c>
      <c r="I263" s="96">
        <f t="shared" si="36"/>
        <v>0.3</v>
      </c>
      <c r="J263" s="96">
        <f t="shared" si="37"/>
        <v>0.7</v>
      </c>
      <c r="K263" s="92">
        <f>VLOOKUP(H263,'Taux émission CO2e'!$A$5:$D$16,4,FALSE)</f>
        <v>0.16</v>
      </c>
      <c r="L263" s="93">
        <f t="shared" si="42"/>
        <v>3.6276336000000002</v>
      </c>
      <c r="M263" s="92">
        <f>VLOOKUP(H263,'Taux émission CO2e'!$A$20:$D$31,4,FALSE)</f>
        <v>6.7400000000000002E-2</v>
      </c>
      <c r="N263" s="105">
        <f t="shared" si="43"/>
        <v>3.565661526</v>
      </c>
      <c r="O263" s="93">
        <f t="shared" si="44"/>
        <v>7.1932951260000006</v>
      </c>
      <c r="P263" s="92">
        <v>125</v>
      </c>
      <c r="Q263" s="92" t="s">
        <v>92</v>
      </c>
      <c r="R263" s="92" t="s">
        <v>55</v>
      </c>
      <c r="S263" s="20">
        <v>251.91900000000001</v>
      </c>
    </row>
    <row r="264" spans="1:19" x14ac:dyDescent="0.15">
      <c r="A264" s="90">
        <v>44355</v>
      </c>
      <c r="B264" s="90" t="str">
        <f t="shared" si="38"/>
        <v>juin</v>
      </c>
      <c r="C264" s="90" t="str">
        <f t="shared" si="39"/>
        <v>2021</v>
      </c>
      <c r="D264" s="90" t="str">
        <f t="shared" si="40"/>
        <v>juin2021</v>
      </c>
      <c r="E264" s="91" t="s">
        <v>170</v>
      </c>
      <c r="F264" s="91">
        <v>200</v>
      </c>
      <c r="G264" s="94">
        <f t="shared" si="41"/>
        <v>0.2</v>
      </c>
      <c r="H264" s="92" t="s">
        <v>45</v>
      </c>
      <c r="I264" s="96">
        <f t="shared" si="36"/>
        <v>0.3</v>
      </c>
      <c r="J264" s="96">
        <f t="shared" si="37"/>
        <v>0.7</v>
      </c>
      <c r="K264" s="92">
        <f>VLOOKUP(H264,'Taux émission CO2e'!$A$5:$D$16,4,FALSE)</f>
        <v>0.16</v>
      </c>
      <c r="L264" s="93">
        <f t="shared" si="42"/>
        <v>2.6701920000000001</v>
      </c>
      <c r="M264" s="92">
        <f>VLOOKUP(H264,'Taux émission CO2e'!$A$20:$D$31,4,FALSE)</f>
        <v>6.7400000000000002E-2</v>
      </c>
      <c r="N264" s="105">
        <f t="shared" si="43"/>
        <v>2.6245762199999998</v>
      </c>
      <c r="O264" s="93">
        <f t="shared" si="44"/>
        <v>5.2947682199999999</v>
      </c>
      <c r="P264" s="92">
        <v>158</v>
      </c>
      <c r="Q264" s="92" t="s">
        <v>74</v>
      </c>
      <c r="R264" s="92" t="s">
        <v>55</v>
      </c>
      <c r="S264" s="20">
        <v>278.14499999999998</v>
      </c>
    </row>
    <row r="265" spans="1:19" x14ac:dyDescent="0.15">
      <c r="A265" s="90">
        <v>44355</v>
      </c>
      <c r="B265" s="90" t="str">
        <f t="shared" si="38"/>
        <v>juin</v>
      </c>
      <c r="C265" s="90" t="str">
        <f t="shared" si="39"/>
        <v>2021</v>
      </c>
      <c r="D265" s="90" t="str">
        <f t="shared" si="40"/>
        <v>juin2021</v>
      </c>
      <c r="E265" s="91" t="s">
        <v>171</v>
      </c>
      <c r="F265" s="91">
        <v>800</v>
      </c>
      <c r="G265" s="94">
        <f t="shared" si="41"/>
        <v>0.8</v>
      </c>
      <c r="H265" s="92" t="s">
        <v>45</v>
      </c>
      <c r="I265" s="96">
        <f t="shared" si="36"/>
        <v>0.3</v>
      </c>
      <c r="J265" s="96">
        <f t="shared" si="37"/>
        <v>0.7</v>
      </c>
      <c r="K265" s="92">
        <f>VLOOKUP(H265,'Taux émission CO2e'!$A$5:$D$16,4,FALSE)</f>
        <v>0.16</v>
      </c>
      <c r="L265" s="93">
        <f t="shared" si="42"/>
        <v>9.6106752000000011</v>
      </c>
      <c r="M265" s="92">
        <f>VLOOKUP(H265,'Taux émission CO2e'!$A$20:$D$31,4,FALSE)</f>
        <v>6.7400000000000002E-2</v>
      </c>
      <c r="N265" s="105">
        <f t="shared" si="43"/>
        <v>9.4464928319999988</v>
      </c>
      <c r="O265" s="93">
        <f t="shared" si="44"/>
        <v>19.057168032</v>
      </c>
      <c r="P265" s="92">
        <v>206</v>
      </c>
      <c r="Q265" s="92" t="s">
        <v>89</v>
      </c>
      <c r="R265" s="92" t="s">
        <v>55</v>
      </c>
      <c r="S265" s="20">
        <v>250.27799999999999</v>
      </c>
    </row>
    <row r="266" spans="1:19" x14ac:dyDescent="0.15">
      <c r="A266" s="90">
        <v>44356</v>
      </c>
      <c r="B266" s="90" t="str">
        <f t="shared" si="38"/>
        <v>juin</v>
      </c>
      <c r="C266" s="90" t="str">
        <f t="shared" si="39"/>
        <v>2021</v>
      </c>
      <c r="D266" s="90" t="str">
        <f t="shared" si="40"/>
        <v>juin2021</v>
      </c>
      <c r="E266" s="91" t="s">
        <v>172</v>
      </c>
      <c r="F266" s="91">
        <v>200</v>
      </c>
      <c r="G266" s="94">
        <f t="shared" si="41"/>
        <v>0.2</v>
      </c>
      <c r="H266" s="92" t="s">
        <v>46</v>
      </c>
      <c r="I266" s="96">
        <f t="shared" si="36"/>
        <v>0.3</v>
      </c>
      <c r="J266" s="96">
        <f t="shared" si="37"/>
        <v>0.7</v>
      </c>
      <c r="K266" s="92">
        <f>VLOOKUP(H266,'Taux émission CO2e'!$A$5:$D$16,4,FALSE)</f>
        <v>0.16</v>
      </c>
      <c r="L266" s="93">
        <f t="shared" si="42"/>
        <v>2.4772128000000002</v>
      </c>
      <c r="M266" s="92">
        <f>VLOOKUP(H266,'Taux émission CO2e'!$A$20:$D$31,4,FALSE)</f>
        <v>6.7400000000000002E-2</v>
      </c>
      <c r="N266" s="105">
        <f t="shared" si="43"/>
        <v>2.4348937479999999</v>
      </c>
      <c r="O266" s="93">
        <f t="shared" si="44"/>
        <v>4.9121065480000006</v>
      </c>
      <c r="P266" s="92">
        <v>131</v>
      </c>
      <c r="Q266" s="92" t="s">
        <v>102</v>
      </c>
      <c r="R266" s="92" t="s">
        <v>55</v>
      </c>
      <c r="S266" s="20">
        <v>258.04300000000001</v>
      </c>
    </row>
    <row r="267" spans="1:19" x14ac:dyDescent="0.15">
      <c r="A267" s="90">
        <v>44356</v>
      </c>
      <c r="B267" s="90" t="str">
        <f t="shared" si="38"/>
        <v>juin</v>
      </c>
      <c r="C267" s="90" t="str">
        <f t="shared" si="39"/>
        <v>2021</v>
      </c>
      <c r="D267" s="90" t="str">
        <f t="shared" si="40"/>
        <v>juin2021</v>
      </c>
      <c r="E267" s="91" t="s">
        <v>173</v>
      </c>
      <c r="F267" s="91">
        <v>300</v>
      </c>
      <c r="G267" s="94">
        <f t="shared" si="41"/>
        <v>0.3</v>
      </c>
      <c r="H267" s="92" t="s">
        <v>46</v>
      </c>
      <c r="I267" s="96">
        <f t="shared" si="36"/>
        <v>0.3</v>
      </c>
      <c r="J267" s="96">
        <f t="shared" si="37"/>
        <v>0.7</v>
      </c>
      <c r="K267" s="92">
        <f>VLOOKUP(H267,'Taux émission CO2e'!$A$5:$D$16,4,FALSE)</f>
        <v>0.16</v>
      </c>
      <c r="L267" s="93">
        <f t="shared" si="42"/>
        <v>11.7691488</v>
      </c>
      <c r="M267" s="92">
        <f>VLOOKUP(H267,'Taux émission CO2e'!$A$20:$D$31,4,FALSE)</f>
        <v>6.7400000000000002E-2</v>
      </c>
      <c r="N267" s="105">
        <f t="shared" si="43"/>
        <v>11.568092507999999</v>
      </c>
      <c r="O267" s="93">
        <f t="shared" si="44"/>
        <v>23.337241307999999</v>
      </c>
      <c r="P267" s="92">
        <v>340</v>
      </c>
      <c r="Q267" s="92" t="s">
        <v>77</v>
      </c>
      <c r="R267" s="92" t="s">
        <v>174</v>
      </c>
      <c r="S267" s="20">
        <v>817.30200000000002</v>
      </c>
    </row>
    <row r="268" spans="1:19" x14ac:dyDescent="0.15">
      <c r="A268" s="90">
        <v>44356</v>
      </c>
      <c r="B268" s="90" t="str">
        <f t="shared" si="38"/>
        <v>juin</v>
      </c>
      <c r="C268" s="90" t="str">
        <f t="shared" si="39"/>
        <v>2021</v>
      </c>
      <c r="D268" s="90" t="str">
        <f t="shared" si="40"/>
        <v>juin2021</v>
      </c>
      <c r="E268" s="91" t="s">
        <v>175</v>
      </c>
      <c r="F268" s="91">
        <v>400</v>
      </c>
      <c r="G268" s="94">
        <f t="shared" si="41"/>
        <v>0.4</v>
      </c>
      <c r="H268" s="92" t="s">
        <v>46</v>
      </c>
      <c r="I268" s="96">
        <f t="shared" si="36"/>
        <v>0.3</v>
      </c>
      <c r="J268" s="96">
        <f t="shared" si="37"/>
        <v>0.7</v>
      </c>
      <c r="K268" s="92">
        <f>VLOOKUP(H268,'Taux émission CO2e'!$A$5:$D$16,4,FALSE)</f>
        <v>0.16</v>
      </c>
      <c r="L268" s="93">
        <f t="shared" si="42"/>
        <v>5.113977600000001</v>
      </c>
      <c r="M268" s="92">
        <f>VLOOKUP(H268,'Taux émission CO2e'!$A$20:$D$31,4,FALSE)</f>
        <v>6.7400000000000002E-2</v>
      </c>
      <c r="N268" s="105">
        <f t="shared" si="43"/>
        <v>5.0266138160000002</v>
      </c>
      <c r="O268" s="93">
        <f t="shared" si="44"/>
        <v>10.140591416000001</v>
      </c>
      <c r="P268" s="92">
        <v>498.4</v>
      </c>
      <c r="Q268" s="92" t="s">
        <v>77</v>
      </c>
      <c r="R268" s="92" t="s">
        <v>55</v>
      </c>
      <c r="S268" s="20">
        <v>266.35300000000001</v>
      </c>
    </row>
    <row r="269" spans="1:19" x14ac:dyDescent="0.15">
      <c r="A269" s="90">
        <v>44357</v>
      </c>
      <c r="B269" s="90" t="str">
        <f t="shared" si="38"/>
        <v>juin</v>
      </c>
      <c r="C269" s="90" t="str">
        <f t="shared" si="39"/>
        <v>2021</v>
      </c>
      <c r="D269" s="90" t="str">
        <f t="shared" si="40"/>
        <v>juin2021</v>
      </c>
      <c r="E269" s="91" t="s">
        <v>176</v>
      </c>
      <c r="F269" s="91">
        <v>200</v>
      </c>
      <c r="G269" s="94">
        <f t="shared" si="41"/>
        <v>0.2</v>
      </c>
      <c r="H269" s="92" t="s">
        <v>46</v>
      </c>
      <c r="I269" s="96">
        <f t="shared" si="36"/>
        <v>0.3</v>
      </c>
      <c r="J269" s="96">
        <f t="shared" si="37"/>
        <v>0.7</v>
      </c>
      <c r="K269" s="92">
        <f>VLOOKUP(H269,'Taux émission CO2e'!$A$5:$D$16,4,FALSE)</f>
        <v>0.16</v>
      </c>
      <c r="L269" s="93">
        <f t="shared" si="42"/>
        <v>2.6735712000000005</v>
      </c>
      <c r="M269" s="92">
        <f>VLOOKUP(H269,'Taux émission CO2e'!$A$20:$D$31,4,FALSE)</f>
        <v>6.7400000000000002E-2</v>
      </c>
      <c r="N269" s="105">
        <f t="shared" si="43"/>
        <v>2.6278976919999999</v>
      </c>
      <c r="O269" s="93">
        <f t="shared" si="44"/>
        <v>5.3014688920000008</v>
      </c>
      <c r="P269" s="92">
        <v>158</v>
      </c>
      <c r="Q269" s="92" t="s">
        <v>90</v>
      </c>
      <c r="R269" s="92" t="s">
        <v>55</v>
      </c>
      <c r="S269" s="20">
        <v>278.49700000000001</v>
      </c>
    </row>
    <row r="270" spans="1:19" x14ac:dyDescent="0.15">
      <c r="A270" s="90">
        <v>44357</v>
      </c>
      <c r="B270" s="90" t="str">
        <f t="shared" si="38"/>
        <v>juin</v>
      </c>
      <c r="C270" s="90" t="str">
        <f t="shared" si="39"/>
        <v>2021</v>
      </c>
      <c r="D270" s="90" t="str">
        <f t="shared" si="40"/>
        <v>juin2021</v>
      </c>
      <c r="E270" s="91" t="s">
        <v>177</v>
      </c>
      <c r="F270" s="91">
        <v>400</v>
      </c>
      <c r="G270" s="94">
        <f t="shared" si="41"/>
        <v>0.4</v>
      </c>
      <c r="H270" s="92" t="s">
        <v>46</v>
      </c>
      <c r="I270" s="96">
        <f t="shared" si="36"/>
        <v>0.3</v>
      </c>
      <c r="J270" s="96">
        <f t="shared" si="37"/>
        <v>0.7</v>
      </c>
      <c r="K270" s="92">
        <f>VLOOKUP(H270,'Taux émission CO2e'!$A$5:$D$16,4,FALSE)</f>
        <v>0.16</v>
      </c>
      <c r="L270" s="93">
        <f t="shared" si="42"/>
        <v>5.113977600000001</v>
      </c>
      <c r="M270" s="92">
        <f>VLOOKUP(H270,'Taux émission CO2e'!$A$20:$D$31,4,FALSE)</f>
        <v>6.7400000000000002E-2</v>
      </c>
      <c r="N270" s="105">
        <f t="shared" si="43"/>
        <v>5.0266138160000002</v>
      </c>
      <c r="O270" s="93">
        <f t="shared" si="44"/>
        <v>10.140591416000001</v>
      </c>
      <c r="P270" s="92">
        <v>158</v>
      </c>
      <c r="Q270" s="92" t="s">
        <v>77</v>
      </c>
      <c r="R270" s="92" t="s">
        <v>55</v>
      </c>
      <c r="S270" s="20">
        <v>266.35300000000001</v>
      </c>
    </row>
    <row r="271" spans="1:19" x14ac:dyDescent="0.15">
      <c r="A271" s="90">
        <v>44357</v>
      </c>
      <c r="B271" s="90" t="str">
        <f t="shared" si="38"/>
        <v>juin</v>
      </c>
      <c r="C271" s="90" t="str">
        <f t="shared" si="39"/>
        <v>2021</v>
      </c>
      <c r="D271" s="90" t="str">
        <f t="shared" si="40"/>
        <v>juin2021</v>
      </c>
      <c r="E271" s="91" t="s">
        <v>178</v>
      </c>
      <c r="F271" s="91">
        <v>200</v>
      </c>
      <c r="G271" s="94">
        <f t="shared" si="41"/>
        <v>0.2</v>
      </c>
      <c r="H271" s="92" t="s">
        <v>46</v>
      </c>
      <c r="I271" s="96">
        <f t="shared" si="36"/>
        <v>0.3</v>
      </c>
      <c r="J271" s="96">
        <f t="shared" si="37"/>
        <v>0.7</v>
      </c>
      <c r="K271" s="92">
        <f>VLOOKUP(H271,'Taux émission CO2e'!$A$5:$D$16,4,FALSE)</f>
        <v>0.16</v>
      </c>
      <c r="L271" s="93">
        <f t="shared" si="42"/>
        <v>5.1986496000000004</v>
      </c>
      <c r="M271" s="92">
        <f>VLOOKUP(H271,'Taux émission CO2e'!$A$20:$D$31,4,FALSE)</f>
        <v>6.7400000000000002E-2</v>
      </c>
      <c r="N271" s="105">
        <f t="shared" si="43"/>
        <v>5.1098393359999994</v>
      </c>
      <c r="O271" s="93">
        <f t="shared" si="44"/>
        <v>10.308488936</v>
      </c>
      <c r="P271" s="92">
        <v>196</v>
      </c>
      <c r="Q271" s="92" t="s">
        <v>62</v>
      </c>
      <c r="R271" s="92" t="s">
        <v>55</v>
      </c>
      <c r="S271" s="20">
        <v>541.52599999999995</v>
      </c>
    </row>
    <row r="272" spans="1:19" x14ac:dyDescent="0.15">
      <c r="A272" s="90">
        <v>44357</v>
      </c>
      <c r="B272" s="90" t="str">
        <f t="shared" si="38"/>
        <v>juin</v>
      </c>
      <c r="C272" s="90" t="str">
        <f t="shared" si="39"/>
        <v>2021</v>
      </c>
      <c r="D272" s="90" t="str">
        <f t="shared" si="40"/>
        <v>juin2021</v>
      </c>
      <c r="E272" s="91" t="s">
        <v>179</v>
      </c>
      <c r="F272" s="91">
        <v>200</v>
      </c>
      <c r="G272" s="94">
        <f t="shared" si="41"/>
        <v>0.2</v>
      </c>
      <c r="H272" s="92" t="s">
        <v>45</v>
      </c>
      <c r="I272" s="96">
        <f t="shared" si="36"/>
        <v>0.3</v>
      </c>
      <c r="J272" s="96">
        <f t="shared" si="37"/>
        <v>0.7</v>
      </c>
      <c r="K272" s="92">
        <f>VLOOKUP(H272,'Taux émission CO2e'!$A$5:$D$16,4,FALSE)</f>
        <v>0.16</v>
      </c>
      <c r="L272" s="93">
        <f t="shared" si="42"/>
        <v>4.958150400000001</v>
      </c>
      <c r="M272" s="92">
        <f>VLOOKUP(H272,'Taux émission CO2e'!$A$20:$D$31,4,FALSE)</f>
        <v>6.7400000000000002E-2</v>
      </c>
      <c r="N272" s="105">
        <f t="shared" si="43"/>
        <v>4.8734486640000005</v>
      </c>
      <c r="O272" s="93">
        <f t="shared" si="44"/>
        <v>9.8315990640000024</v>
      </c>
      <c r="P272" s="92">
        <v>228</v>
      </c>
      <c r="Q272" s="92" t="s">
        <v>52</v>
      </c>
      <c r="R272" s="92" t="s">
        <v>55</v>
      </c>
      <c r="S272" s="20">
        <v>516.47400000000005</v>
      </c>
    </row>
    <row r="273" spans="1:19" x14ac:dyDescent="0.15">
      <c r="A273" s="90">
        <v>44358</v>
      </c>
      <c r="B273" s="90" t="str">
        <f t="shared" si="38"/>
        <v>juin</v>
      </c>
      <c r="C273" s="90" t="str">
        <f t="shared" si="39"/>
        <v>2021</v>
      </c>
      <c r="D273" s="90" t="str">
        <f t="shared" si="40"/>
        <v>juin2021</v>
      </c>
      <c r="E273" s="91" t="s">
        <v>180</v>
      </c>
      <c r="F273" s="91">
        <v>150</v>
      </c>
      <c r="G273" s="94">
        <f t="shared" si="41"/>
        <v>0.15</v>
      </c>
      <c r="H273" s="92" t="s">
        <v>45</v>
      </c>
      <c r="I273" s="96">
        <f t="shared" si="36"/>
        <v>0.3</v>
      </c>
      <c r="J273" s="96">
        <f t="shared" si="37"/>
        <v>0.7</v>
      </c>
      <c r="K273" s="92">
        <f>VLOOKUP(H273,'Taux émission CO2e'!$A$5:$D$16,4,FALSE)</f>
        <v>0.16</v>
      </c>
      <c r="L273" s="93">
        <f t="shared" si="42"/>
        <v>1.8020015999999999</v>
      </c>
      <c r="M273" s="92">
        <f>VLOOKUP(H273,'Taux émission CO2e'!$A$20:$D$31,4,FALSE)</f>
        <v>6.7400000000000002E-2</v>
      </c>
      <c r="N273" s="105">
        <f t="shared" si="43"/>
        <v>1.7712174059999999</v>
      </c>
      <c r="O273" s="93">
        <f t="shared" si="44"/>
        <v>3.5732190059999995</v>
      </c>
      <c r="P273" s="92">
        <v>158</v>
      </c>
      <c r="Q273" s="92" t="s">
        <v>89</v>
      </c>
      <c r="R273" s="92" t="s">
        <v>55</v>
      </c>
      <c r="S273" s="20">
        <v>250.27799999999999</v>
      </c>
    </row>
    <row r="274" spans="1:19" x14ac:dyDescent="0.15">
      <c r="A274" s="90">
        <v>44361</v>
      </c>
      <c r="B274" s="90" t="str">
        <f t="shared" si="38"/>
        <v>juin</v>
      </c>
      <c r="C274" s="90" t="str">
        <f t="shared" si="39"/>
        <v>2021</v>
      </c>
      <c r="D274" s="90" t="str">
        <f t="shared" si="40"/>
        <v>juin2021</v>
      </c>
      <c r="E274" s="91" t="s">
        <v>181</v>
      </c>
      <c r="F274" s="91">
        <v>300</v>
      </c>
      <c r="G274" s="94">
        <f t="shared" si="41"/>
        <v>0.3</v>
      </c>
      <c r="H274" s="92" t="s">
        <v>45</v>
      </c>
      <c r="I274" s="96">
        <f t="shared" si="36"/>
        <v>0.3</v>
      </c>
      <c r="J274" s="96">
        <f t="shared" si="37"/>
        <v>0.7</v>
      </c>
      <c r="K274" s="92">
        <f>VLOOKUP(H274,'Taux émission CO2e'!$A$5:$D$16,4,FALSE)</f>
        <v>0.16</v>
      </c>
      <c r="L274" s="93">
        <f t="shared" si="42"/>
        <v>3.6276336000000002</v>
      </c>
      <c r="M274" s="92">
        <f>VLOOKUP(H274,'Taux émission CO2e'!$A$20:$D$31,4,FALSE)</f>
        <v>6.7400000000000002E-2</v>
      </c>
      <c r="N274" s="105">
        <f t="shared" si="43"/>
        <v>3.565661526</v>
      </c>
      <c r="O274" s="93">
        <f t="shared" si="44"/>
        <v>7.1932951260000006</v>
      </c>
      <c r="P274" s="92">
        <v>125</v>
      </c>
      <c r="Q274" s="92" t="s">
        <v>92</v>
      </c>
      <c r="R274" s="92" t="s">
        <v>55</v>
      </c>
      <c r="S274" s="20">
        <v>251.91900000000001</v>
      </c>
    </row>
    <row r="275" spans="1:19" x14ac:dyDescent="0.15">
      <c r="A275" s="90">
        <v>44361</v>
      </c>
      <c r="B275" s="90" t="str">
        <f t="shared" si="38"/>
        <v>juin</v>
      </c>
      <c r="C275" s="90" t="str">
        <f t="shared" si="39"/>
        <v>2021</v>
      </c>
      <c r="D275" s="90" t="str">
        <f t="shared" si="40"/>
        <v>juin2021</v>
      </c>
      <c r="E275" s="91" t="s">
        <v>182</v>
      </c>
      <c r="F275" s="91">
        <v>200</v>
      </c>
      <c r="G275" s="94">
        <f t="shared" si="41"/>
        <v>0.2</v>
      </c>
      <c r="H275" s="92" t="s">
        <v>46</v>
      </c>
      <c r="I275" s="96">
        <f t="shared" si="36"/>
        <v>0.3</v>
      </c>
      <c r="J275" s="96">
        <f t="shared" si="37"/>
        <v>0.7</v>
      </c>
      <c r="K275" s="92">
        <f>VLOOKUP(H275,'Taux émission CO2e'!$A$5:$D$16,4,FALSE)</f>
        <v>0.16</v>
      </c>
      <c r="L275" s="93">
        <f t="shared" si="42"/>
        <v>3.6536256000000003</v>
      </c>
      <c r="M275" s="92">
        <f>VLOOKUP(H275,'Taux émission CO2e'!$A$20:$D$31,4,FALSE)</f>
        <v>6.7400000000000002E-2</v>
      </c>
      <c r="N275" s="105">
        <f t="shared" si="43"/>
        <v>3.5912094960000003</v>
      </c>
      <c r="O275" s="93">
        <f t="shared" si="44"/>
        <v>7.244835096000001</v>
      </c>
      <c r="P275" s="92">
        <v>200</v>
      </c>
      <c r="Q275" s="92" t="s">
        <v>91</v>
      </c>
      <c r="R275" s="92" t="s">
        <v>55</v>
      </c>
      <c r="S275" s="20">
        <v>380.58600000000001</v>
      </c>
    </row>
    <row r="276" spans="1:19" x14ac:dyDescent="0.15">
      <c r="A276" s="90">
        <v>44362</v>
      </c>
      <c r="B276" s="90" t="str">
        <f t="shared" si="38"/>
        <v>juin</v>
      </c>
      <c r="C276" s="90" t="str">
        <f t="shared" si="39"/>
        <v>2021</v>
      </c>
      <c r="D276" s="90" t="str">
        <f t="shared" si="40"/>
        <v>juin2021</v>
      </c>
      <c r="E276" s="91" t="s">
        <v>183</v>
      </c>
      <c r="F276" s="91">
        <v>300</v>
      </c>
      <c r="G276" s="94">
        <f t="shared" si="41"/>
        <v>0.3</v>
      </c>
      <c r="H276" s="92" t="s">
        <v>45</v>
      </c>
      <c r="I276" s="96">
        <f t="shared" si="36"/>
        <v>0.3</v>
      </c>
      <c r="J276" s="96">
        <f t="shared" si="37"/>
        <v>0.7</v>
      </c>
      <c r="K276" s="92">
        <f>VLOOKUP(H276,'Taux émission CO2e'!$A$5:$D$16,4,FALSE)</f>
        <v>0.16</v>
      </c>
      <c r="L276" s="93">
        <f t="shared" si="42"/>
        <v>3.6040031999999997</v>
      </c>
      <c r="M276" s="92">
        <f>VLOOKUP(H276,'Taux émission CO2e'!$A$20:$D$31,4,FALSE)</f>
        <v>6.7400000000000002E-2</v>
      </c>
      <c r="N276" s="105">
        <f t="shared" si="43"/>
        <v>3.5424348119999998</v>
      </c>
      <c r="O276" s="93">
        <f t="shared" si="44"/>
        <v>7.1464380119999991</v>
      </c>
      <c r="P276" s="92">
        <v>158</v>
      </c>
      <c r="Q276" s="92" t="s">
        <v>89</v>
      </c>
      <c r="R276" s="92" t="s">
        <v>55</v>
      </c>
      <c r="S276" s="20">
        <v>250.27799999999999</v>
      </c>
    </row>
    <row r="277" spans="1:19" x14ac:dyDescent="0.15">
      <c r="A277" s="90">
        <v>44362</v>
      </c>
      <c r="B277" s="90" t="str">
        <f t="shared" si="38"/>
        <v>juin</v>
      </c>
      <c r="C277" s="90" t="str">
        <f t="shared" si="39"/>
        <v>2021</v>
      </c>
      <c r="D277" s="90" t="str">
        <f t="shared" si="40"/>
        <v>juin2021</v>
      </c>
      <c r="E277" s="91" t="s">
        <v>184</v>
      </c>
      <c r="F277" s="91">
        <v>300</v>
      </c>
      <c r="G277" s="94">
        <f t="shared" si="41"/>
        <v>0.3</v>
      </c>
      <c r="H277" s="92" t="s">
        <v>45</v>
      </c>
      <c r="I277" s="96">
        <f t="shared" si="36"/>
        <v>0.3</v>
      </c>
      <c r="J277" s="96">
        <f t="shared" si="37"/>
        <v>0.7</v>
      </c>
      <c r="K277" s="92">
        <f>VLOOKUP(H277,'Taux émission CO2e'!$A$5:$D$16,4,FALSE)</f>
        <v>0.16</v>
      </c>
      <c r="L277" s="93">
        <f t="shared" si="42"/>
        <v>4.0052879999999993</v>
      </c>
      <c r="M277" s="92">
        <f>VLOOKUP(H277,'Taux émission CO2e'!$A$20:$D$31,4,FALSE)</f>
        <v>6.7400000000000002E-2</v>
      </c>
      <c r="N277" s="105">
        <f t="shared" si="43"/>
        <v>3.9368643299999997</v>
      </c>
      <c r="O277" s="93">
        <f t="shared" si="44"/>
        <v>7.942152329999999</v>
      </c>
      <c r="P277" s="92">
        <v>158</v>
      </c>
      <c r="Q277" s="92" t="s">
        <v>74</v>
      </c>
      <c r="R277" s="92" t="s">
        <v>55</v>
      </c>
      <c r="S277" s="20">
        <v>278.14499999999998</v>
      </c>
    </row>
    <row r="278" spans="1:19" x14ac:dyDescent="0.15">
      <c r="A278" s="90">
        <v>44363</v>
      </c>
      <c r="B278" s="90" t="str">
        <f t="shared" si="38"/>
        <v>juin</v>
      </c>
      <c r="C278" s="90" t="str">
        <f t="shared" si="39"/>
        <v>2021</v>
      </c>
      <c r="D278" s="90" t="str">
        <f t="shared" si="40"/>
        <v>juin2021</v>
      </c>
      <c r="E278" s="91" t="s">
        <v>185</v>
      </c>
      <c r="F278" s="91">
        <v>70</v>
      </c>
      <c r="G278" s="94">
        <f t="shared" si="41"/>
        <v>7.0000000000000007E-2</v>
      </c>
      <c r="H278" s="92" t="s">
        <v>38</v>
      </c>
      <c r="I278" s="96">
        <f t="shared" si="36"/>
        <v>1</v>
      </c>
      <c r="J278" s="96">
        <f t="shared" si="37"/>
        <v>0</v>
      </c>
      <c r="K278" s="92">
        <f>VLOOKUP(H278,'Taux émission CO2e'!$A$5:$D$16,4,FALSE)</f>
        <v>0.24099999999999999</v>
      </c>
      <c r="L278" s="93">
        <f t="shared" si="42"/>
        <v>0.48211085999999997</v>
      </c>
      <c r="M278" s="92">
        <f>VLOOKUP(H278,'Taux émission CO2e'!$A$20:$D$31,4,FALSE)</f>
        <v>0</v>
      </c>
      <c r="N278" s="105">
        <f t="shared" si="43"/>
        <v>0</v>
      </c>
      <c r="O278" s="93">
        <f t="shared" si="44"/>
        <v>0.48211085999999997</v>
      </c>
      <c r="P278" s="92">
        <v>80</v>
      </c>
      <c r="Q278" s="92" t="s">
        <v>58</v>
      </c>
      <c r="R278" s="92" t="s">
        <v>186</v>
      </c>
      <c r="S278" s="20">
        <v>28.577999999999999</v>
      </c>
    </row>
    <row r="279" spans="1:19" x14ac:dyDescent="0.15">
      <c r="A279" s="90">
        <v>44363</v>
      </c>
      <c r="B279" s="90" t="str">
        <f t="shared" si="38"/>
        <v>juin</v>
      </c>
      <c r="C279" s="90" t="str">
        <f t="shared" si="39"/>
        <v>2021</v>
      </c>
      <c r="D279" s="90" t="str">
        <f t="shared" si="40"/>
        <v>juin2021</v>
      </c>
      <c r="E279" s="91" t="s">
        <v>187</v>
      </c>
      <c r="F279" s="91">
        <v>300</v>
      </c>
      <c r="G279" s="94">
        <f t="shared" si="41"/>
        <v>0.3</v>
      </c>
      <c r="H279" s="92" t="s">
        <v>46</v>
      </c>
      <c r="I279" s="96">
        <f t="shared" si="36"/>
        <v>0.3</v>
      </c>
      <c r="J279" s="96">
        <f t="shared" si="37"/>
        <v>0.7</v>
      </c>
      <c r="K279" s="92">
        <f>VLOOKUP(H279,'Taux émission CO2e'!$A$5:$D$16,4,FALSE)</f>
        <v>0.16</v>
      </c>
      <c r="L279" s="93">
        <f t="shared" si="42"/>
        <v>3.7158191999999999</v>
      </c>
      <c r="M279" s="92">
        <f>VLOOKUP(H279,'Taux émission CO2e'!$A$20:$D$31,4,FALSE)</f>
        <v>6.7400000000000002E-2</v>
      </c>
      <c r="N279" s="105">
        <f t="shared" si="43"/>
        <v>3.6523406220000001</v>
      </c>
      <c r="O279" s="93">
        <f t="shared" si="44"/>
        <v>7.368159822</v>
      </c>
      <c r="P279" s="92">
        <v>131</v>
      </c>
      <c r="Q279" s="92" t="s">
        <v>102</v>
      </c>
      <c r="R279" s="92" t="s">
        <v>55</v>
      </c>
      <c r="S279" s="20">
        <v>258.04300000000001</v>
      </c>
    </row>
    <row r="280" spans="1:19" x14ac:dyDescent="0.15">
      <c r="A280" s="90">
        <v>44363</v>
      </c>
      <c r="B280" s="90" t="str">
        <f t="shared" si="38"/>
        <v>juin</v>
      </c>
      <c r="C280" s="90" t="str">
        <f t="shared" si="39"/>
        <v>2021</v>
      </c>
      <c r="D280" s="90" t="str">
        <f t="shared" si="40"/>
        <v>juin2021</v>
      </c>
      <c r="E280" s="91" t="s">
        <v>188</v>
      </c>
      <c r="F280" s="91">
        <v>300</v>
      </c>
      <c r="G280" s="94">
        <f t="shared" si="41"/>
        <v>0.3</v>
      </c>
      <c r="H280" s="92" t="s">
        <v>45</v>
      </c>
      <c r="I280" s="96">
        <f t="shared" si="36"/>
        <v>0.3</v>
      </c>
      <c r="J280" s="96">
        <f t="shared" si="37"/>
        <v>0.7</v>
      </c>
      <c r="K280" s="92">
        <f>VLOOKUP(H280,'Taux émission CO2e'!$A$5:$D$16,4,FALSE)</f>
        <v>0.16</v>
      </c>
      <c r="L280" s="93">
        <f t="shared" si="42"/>
        <v>3.8354832000000001</v>
      </c>
      <c r="M280" s="92">
        <f>VLOOKUP(H280,'Taux émission CO2e'!$A$20:$D$31,4,FALSE)</f>
        <v>6.7400000000000002E-2</v>
      </c>
      <c r="N280" s="105">
        <f t="shared" si="43"/>
        <v>3.769960362</v>
      </c>
      <c r="O280" s="93">
        <f t="shared" si="44"/>
        <v>7.6054435619999996</v>
      </c>
      <c r="P280" s="92">
        <v>158</v>
      </c>
      <c r="Q280" s="92" t="s">
        <v>77</v>
      </c>
      <c r="R280" s="92" t="s">
        <v>55</v>
      </c>
      <c r="S280" s="20">
        <v>266.35300000000001</v>
      </c>
    </row>
    <row r="281" spans="1:19" x14ac:dyDescent="0.15">
      <c r="A281" s="90">
        <v>44364</v>
      </c>
      <c r="B281" s="90" t="str">
        <f t="shared" si="38"/>
        <v>juin</v>
      </c>
      <c r="C281" s="90" t="str">
        <f t="shared" si="39"/>
        <v>2021</v>
      </c>
      <c r="D281" s="90" t="str">
        <f t="shared" si="40"/>
        <v>juin2021</v>
      </c>
      <c r="E281" s="91" t="s">
        <v>189</v>
      </c>
      <c r="F281" s="91">
        <v>300</v>
      </c>
      <c r="G281" s="94">
        <f t="shared" si="41"/>
        <v>0.3</v>
      </c>
      <c r="H281" s="92" t="s">
        <v>45</v>
      </c>
      <c r="I281" s="96">
        <f t="shared" si="36"/>
        <v>0.3</v>
      </c>
      <c r="J281" s="96">
        <f t="shared" si="37"/>
        <v>0.7</v>
      </c>
      <c r="K281" s="92">
        <f>VLOOKUP(H281,'Taux émission CO2e'!$A$5:$D$16,4,FALSE)</f>
        <v>0.16</v>
      </c>
      <c r="L281" s="93">
        <f t="shared" si="42"/>
        <v>7.4372256000000005</v>
      </c>
      <c r="M281" s="92">
        <f>VLOOKUP(H281,'Taux émission CO2e'!$A$20:$D$31,4,FALSE)</f>
        <v>6.7400000000000002E-2</v>
      </c>
      <c r="N281" s="105">
        <f t="shared" si="43"/>
        <v>7.3101729960000004</v>
      </c>
      <c r="O281" s="93">
        <f t="shared" si="44"/>
        <v>14.747398596</v>
      </c>
      <c r="P281" s="92">
        <v>165</v>
      </c>
      <c r="Q281" s="92" t="s">
        <v>52</v>
      </c>
      <c r="R281" s="92" t="s">
        <v>55</v>
      </c>
      <c r="S281" s="20">
        <v>516.47400000000005</v>
      </c>
    </row>
    <row r="282" spans="1:19" x14ac:dyDescent="0.15">
      <c r="A282" s="90">
        <v>44364</v>
      </c>
      <c r="B282" s="90" t="str">
        <f t="shared" si="38"/>
        <v>juin</v>
      </c>
      <c r="C282" s="90" t="str">
        <f t="shared" si="39"/>
        <v>2021</v>
      </c>
      <c r="D282" s="90" t="str">
        <f t="shared" si="40"/>
        <v>juin2021</v>
      </c>
      <c r="E282" s="91" t="s">
        <v>190</v>
      </c>
      <c r="F282" s="91">
        <v>300</v>
      </c>
      <c r="G282" s="94">
        <f t="shared" si="41"/>
        <v>0.3</v>
      </c>
      <c r="H282" s="92" t="s">
        <v>46</v>
      </c>
      <c r="I282" s="96">
        <f t="shared" si="36"/>
        <v>0.3</v>
      </c>
      <c r="J282" s="96">
        <f t="shared" si="37"/>
        <v>0.7</v>
      </c>
      <c r="K282" s="92">
        <f>VLOOKUP(H282,'Taux émission CO2e'!$A$5:$D$16,4,FALSE)</f>
        <v>0.16</v>
      </c>
      <c r="L282" s="93">
        <f t="shared" si="42"/>
        <v>7.7979743999999993</v>
      </c>
      <c r="M282" s="92">
        <f>VLOOKUP(H282,'Taux émission CO2e'!$A$20:$D$31,4,FALSE)</f>
        <v>6.7400000000000002E-2</v>
      </c>
      <c r="N282" s="105">
        <f t="shared" si="43"/>
        <v>7.6647590039999995</v>
      </c>
      <c r="O282" s="93">
        <f t="shared" si="44"/>
        <v>15.462733403999998</v>
      </c>
      <c r="P282" s="92">
        <v>196</v>
      </c>
      <c r="Q282" s="92" t="s">
        <v>62</v>
      </c>
      <c r="R282" s="92" t="s">
        <v>55</v>
      </c>
      <c r="S282" s="20">
        <v>541.52599999999995</v>
      </c>
    </row>
    <row r="283" spans="1:19" x14ac:dyDescent="0.15">
      <c r="A283" s="90">
        <v>44365</v>
      </c>
      <c r="B283" s="90" t="str">
        <f t="shared" si="38"/>
        <v>juin</v>
      </c>
      <c r="C283" s="90" t="str">
        <f t="shared" si="39"/>
        <v>2021</v>
      </c>
      <c r="D283" s="90" t="str">
        <f t="shared" si="40"/>
        <v>juin2021</v>
      </c>
      <c r="E283" s="91" t="s">
        <v>191</v>
      </c>
      <c r="F283" s="91">
        <v>400</v>
      </c>
      <c r="G283" s="94">
        <f t="shared" si="41"/>
        <v>0.4</v>
      </c>
      <c r="H283" s="92" t="s">
        <v>46</v>
      </c>
      <c r="I283" s="96">
        <f t="shared" si="36"/>
        <v>0.3</v>
      </c>
      <c r="J283" s="96">
        <f t="shared" si="37"/>
        <v>0.7</v>
      </c>
      <c r="K283" s="92">
        <f>VLOOKUP(H283,'Taux émission CO2e'!$A$5:$D$16,4,FALSE)</f>
        <v>0.16</v>
      </c>
      <c r="L283" s="93">
        <f t="shared" si="42"/>
        <v>5.347142400000001</v>
      </c>
      <c r="M283" s="92">
        <f>VLOOKUP(H283,'Taux émission CO2e'!$A$20:$D$31,4,FALSE)</f>
        <v>6.7400000000000002E-2</v>
      </c>
      <c r="N283" s="105">
        <f t="shared" si="43"/>
        <v>5.2557953839999998</v>
      </c>
      <c r="O283" s="93">
        <f t="shared" si="44"/>
        <v>10.602937784000002</v>
      </c>
      <c r="P283" s="92">
        <v>158</v>
      </c>
      <c r="Q283" s="92" t="s">
        <v>90</v>
      </c>
      <c r="R283" s="92" t="s">
        <v>55</v>
      </c>
      <c r="S283" s="20">
        <v>278.49700000000001</v>
      </c>
    </row>
    <row r="284" spans="1:19" x14ac:dyDescent="0.15">
      <c r="A284" s="90">
        <v>44368</v>
      </c>
      <c r="B284" s="90" t="str">
        <f t="shared" si="38"/>
        <v>juin</v>
      </c>
      <c r="C284" s="90" t="str">
        <f t="shared" si="39"/>
        <v>2021</v>
      </c>
      <c r="D284" s="90" t="str">
        <f t="shared" si="40"/>
        <v>juin2021</v>
      </c>
      <c r="E284" s="91" t="s">
        <v>192</v>
      </c>
      <c r="F284" s="91">
        <v>70</v>
      </c>
      <c r="G284" s="94">
        <f t="shared" si="41"/>
        <v>7.0000000000000007E-2</v>
      </c>
      <c r="H284" s="92" t="s">
        <v>38</v>
      </c>
      <c r="I284" s="96">
        <f t="shared" si="36"/>
        <v>1</v>
      </c>
      <c r="J284" s="96">
        <f t="shared" si="37"/>
        <v>0</v>
      </c>
      <c r="K284" s="92">
        <f>VLOOKUP(H284,'Taux émission CO2e'!$A$5:$D$16,4,FALSE)</f>
        <v>0.24099999999999999</v>
      </c>
      <c r="L284" s="93">
        <f t="shared" si="42"/>
        <v>0.83919814999999998</v>
      </c>
      <c r="M284" s="92">
        <f>VLOOKUP(H284,'Taux émission CO2e'!$A$20:$D$31,4,FALSE)</f>
        <v>0</v>
      </c>
      <c r="N284" s="105">
        <f t="shared" si="43"/>
        <v>0</v>
      </c>
      <c r="O284" s="93">
        <f t="shared" si="44"/>
        <v>0.83919814999999998</v>
      </c>
      <c r="P284" s="92">
        <v>80</v>
      </c>
      <c r="Q284" s="92" t="s">
        <v>58</v>
      </c>
      <c r="R284" s="92" t="s">
        <v>193</v>
      </c>
      <c r="S284" s="20">
        <v>49.744999999999997</v>
      </c>
    </row>
    <row r="285" spans="1:19" x14ac:dyDescent="0.15">
      <c r="A285" s="90">
        <v>44368</v>
      </c>
      <c r="B285" s="90" t="str">
        <f t="shared" si="38"/>
        <v>juin</v>
      </c>
      <c r="C285" s="90" t="str">
        <f t="shared" si="39"/>
        <v>2021</v>
      </c>
      <c r="D285" s="90" t="str">
        <f t="shared" si="40"/>
        <v>juin2021</v>
      </c>
      <c r="E285" s="91" t="s">
        <v>194</v>
      </c>
      <c r="F285" s="91">
        <v>90</v>
      </c>
      <c r="G285" s="94">
        <f t="shared" si="41"/>
        <v>0.09</v>
      </c>
      <c r="H285" s="92" t="s">
        <v>38</v>
      </c>
      <c r="I285" s="96">
        <f t="shared" si="36"/>
        <v>1</v>
      </c>
      <c r="J285" s="96">
        <f t="shared" si="37"/>
        <v>0</v>
      </c>
      <c r="K285" s="92">
        <f>VLOOKUP(H285,'Taux émission CO2e'!$A$5:$D$16,4,FALSE)</f>
        <v>0.24099999999999999</v>
      </c>
      <c r="L285" s="93">
        <f t="shared" si="42"/>
        <v>1.1876142599999999</v>
      </c>
      <c r="M285" s="92">
        <f>VLOOKUP(H285,'Taux émission CO2e'!$A$20:$D$31,4,FALSE)</f>
        <v>0</v>
      </c>
      <c r="N285" s="105">
        <f t="shared" si="43"/>
        <v>0</v>
      </c>
      <c r="O285" s="93">
        <f t="shared" si="44"/>
        <v>1.1876142599999999</v>
      </c>
      <c r="P285" s="92">
        <v>80</v>
      </c>
      <c r="Q285" s="92" t="s">
        <v>58</v>
      </c>
      <c r="R285" s="92" t="s">
        <v>195</v>
      </c>
      <c r="S285" s="20">
        <v>54.753999999999998</v>
      </c>
    </row>
    <row r="286" spans="1:19" x14ac:dyDescent="0.15">
      <c r="A286" s="90">
        <v>44368</v>
      </c>
      <c r="B286" s="90" t="str">
        <f t="shared" si="38"/>
        <v>juin</v>
      </c>
      <c r="C286" s="90" t="str">
        <f t="shared" si="39"/>
        <v>2021</v>
      </c>
      <c r="D286" s="90" t="str">
        <f t="shared" si="40"/>
        <v>juin2021</v>
      </c>
      <c r="E286" s="91" t="s">
        <v>196</v>
      </c>
      <c r="F286" s="91">
        <v>120</v>
      </c>
      <c r="G286" s="94">
        <f t="shared" si="41"/>
        <v>0.12</v>
      </c>
      <c r="H286" s="92" t="s">
        <v>38</v>
      </c>
      <c r="I286" s="96">
        <f t="shared" si="36"/>
        <v>1</v>
      </c>
      <c r="J286" s="96">
        <f t="shared" si="37"/>
        <v>0</v>
      </c>
      <c r="K286" s="92">
        <f>VLOOKUP(H286,'Taux émission CO2e'!$A$5:$D$16,4,FALSE)</f>
        <v>0.24099999999999999</v>
      </c>
      <c r="L286" s="93">
        <f t="shared" si="42"/>
        <v>0.95713631999999982</v>
      </c>
      <c r="M286" s="92">
        <f>VLOOKUP(H286,'Taux émission CO2e'!$A$20:$D$31,4,FALSE)</f>
        <v>0</v>
      </c>
      <c r="N286" s="105">
        <f t="shared" si="43"/>
        <v>0</v>
      </c>
      <c r="O286" s="93">
        <f t="shared" si="44"/>
        <v>0.95713631999999982</v>
      </c>
      <c r="P286" s="92">
        <v>80</v>
      </c>
      <c r="Q286" s="92" t="s">
        <v>58</v>
      </c>
      <c r="R286" s="92" t="s">
        <v>197</v>
      </c>
      <c r="S286" s="20">
        <v>33.095999999999997</v>
      </c>
    </row>
    <row r="287" spans="1:19" x14ac:dyDescent="0.15">
      <c r="A287" s="90">
        <v>44368</v>
      </c>
      <c r="B287" s="90" t="str">
        <f t="shared" si="38"/>
        <v>juin</v>
      </c>
      <c r="C287" s="90" t="str">
        <f t="shared" si="39"/>
        <v>2021</v>
      </c>
      <c r="D287" s="90" t="str">
        <f t="shared" si="40"/>
        <v>juin2021</v>
      </c>
      <c r="E287" s="91" t="s">
        <v>198</v>
      </c>
      <c r="F287" s="91">
        <v>300</v>
      </c>
      <c r="G287" s="94">
        <f t="shared" si="41"/>
        <v>0.3</v>
      </c>
      <c r="H287" s="92" t="s">
        <v>46</v>
      </c>
      <c r="I287" s="96">
        <f t="shared" si="36"/>
        <v>0.3</v>
      </c>
      <c r="J287" s="96">
        <f t="shared" si="37"/>
        <v>0.7</v>
      </c>
      <c r="K287" s="92">
        <f>VLOOKUP(H287,'Taux émission CO2e'!$A$5:$D$16,4,FALSE)</f>
        <v>0.16</v>
      </c>
      <c r="L287" s="93">
        <f t="shared" si="42"/>
        <v>5.4804383999999997</v>
      </c>
      <c r="M287" s="92">
        <f>VLOOKUP(H287,'Taux émission CO2e'!$A$20:$D$31,4,FALSE)</f>
        <v>6.7400000000000002E-2</v>
      </c>
      <c r="N287" s="105">
        <f t="shared" si="43"/>
        <v>5.386814244</v>
      </c>
      <c r="O287" s="93">
        <f t="shared" si="44"/>
        <v>10.867252644000001</v>
      </c>
      <c r="P287" s="92">
        <v>166</v>
      </c>
      <c r="Q287" s="92" t="s">
        <v>91</v>
      </c>
      <c r="R287" s="92" t="s">
        <v>55</v>
      </c>
      <c r="S287" s="20">
        <v>380.58600000000001</v>
      </c>
    </row>
    <row r="288" spans="1:19" x14ac:dyDescent="0.15">
      <c r="A288" s="90">
        <v>44368</v>
      </c>
      <c r="B288" s="90" t="str">
        <f t="shared" si="38"/>
        <v>juin</v>
      </c>
      <c r="C288" s="90" t="str">
        <f t="shared" si="39"/>
        <v>2021</v>
      </c>
      <c r="D288" s="90" t="str">
        <f t="shared" si="40"/>
        <v>juin2021</v>
      </c>
      <c r="E288" s="91" t="s">
        <v>199</v>
      </c>
      <c r="F288" s="92">
        <v>2800</v>
      </c>
      <c r="G288" s="94">
        <f t="shared" si="41"/>
        <v>2.8</v>
      </c>
      <c r="H288" s="92" t="s">
        <v>32</v>
      </c>
      <c r="I288" s="96">
        <f t="shared" si="36"/>
        <v>1</v>
      </c>
      <c r="J288" s="96">
        <f t="shared" si="37"/>
        <v>0</v>
      </c>
      <c r="K288" s="92">
        <f>VLOOKUP(H288,'Taux émission CO2e'!$A$5:$D$16,4,FALSE)</f>
        <v>6.7400000000000002E-2</v>
      </c>
      <c r="L288" s="93">
        <f t="shared" si="42"/>
        <v>50.266138160000004</v>
      </c>
      <c r="M288" s="92">
        <f>VLOOKUP(H288,'Taux émission CO2e'!$A$20:$D$31,4,FALSE)</f>
        <v>0</v>
      </c>
      <c r="N288" s="105">
        <f t="shared" si="43"/>
        <v>0</v>
      </c>
      <c r="O288" s="93">
        <f t="shared" si="44"/>
        <v>50.266138160000004</v>
      </c>
      <c r="P288" s="92">
        <v>800</v>
      </c>
      <c r="Q288" s="92" t="s">
        <v>77</v>
      </c>
      <c r="R288" s="92" t="s">
        <v>55</v>
      </c>
      <c r="S288" s="20">
        <v>266.35300000000001</v>
      </c>
    </row>
    <row r="289" spans="1:19" x14ac:dyDescent="0.15">
      <c r="A289" s="90">
        <v>44369</v>
      </c>
      <c r="B289" s="90" t="str">
        <f t="shared" si="38"/>
        <v>juin</v>
      </c>
      <c r="C289" s="90" t="str">
        <f t="shared" si="39"/>
        <v>2021</v>
      </c>
      <c r="D289" s="90" t="str">
        <f t="shared" si="40"/>
        <v>juin2021</v>
      </c>
      <c r="E289" s="91" t="s">
        <v>200</v>
      </c>
      <c r="F289" s="91">
        <v>300</v>
      </c>
      <c r="G289" s="94">
        <f t="shared" si="41"/>
        <v>0.3</v>
      </c>
      <c r="H289" s="92" t="s">
        <v>46</v>
      </c>
      <c r="I289" s="96">
        <f t="shared" si="36"/>
        <v>0.3</v>
      </c>
      <c r="J289" s="96">
        <f t="shared" si="37"/>
        <v>0.7</v>
      </c>
      <c r="K289" s="92">
        <f>VLOOKUP(H289,'Taux émission CO2e'!$A$5:$D$16,4,FALSE)</f>
        <v>0.16</v>
      </c>
      <c r="L289" s="93">
        <f t="shared" si="42"/>
        <v>3.6276336000000002</v>
      </c>
      <c r="M289" s="92">
        <f>VLOOKUP(H289,'Taux émission CO2e'!$A$20:$D$31,4,FALSE)</f>
        <v>6.7400000000000002E-2</v>
      </c>
      <c r="N289" s="105">
        <f t="shared" si="43"/>
        <v>3.565661526</v>
      </c>
      <c r="O289" s="93">
        <f t="shared" si="44"/>
        <v>7.1932951260000006</v>
      </c>
      <c r="P289" s="92">
        <v>125</v>
      </c>
      <c r="Q289" s="92" t="s">
        <v>92</v>
      </c>
      <c r="R289" s="92" t="s">
        <v>55</v>
      </c>
      <c r="S289" s="20">
        <v>251.91900000000001</v>
      </c>
    </row>
    <row r="290" spans="1:19" x14ac:dyDescent="0.15">
      <c r="A290" s="90">
        <v>44369</v>
      </c>
      <c r="B290" s="90" t="str">
        <f t="shared" si="38"/>
        <v>juin</v>
      </c>
      <c r="C290" s="90" t="str">
        <f t="shared" si="39"/>
        <v>2021</v>
      </c>
      <c r="D290" s="90" t="str">
        <f t="shared" si="40"/>
        <v>juin2021</v>
      </c>
      <c r="E290" s="91" t="s">
        <v>201</v>
      </c>
      <c r="F290" s="91">
        <v>300</v>
      </c>
      <c r="G290" s="94">
        <f t="shared" si="41"/>
        <v>0.3</v>
      </c>
      <c r="H290" s="92" t="s">
        <v>45</v>
      </c>
      <c r="I290" s="96">
        <f t="shared" si="36"/>
        <v>0.3</v>
      </c>
      <c r="J290" s="96">
        <f t="shared" si="37"/>
        <v>0.7</v>
      </c>
      <c r="K290" s="92">
        <f>VLOOKUP(H290,'Taux émission CO2e'!$A$5:$D$16,4,FALSE)</f>
        <v>0.16</v>
      </c>
      <c r="L290" s="93">
        <f t="shared" si="42"/>
        <v>3.6040031999999997</v>
      </c>
      <c r="M290" s="92">
        <f>VLOOKUP(H290,'Taux émission CO2e'!$A$20:$D$31,4,FALSE)</f>
        <v>6.7400000000000002E-2</v>
      </c>
      <c r="N290" s="105">
        <f t="shared" si="43"/>
        <v>3.5424348119999998</v>
      </c>
      <c r="O290" s="93">
        <f t="shared" si="44"/>
        <v>7.1464380119999991</v>
      </c>
      <c r="P290" s="92">
        <v>158</v>
      </c>
      <c r="Q290" s="92" t="s">
        <v>89</v>
      </c>
      <c r="R290" s="92" t="s">
        <v>55</v>
      </c>
      <c r="S290" s="20">
        <v>250.27799999999999</v>
      </c>
    </row>
    <row r="291" spans="1:19" x14ac:dyDescent="0.15">
      <c r="A291" s="90">
        <v>44369</v>
      </c>
      <c r="B291" s="90" t="str">
        <f t="shared" si="38"/>
        <v>juin</v>
      </c>
      <c r="C291" s="90" t="str">
        <f t="shared" si="39"/>
        <v>2021</v>
      </c>
      <c r="D291" s="90" t="str">
        <f t="shared" si="40"/>
        <v>juin2021</v>
      </c>
      <c r="E291" s="91" t="s">
        <v>202</v>
      </c>
      <c r="F291" s="91">
        <v>300</v>
      </c>
      <c r="G291" s="94">
        <f t="shared" si="41"/>
        <v>0.3</v>
      </c>
      <c r="H291" s="92" t="s">
        <v>45</v>
      </c>
      <c r="I291" s="96">
        <f t="shared" si="36"/>
        <v>0.3</v>
      </c>
      <c r="J291" s="96">
        <f t="shared" si="37"/>
        <v>0.7</v>
      </c>
      <c r="K291" s="92">
        <f>VLOOKUP(H291,'Taux émission CO2e'!$A$5:$D$16,4,FALSE)</f>
        <v>0.16</v>
      </c>
      <c r="L291" s="93">
        <f t="shared" si="42"/>
        <v>4.0052879999999993</v>
      </c>
      <c r="M291" s="92">
        <f>VLOOKUP(H291,'Taux émission CO2e'!$A$20:$D$31,4,FALSE)</f>
        <v>6.7400000000000002E-2</v>
      </c>
      <c r="N291" s="105">
        <f t="shared" si="43"/>
        <v>3.9368643299999997</v>
      </c>
      <c r="O291" s="93">
        <f t="shared" si="44"/>
        <v>7.942152329999999</v>
      </c>
      <c r="P291" s="92">
        <v>158</v>
      </c>
      <c r="Q291" s="92" t="s">
        <v>74</v>
      </c>
      <c r="R291" s="92" t="s">
        <v>55</v>
      </c>
      <c r="S291" s="20">
        <v>278.14499999999998</v>
      </c>
    </row>
    <row r="292" spans="1:19" x14ac:dyDescent="0.15">
      <c r="A292" s="90">
        <v>44370</v>
      </c>
      <c r="B292" s="90" t="str">
        <f t="shared" si="38"/>
        <v>juin</v>
      </c>
      <c r="C292" s="90" t="str">
        <f t="shared" si="39"/>
        <v>2021</v>
      </c>
      <c r="D292" s="90" t="str">
        <f t="shared" si="40"/>
        <v>juin2021</v>
      </c>
      <c r="E292" s="91" t="s">
        <v>203</v>
      </c>
      <c r="F292" s="91">
        <v>300</v>
      </c>
      <c r="G292" s="94">
        <f t="shared" si="41"/>
        <v>0.3</v>
      </c>
      <c r="H292" s="92" t="s">
        <v>46</v>
      </c>
      <c r="I292" s="96">
        <f t="shared" si="36"/>
        <v>0.3</v>
      </c>
      <c r="J292" s="96">
        <f t="shared" si="37"/>
        <v>0.7</v>
      </c>
      <c r="K292" s="92">
        <f>VLOOKUP(H292,'Taux émission CO2e'!$A$5:$D$16,4,FALSE)</f>
        <v>0.16</v>
      </c>
      <c r="L292" s="93">
        <f t="shared" si="42"/>
        <v>3.7158191999999999</v>
      </c>
      <c r="M292" s="92">
        <f>VLOOKUP(H292,'Taux émission CO2e'!$A$20:$D$31,4,FALSE)</f>
        <v>6.7400000000000002E-2</v>
      </c>
      <c r="N292" s="105">
        <f t="shared" si="43"/>
        <v>3.6523406220000001</v>
      </c>
      <c r="O292" s="93">
        <f t="shared" si="44"/>
        <v>7.368159822</v>
      </c>
      <c r="P292" s="92">
        <v>131</v>
      </c>
      <c r="Q292" s="92" t="s">
        <v>102</v>
      </c>
      <c r="R292" s="92" t="s">
        <v>55</v>
      </c>
      <c r="S292" s="20">
        <v>258.04300000000001</v>
      </c>
    </row>
    <row r="293" spans="1:19" x14ac:dyDescent="0.15">
      <c r="A293" s="90">
        <v>44370</v>
      </c>
      <c r="B293" s="90" t="str">
        <f t="shared" si="38"/>
        <v>juin</v>
      </c>
      <c r="C293" s="90" t="str">
        <f t="shared" si="39"/>
        <v>2021</v>
      </c>
      <c r="D293" s="90" t="str">
        <f t="shared" si="40"/>
        <v>juin2021</v>
      </c>
      <c r="E293" s="91" t="s">
        <v>204</v>
      </c>
      <c r="F293" s="91">
        <v>300</v>
      </c>
      <c r="G293" s="94">
        <f t="shared" si="41"/>
        <v>0.3</v>
      </c>
      <c r="H293" s="92" t="s">
        <v>45</v>
      </c>
      <c r="I293" s="96">
        <f t="shared" si="36"/>
        <v>0.3</v>
      </c>
      <c r="J293" s="96">
        <f t="shared" si="37"/>
        <v>0.7</v>
      </c>
      <c r="K293" s="92">
        <f>VLOOKUP(H293,'Taux émission CO2e'!$A$5:$D$16,4,FALSE)</f>
        <v>0.16</v>
      </c>
      <c r="L293" s="93">
        <f t="shared" si="42"/>
        <v>3.8354832000000001</v>
      </c>
      <c r="M293" s="92">
        <f>VLOOKUP(H293,'Taux émission CO2e'!$A$20:$D$31,4,FALSE)</f>
        <v>6.7400000000000002E-2</v>
      </c>
      <c r="N293" s="105">
        <f t="shared" si="43"/>
        <v>3.769960362</v>
      </c>
      <c r="O293" s="93">
        <f t="shared" si="44"/>
        <v>7.6054435619999996</v>
      </c>
      <c r="P293" s="92">
        <v>158</v>
      </c>
      <c r="Q293" s="92" t="s">
        <v>77</v>
      </c>
      <c r="R293" s="92" t="s">
        <v>55</v>
      </c>
      <c r="S293" s="20">
        <v>266.35300000000001</v>
      </c>
    </row>
    <row r="294" spans="1:19" x14ac:dyDescent="0.15">
      <c r="A294" s="90">
        <v>44370</v>
      </c>
      <c r="B294" s="90" t="str">
        <f t="shared" si="38"/>
        <v>juin</v>
      </c>
      <c r="C294" s="90" t="str">
        <f t="shared" si="39"/>
        <v>2021</v>
      </c>
      <c r="D294" s="90" t="str">
        <f t="shared" si="40"/>
        <v>juin2021</v>
      </c>
      <c r="E294" s="91" t="s">
        <v>205</v>
      </c>
      <c r="F294" s="91">
        <v>300</v>
      </c>
      <c r="G294" s="94">
        <f t="shared" si="41"/>
        <v>0.3</v>
      </c>
      <c r="H294" s="92" t="s">
        <v>46</v>
      </c>
      <c r="I294" s="96">
        <f t="shared" si="36"/>
        <v>0.3</v>
      </c>
      <c r="J294" s="96">
        <f t="shared" si="37"/>
        <v>0.7</v>
      </c>
      <c r="K294" s="92">
        <f>VLOOKUP(H294,'Taux émission CO2e'!$A$5:$D$16,4,FALSE)</f>
        <v>0.16</v>
      </c>
      <c r="L294" s="93">
        <f t="shared" si="42"/>
        <v>4.0103568000000003</v>
      </c>
      <c r="M294" s="92">
        <f>VLOOKUP(H294,'Taux émission CO2e'!$A$20:$D$31,4,FALSE)</f>
        <v>6.7400000000000002E-2</v>
      </c>
      <c r="N294" s="105">
        <f t="shared" si="43"/>
        <v>3.9418465380000001</v>
      </c>
      <c r="O294" s="93">
        <f t="shared" si="44"/>
        <v>7.9522033380000003</v>
      </c>
      <c r="P294" s="92">
        <v>158</v>
      </c>
      <c r="Q294" s="92" t="s">
        <v>90</v>
      </c>
      <c r="R294" s="92" t="s">
        <v>55</v>
      </c>
      <c r="S294" s="20">
        <v>278.49700000000001</v>
      </c>
    </row>
    <row r="295" spans="1:19" x14ac:dyDescent="0.15">
      <c r="A295" s="90">
        <v>44371</v>
      </c>
      <c r="B295" s="90" t="str">
        <f t="shared" si="38"/>
        <v>juin</v>
      </c>
      <c r="C295" s="90" t="str">
        <f t="shared" si="39"/>
        <v>2021</v>
      </c>
      <c r="D295" s="90" t="str">
        <f t="shared" si="40"/>
        <v>juin2021</v>
      </c>
      <c r="E295" s="91" t="s">
        <v>206</v>
      </c>
      <c r="F295" s="91">
        <v>300</v>
      </c>
      <c r="G295" s="94">
        <f t="shared" si="41"/>
        <v>0.3</v>
      </c>
      <c r="H295" s="92" t="s">
        <v>46</v>
      </c>
      <c r="I295" s="96">
        <f t="shared" si="36"/>
        <v>0.3</v>
      </c>
      <c r="J295" s="96">
        <f t="shared" si="37"/>
        <v>0.7</v>
      </c>
      <c r="K295" s="92">
        <f>VLOOKUP(H295,'Taux émission CO2e'!$A$5:$D$16,4,FALSE)</f>
        <v>0.16</v>
      </c>
      <c r="L295" s="93">
        <f t="shared" si="42"/>
        <v>4.0103568000000003</v>
      </c>
      <c r="M295" s="92">
        <f>VLOOKUP(H295,'Taux émission CO2e'!$A$20:$D$31,4,FALSE)</f>
        <v>6.7400000000000002E-2</v>
      </c>
      <c r="N295" s="105">
        <f t="shared" si="43"/>
        <v>3.9418465380000001</v>
      </c>
      <c r="O295" s="93">
        <f t="shared" si="44"/>
        <v>7.9522033380000003</v>
      </c>
      <c r="P295" s="92">
        <v>158</v>
      </c>
      <c r="Q295" s="92" t="s">
        <v>90</v>
      </c>
      <c r="R295" s="92" t="s">
        <v>55</v>
      </c>
      <c r="S295" s="20">
        <v>278.49700000000001</v>
      </c>
    </row>
    <row r="296" spans="1:19" x14ac:dyDescent="0.15">
      <c r="A296" s="90">
        <v>44371</v>
      </c>
      <c r="B296" s="90" t="str">
        <f t="shared" si="38"/>
        <v>juin</v>
      </c>
      <c r="C296" s="90" t="str">
        <f t="shared" si="39"/>
        <v>2021</v>
      </c>
      <c r="D296" s="90" t="str">
        <f t="shared" si="40"/>
        <v>juin2021</v>
      </c>
      <c r="E296" s="91" t="s">
        <v>207</v>
      </c>
      <c r="F296" s="91">
        <v>1200</v>
      </c>
      <c r="G296" s="94">
        <f t="shared" si="41"/>
        <v>1.2</v>
      </c>
      <c r="H296" s="92" t="s">
        <v>45</v>
      </c>
      <c r="I296" s="96">
        <f t="shared" si="36"/>
        <v>0.3</v>
      </c>
      <c r="J296" s="96">
        <f t="shared" si="37"/>
        <v>0.7</v>
      </c>
      <c r="K296" s="92">
        <f>VLOOKUP(H296,'Taux émission CO2e'!$A$5:$D$16,4,FALSE)</f>
        <v>0.16</v>
      </c>
      <c r="L296" s="93">
        <f t="shared" si="42"/>
        <v>15.3419328</v>
      </c>
      <c r="M296" s="92">
        <f>VLOOKUP(H296,'Taux émission CO2e'!$A$20:$D$31,4,FALSE)</f>
        <v>6.7400000000000002E-2</v>
      </c>
      <c r="N296" s="105">
        <f t="shared" si="43"/>
        <v>15.079841448</v>
      </c>
      <c r="O296" s="93">
        <f t="shared" si="44"/>
        <v>30.421774247999998</v>
      </c>
      <c r="P296" s="92">
        <v>218</v>
      </c>
      <c r="Q296" s="92" t="s">
        <v>77</v>
      </c>
      <c r="R296" s="92" t="s">
        <v>55</v>
      </c>
      <c r="S296" s="20">
        <v>266.35300000000001</v>
      </c>
    </row>
    <row r="297" spans="1:19" x14ac:dyDescent="0.15">
      <c r="A297" s="90">
        <v>44371</v>
      </c>
      <c r="B297" s="90" t="str">
        <f t="shared" si="38"/>
        <v>juin</v>
      </c>
      <c r="C297" s="90" t="str">
        <f t="shared" si="39"/>
        <v>2021</v>
      </c>
      <c r="D297" s="90" t="str">
        <f t="shared" si="40"/>
        <v>juin2021</v>
      </c>
      <c r="E297" s="91" t="s">
        <v>208</v>
      </c>
      <c r="F297" s="91">
        <v>600</v>
      </c>
      <c r="G297" s="94">
        <f t="shared" si="41"/>
        <v>0.6</v>
      </c>
      <c r="H297" s="92" t="s">
        <v>45</v>
      </c>
      <c r="I297" s="96">
        <f t="shared" si="36"/>
        <v>0.3</v>
      </c>
      <c r="J297" s="96">
        <f t="shared" si="37"/>
        <v>0.7</v>
      </c>
      <c r="K297" s="92">
        <f>VLOOKUP(H297,'Taux émission CO2e'!$A$5:$D$16,4,FALSE)</f>
        <v>0.16</v>
      </c>
      <c r="L297" s="93">
        <f t="shared" si="42"/>
        <v>14.874451200000001</v>
      </c>
      <c r="M297" s="92">
        <f>VLOOKUP(H297,'Taux émission CO2e'!$A$20:$D$31,4,FALSE)</f>
        <v>6.7400000000000002E-2</v>
      </c>
      <c r="N297" s="105">
        <f t="shared" si="43"/>
        <v>14.620345992000001</v>
      </c>
      <c r="O297" s="93">
        <f t="shared" si="44"/>
        <v>29.494797192</v>
      </c>
      <c r="P297" s="92">
        <v>228</v>
      </c>
      <c r="Q297" s="92" t="s">
        <v>52</v>
      </c>
      <c r="R297" s="92" t="s">
        <v>55</v>
      </c>
      <c r="S297" s="20">
        <v>516.47400000000005</v>
      </c>
    </row>
    <row r="298" spans="1:19" x14ac:dyDescent="0.15">
      <c r="A298" s="90">
        <v>44372</v>
      </c>
      <c r="B298" s="90" t="str">
        <f t="shared" si="38"/>
        <v>juin</v>
      </c>
      <c r="C298" s="90" t="str">
        <f t="shared" si="39"/>
        <v>2021</v>
      </c>
      <c r="D298" s="90" t="str">
        <f t="shared" si="40"/>
        <v>juin2021</v>
      </c>
      <c r="E298" s="91" t="s">
        <v>209</v>
      </c>
      <c r="F298" s="91">
        <v>120</v>
      </c>
      <c r="G298" s="94">
        <f t="shared" si="41"/>
        <v>0.12</v>
      </c>
      <c r="H298" s="92" t="s">
        <v>46</v>
      </c>
      <c r="I298" s="96">
        <f t="shared" si="36"/>
        <v>0.3</v>
      </c>
      <c r="J298" s="96">
        <f t="shared" si="37"/>
        <v>0.7</v>
      </c>
      <c r="K298" s="92">
        <f>VLOOKUP(H298,'Taux émission CO2e'!$A$5:$D$16,4,FALSE)</f>
        <v>0.16</v>
      </c>
      <c r="L298" s="93">
        <f t="shared" si="42"/>
        <v>5.1231110399999995</v>
      </c>
      <c r="M298" s="92">
        <f>VLOOKUP(H298,'Taux émission CO2e'!$A$20:$D$31,4,FALSE)</f>
        <v>6.7400000000000002E-2</v>
      </c>
      <c r="N298" s="105">
        <f t="shared" si="43"/>
        <v>5.0355912264000002</v>
      </c>
      <c r="O298" s="93">
        <f t="shared" si="44"/>
        <v>10.158702266399999</v>
      </c>
      <c r="P298" s="92">
        <v>171</v>
      </c>
      <c r="Q298" s="92" t="s">
        <v>58</v>
      </c>
      <c r="R298" s="92" t="s">
        <v>64</v>
      </c>
      <c r="S298" s="20">
        <v>889.42899999999997</v>
      </c>
    </row>
    <row r="299" spans="1:19" x14ac:dyDescent="0.15">
      <c r="A299" s="90">
        <v>44375</v>
      </c>
      <c r="B299" s="90" t="str">
        <f t="shared" si="38"/>
        <v>juin</v>
      </c>
      <c r="C299" s="90" t="str">
        <f t="shared" si="39"/>
        <v>2021</v>
      </c>
      <c r="D299" s="90" t="str">
        <f t="shared" si="40"/>
        <v>juin2021</v>
      </c>
      <c r="E299" s="91" t="s">
        <v>210</v>
      </c>
      <c r="F299" s="91">
        <v>300</v>
      </c>
      <c r="G299" s="94">
        <f t="shared" si="41"/>
        <v>0.3</v>
      </c>
      <c r="H299" s="92" t="s">
        <v>46</v>
      </c>
      <c r="I299" s="96">
        <f t="shared" si="36"/>
        <v>0.3</v>
      </c>
      <c r="J299" s="96">
        <f t="shared" si="37"/>
        <v>0.7</v>
      </c>
      <c r="K299" s="92">
        <f>VLOOKUP(H299,'Taux émission CO2e'!$A$5:$D$16,4,FALSE)</f>
        <v>0.16</v>
      </c>
      <c r="L299" s="93">
        <f t="shared" si="42"/>
        <v>5.4804383999999997</v>
      </c>
      <c r="M299" s="92">
        <f>VLOOKUP(H299,'Taux émission CO2e'!$A$20:$D$31,4,FALSE)</f>
        <v>6.7400000000000002E-2</v>
      </c>
      <c r="N299" s="105">
        <f t="shared" si="43"/>
        <v>5.386814244</v>
      </c>
      <c r="O299" s="93">
        <f t="shared" si="44"/>
        <v>10.867252644000001</v>
      </c>
      <c r="P299" s="92">
        <v>166</v>
      </c>
      <c r="Q299" s="92" t="s">
        <v>91</v>
      </c>
      <c r="R299" s="92" t="s">
        <v>55</v>
      </c>
      <c r="S299" s="20">
        <v>380.58600000000001</v>
      </c>
    </row>
    <row r="300" spans="1:19" x14ac:dyDescent="0.15">
      <c r="A300" s="90">
        <v>44376</v>
      </c>
      <c r="B300" s="90" t="str">
        <f t="shared" si="38"/>
        <v>juin</v>
      </c>
      <c r="C300" s="90" t="str">
        <f t="shared" si="39"/>
        <v>2021</v>
      </c>
      <c r="D300" s="90" t="str">
        <f t="shared" si="40"/>
        <v>juin2021</v>
      </c>
      <c r="E300" s="91" t="s">
        <v>211</v>
      </c>
      <c r="F300" s="91">
        <v>300</v>
      </c>
      <c r="G300" s="94">
        <f t="shared" si="41"/>
        <v>0.3</v>
      </c>
      <c r="H300" s="92" t="s">
        <v>46</v>
      </c>
      <c r="I300" s="96">
        <f t="shared" si="36"/>
        <v>0.3</v>
      </c>
      <c r="J300" s="96">
        <f t="shared" si="37"/>
        <v>0.7</v>
      </c>
      <c r="K300" s="92">
        <f>VLOOKUP(H300,'Taux émission CO2e'!$A$5:$D$16,4,FALSE)</f>
        <v>0.16</v>
      </c>
      <c r="L300" s="93">
        <f t="shared" si="42"/>
        <v>3.6276336000000002</v>
      </c>
      <c r="M300" s="92">
        <f>VLOOKUP(H300,'Taux émission CO2e'!$A$20:$D$31,4,FALSE)</f>
        <v>6.7400000000000002E-2</v>
      </c>
      <c r="N300" s="105">
        <f t="shared" si="43"/>
        <v>3.565661526</v>
      </c>
      <c r="O300" s="93">
        <f t="shared" si="44"/>
        <v>7.1932951260000006</v>
      </c>
      <c r="P300" s="92">
        <v>125</v>
      </c>
      <c r="Q300" s="92" t="s">
        <v>92</v>
      </c>
      <c r="R300" s="92" t="s">
        <v>55</v>
      </c>
      <c r="S300" s="20">
        <v>251.91900000000001</v>
      </c>
    </row>
    <row r="301" spans="1:19" x14ac:dyDescent="0.15">
      <c r="A301" s="90">
        <v>44376</v>
      </c>
      <c r="B301" s="90" t="str">
        <f t="shared" si="38"/>
        <v>juin</v>
      </c>
      <c r="C301" s="90" t="str">
        <f t="shared" si="39"/>
        <v>2021</v>
      </c>
      <c r="D301" s="90" t="str">
        <f t="shared" si="40"/>
        <v>juin2021</v>
      </c>
      <c r="E301" s="92" t="s">
        <v>212</v>
      </c>
      <c r="F301" s="91">
        <v>300</v>
      </c>
      <c r="G301" s="94">
        <f t="shared" si="41"/>
        <v>0.3</v>
      </c>
      <c r="H301" s="92" t="s">
        <v>45</v>
      </c>
      <c r="I301" s="96">
        <f t="shared" si="36"/>
        <v>0.3</v>
      </c>
      <c r="J301" s="96">
        <f t="shared" si="37"/>
        <v>0.7</v>
      </c>
      <c r="K301" s="92">
        <f>VLOOKUP(H301,'Taux émission CO2e'!$A$5:$D$16,4,FALSE)</f>
        <v>0.16</v>
      </c>
      <c r="L301" s="93">
        <f t="shared" si="42"/>
        <v>3.6040031999999997</v>
      </c>
      <c r="M301" s="92">
        <f>VLOOKUP(H301,'Taux émission CO2e'!$A$20:$D$31,4,FALSE)</f>
        <v>6.7400000000000002E-2</v>
      </c>
      <c r="N301" s="105">
        <f t="shared" si="43"/>
        <v>3.5424348119999998</v>
      </c>
      <c r="O301" s="93">
        <f t="shared" si="44"/>
        <v>7.1464380119999991</v>
      </c>
      <c r="P301" s="92">
        <v>125</v>
      </c>
      <c r="Q301" s="92" t="s">
        <v>89</v>
      </c>
      <c r="R301" s="92" t="s">
        <v>55</v>
      </c>
      <c r="S301" s="20">
        <v>250.27799999999999</v>
      </c>
    </row>
    <row r="302" spans="1:19" x14ac:dyDescent="0.15">
      <c r="A302" s="90">
        <v>44376</v>
      </c>
      <c r="B302" s="90" t="str">
        <f t="shared" si="38"/>
        <v>juin</v>
      </c>
      <c r="C302" s="90" t="str">
        <f t="shared" si="39"/>
        <v>2021</v>
      </c>
      <c r="D302" s="90" t="str">
        <f t="shared" si="40"/>
        <v>juin2021</v>
      </c>
      <c r="E302" s="92" t="s">
        <v>213</v>
      </c>
      <c r="F302" s="91">
        <v>300</v>
      </c>
      <c r="G302" s="94">
        <f t="shared" si="41"/>
        <v>0.3</v>
      </c>
      <c r="H302" s="92" t="s">
        <v>45</v>
      </c>
      <c r="I302" s="96">
        <f t="shared" si="36"/>
        <v>0.3</v>
      </c>
      <c r="J302" s="96">
        <f t="shared" si="37"/>
        <v>0.7</v>
      </c>
      <c r="K302" s="92">
        <f>VLOOKUP(H302,'Taux émission CO2e'!$A$5:$D$16,4,FALSE)</f>
        <v>0.16</v>
      </c>
      <c r="L302" s="93">
        <f t="shared" si="42"/>
        <v>4.0052879999999993</v>
      </c>
      <c r="M302" s="92">
        <f>VLOOKUP(H302,'Taux émission CO2e'!$A$20:$D$31,4,FALSE)</f>
        <v>6.7400000000000002E-2</v>
      </c>
      <c r="N302" s="105">
        <f t="shared" si="43"/>
        <v>3.9368643299999997</v>
      </c>
      <c r="O302" s="93">
        <f t="shared" si="44"/>
        <v>7.942152329999999</v>
      </c>
      <c r="P302" s="92">
        <v>158</v>
      </c>
      <c r="Q302" s="92" t="s">
        <v>74</v>
      </c>
      <c r="R302" s="92" t="s">
        <v>55</v>
      </c>
      <c r="S302" s="20">
        <v>278.14499999999998</v>
      </c>
    </row>
    <row r="303" spans="1:19" x14ac:dyDescent="0.15">
      <c r="A303" s="90">
        <v>44377</v>
      </c>
      <c r="B303" s="90" t="str">
        <f t="shared" si="38"/>
        <v>juin</v>
      </c>
      <c r="C303" s="90" t="str">
        <f t="shared" si="39"/>
        <v>2021</v>
      </c>
      <c r="D303" s="90" t="str">
        <f t="shared" si="40"/>
        <v>juin2021</v>
      </c>
      <c r="E303" s="92" t="s">
        <v>214</v>
      </c>
      <c r="F303" s="91">
        <v>300</v>
      </c>
      <c r="G303" s="94">
        <f t="shared" si="41"/>
        <v>0.3</v>
      </c>
      <c r="H303" s="92" t="s">
        <v>45</v>
      </c>
      <c r="I303" s="96">
        <f t="shared" si="36"/>
        <v>0.3</v>
      </c>
      <c r="J303" s="96">
        <f t="shared" si="37"/>
        <v>0.7</v>
      </c>
      <c r="K303" s="92">
        <f>VLOOKUP(H303,'Taux émission CO2e'!$A$5:$D$16,4,FALSE)</f>
        <v>0.16</v>
      </c>
      <c r="L303" s="93">
        <f t="shared" si="42"/>
        <v>3.8354832000000001</v>
      </c>
      <c r="M303" s="92">
        <f>VLOOKUP(H303,'Taux émission CO2e'!$A$20:$D$31,4,FALSE)</f>
        <v>6.7400000000000002E-2</v>
      </c>
      <c r="N303" s="105">
        <f t="shared" si="43"/>
        <v>3.769960362</v>
      </c>
      <c r="O303" s="93">
        <f t="shared" si="44"/>
        <v>7.6054435619999996</v>
      </c>
      <c r="P303" s="92">
        <v>158</v>
      </c>
      <c r="Q303" s="92" t="s">
        <v>77</v>
      </c>
      <c r="R303" s="92" t="s">
        <v>55</v>
      </c>
      <c r="S303" s="20">
        <v>266.35300000000001</v>
      </c>
    </row>
    <row r="304" spans="1:19" x14ac:dyDescent="0.15">
      <c r="A304" s="90">
        <v>44378</v>
      </c>
      <c r="B304" s="90" t="str">
        <f t="shared" si="38"/>
        <v>juillet</v>
      </c>
      <c r="C304" s="90" t="str">
        <f t="shared" si="39"/>
        <v>2021</v>
      </c>
      <c r="D304" s="90" t="str">
        <f t="shared" si="40"/>
        <v>juillet2021</v>
      </c>
      <c r="E304" s="92" t="s">
        <v>215</v>
      </c>
      <c r="F304" s="91">
        <v>300</v>
      </c>
      <c r="G304" s="94">
        <f t="shared" si="41"/>
        <v>0.3</v>
      </c>
      <c r="H304" s="92" t="s">
        <v>45</v>
      </c>
      <c r="I304" s="96">
        <f t="shared" si="36"/>
        <v>0.3</v>
      </c>
      <c r="J304" s="96">
        <f t="shared" si="37"/>
        <v>0.7</v>
      </c>
      <c r="K304" s="92">
        <f>VLOOKUP(H304,'Taux émission CO2e'!$A$5:$D$16,4,FALSE)</f>
        <v>0.16</v>
      </c>
      <c r="L304" s="93">
        <f t="shared" si="42"/>
        <v>7.4372256000000005</v>
      </c>
      <c r="M304" s="92">
        <f>VLOOKUP(H304,'Taux émission CO2e'!$A$20:$D$31,4,FALSE)</f>
        <v>6.7400000000000002E-2</v>
      </c>
      <c r="N304" s="105">
        <f t="shared" si="43"/>
        <v>7.3101729960000004</v>
      </c>
      <c r="O304" s="93">
        <f t="shared" si="44"/>
        <v>14.747398596</v>
      </c>
      <c r="P304" s="92">
        <v>165</v>
      </c>
      <c r="Q304" s="92" t="s">
        <v>52</v>
      </c>
      <c r="R304" s="92" t="s">
        <v>55</v>
      </c>
      <c r="S304" s="20">
        <v>516.47400000000005</v>
      </c>
    </row>
    <row r="305" spans="1:19" x14ac:dyDescent="0.15">
      <c r="A305" s="90">
        <v>44378</v>
      </c>
      <c r="B305" s="90" t="str">
        <f t="shared" si="38"/>
        <v>juillet</v>
      </c>
      <c r="C305" s="90" t="str">
        <f t="shared" si="39"/>
        <v>2021</v>
      </c>
      <c r="D305" s="90" t="str">
        <f t="shared" si="40"/>
        <v>juillet2021</v>
      </c>
      <c r="E305" s="92" t="s">
        <v>216</v>
      </c>
      <c r="F305" s="91">
        <v>400</v>
      </c>
      <c r="G305" s="94">
        <f t="shared" si="41"/>
        <v>0.4</v>
      </c>
      <c r="H305" s="92" t="s">
        <v>46</v>
      </c>
      <c r="I305" s="96">
        <f t="shared" si="36"/>
        <v>0.3</v>
      </c>
      <c r="J305" s="96">
        <f t="shared" si="37"/>
        <v>0.7</v>
      </c>
      <c r="K305" s="92">
        <f>VLOOKUP(H305,'Taux émission CO2e'!$A$5:$D$16,4,FALSE)</f>
        <v>0.16</v>
      </c>
      <c r="L305" s="93">
        <f t="shared" si="42"/>
        <v>10.397299200000001</v>
      </c>
      <c r="M305" s="92">
        <f>VLOOKUP(H305,'Taux émission CO2e'!$A$20:$D$31,4,FALSE)</f>
        <v>6.7400000000000002E-2</v>
      </c>
      <c r="N305" s="105">
        <f t="shared" si="43"/>
        <v>10.219678671999999</v>
      </c>
      <c r="O305" s="93">
        <f t="shared" si="44"/>
        <v>20.616977872</v>
      </c>
      <c r="P305" s="92">
        <v>239</v>
      </c>
      <c r="Q305" s="92" t="s">
        <v>62</v>
      </c>
      <c r="R305" s="92" t="s">
        <v>55</v>
      </c>
      <c r="S305" s="20">
        <v>541.52599999999995</v>
      </c>
    </row>
    <row r="306" spans="1:19" x14ac:dyDescent="0.15">
      <c r="A306" s="90">
        <v>44379</v>
      </c>
      <c r="B306" s="90" t="str">
        <f t="shared" si="38"/>
        <v>juillet</v>
      </c>
      <c r="C306" s="90" t="str">
        <f t="shared" si="39"/>
        <v>2021</v>
      </c>
      <c r="D306" s="90" t="str">
        <f t="shared" si="40"/>
        <v>juillet2021</v>
      </c>
      <c r="E306" s="92" t="s">
        <v>217</v>
      </c>
      <c r="F306" s="91">
        <v>100</v>
      </c>
      <c r="G306" s="94">
        <f t="shared" si="41"/>
        <v>0.1</v>
      </c>
      <c r="H306" s="92" t="s">
        <v>38</v>
      </c>
      <c r="I306" s="96">
        <f t="shared" si="36"/>
        <v>1</v>
      </c>
      <c r="J306" s="96">
        <f t="shared" si="37"/>
        <v>0</v>
      </c>
      <c r="K306" s="92">
        <f>VLOOKUP(H306,'Taux émission CO2e'!$A$5:$D$16,4,FALSE)</f>
        <v>0.24099999999999999</v>
      </c>
      <c r="L306" s="93">
        <f t="shared" si="42"/>
        <v>2.0884578</v>
      </c>
      <c r="M306" s="92">
        <f>VLOOKUP(H306,'Taux émission CO2e'!$A$20:$D$31,4,FALSE)</f>
        <v>0</v>
      </c>
      <c r="N306" s="105">
        <f t="shared" si="43"/>
        <v>0</v>
      </c>
      <c r="O306" s="93">
        <f t="shared" si="44"/>
        <v>2.0884578</v>
      </c>
      <c r="P306" s="92">
        <v>130</v>
      </c>
      <c r="Q306" s="92" t="s">
        <v>58</v>
      </c>
      <c r="R306" s="92" t="s">
        <v>218</v>
      </c>
      <c r="S306" s="20">
        <v>86.658000000000001</v>
      </c>
    </row>
    <row r="307" spans="1:19" x14ac:dyDescent="0.15">
      <c r="A307" s="90">
        <v>44379</v>
      </c>
      <c r="B307" s="90" t="str">
        <f t="shared" si="38"/>
        <v>juillet</v>
      </c>
      <c r="C307" s="90" t="str">
        <f t="shared" si="39"/>
        <v>2021</v>
      </c>
      <c r="D307" s="90" t="str">
        <f t="shared" si="40"/>
        <v>juillet2021</v>
      </c>
      <c r="E307" s="92" t="s">
        <v>219</v>
      </c>
      <c r="F307" s="91">
        <v>200</v>
      </c>
      <c r="G307" s="94">
        <f t="shared" si="41"/>
        <v>0.2</v>
      </c>
      <c r="H307" s="92" t="s">
        <v>46</v>
      </c>
      <c r="I307" s="96">
        <f t="shared" si="36"/>
        <v>0.3</v>
      </c>
      <c r="J307" s="96">
        <f t="shared" si="37"/>
        <v>0.7</v>
      </c>
      <c r="K307" s="92">
        <f>VLOOKUP(H307,'Taux émission CO2e'!$A$5:$D$16,4,FALSE)</f>
        <v>0.16</v>
      </c>
      <c r="L307" s="93">
        <f t="shared" si="42"/>
        <v>7.1082720000000013</v>
      </c>
      <c r="M307" s="92">
        <f>VLOOKUP(H307,'Taux émission CO2e'!$A$20:$D$31,4,FALSE)</f>
        <v>6.7400000000000002E-2</v>
      </c>
      <c r="N307" s="105">
        <f t="shared" si="43"/>
        <v>6.9868390200000006</v>
      </c>
      <c r="O307" s="93">
        <f t="shared" si="44"/>
        <v>14.095111020000001</v>
      </c>
      <c r="P307" s="92">
        <v>159</v>
      </c>
      <c r="Q307" s="92" t="s">
        <v>58</v>
      </c>
      <c r="R307" s="92" t="s">
        <v>59</v>
      </c>
      <c r="S307" s="20">
        <v>740.44500000000005</v>
      </c>
    </row>
    <row r="308" spans="1:19" x14ac:dyDescent="0.15">
      <c r="A308" s="90">
        <v>44382</v>
      </c>
      <c r="B308" s="90" t="str">
        <f t="shared" si="38"/>
        <v>juillet</v>
      </c>
      <c r="C308" s="90" t="str">
        <f t="shared" si="39"/>
        <v>2021</v>
      </c>
      <c r="D308" s="90" t="str">
        <f t="shared" si="40"/>
        <v>juillet2021</v>
      </c>
      <c r="E308" s="92" t="s">
        <v>220</v>
      </c>
      <c r="F308" s="91">
        <v>300</v>
      </c>
      <c r="G308" s="94">
        <f t="shared" si="41"/>
        <v>0.3</v>
      </c>
      <c r="H308" s="92" t="s">
        <v>46</v>
      </c>
      <c r="I308" s="96">
        <f t="shared" si="36"/>
        <v>0.3</v>
      </c>
      <c r="J308" s="96">
        <f t="shared" si="37"/>
        <v>0.7</v>
      </c>
      <c r="K308" s="92">
        <f>VLOOKUP(H308,'Taux émission CO2e'!$A$5:$D$16,4,FALSE)</f>
        <v>0.16</v>
      </c>
      <c r="L308" s="93">
        <f t="shared" si="42"/>
        <v>3.6276336000000002</v>
      </c>
      <c r="M308" s="92">
        <f>VLOOKUP(H308,'Taux émission CO2e'!$A$20:$D$31,4,FALSE)</f>
        <v>6.7400000000000002E-2</v>
      </c>
      <c r="N308" s="105">
        <f t="shared" si="43"/>
        <v>3.565661526</v>
      </c>
      <c r="O308" s="93">
        <f t="shared" si="44"/>
        <v>7.1932951260000006</v>
      </c>
      <c r="P308" s="92">
        <v>125</v>
      </c>
      <c r="Q308" s="92" t="s">
        <v>92</v>
      </c>
      <c r="R308" s="92" t="s">
        <v>55</v>
      </c>
      <c r="S308" s="20">
        <v>251.91900000000001</v>
      </c>
    </row>
    <row r="309" spans="1:19" x14ac:dyDescent="0.15">
      <c r="A309" s="90">
        <v>44382</v>
      </c>
      <c r="B309" s="90" t="str">
        <f t="shared" si="38"/>
        <v>juillet</v>
      </c>
      <c r="C309" s="90" t="str">
        <f t="shared" si="39"/>
        <v>2021</v>
      </c>
      <c r="D309" s="90" t="str">
        <f t="shared" si="40"/>
        <v>juillet2021</v>
      </c>
      <c r="E309" s="92" t="s">
        <v>221</v>
      </c>
      <c r="F309" s="91">
        <v>300</v>
      </c>
      <c r="G309" s="94">
        <f t="shared" si="41"/>
        <v>0.3</v>
      </c>
      <c r="H309" s="92" t="s">
        <v>46</v>
      </c>
      <c r="I309" s="96">
        <f t="shared" si="36"/>
        <v>0.3</v>
      </c>
      <c r="J309" s="96">
        <f t="shared" si="37"/>
        <v>0.7</v>
      </c>
      <c r="K309" s="92">
        <f>VLOOKUP(H309,'Taux émission CO2e'!$A$5:$D$16,4,FALSE)</f>
        <v>0.16</v>
      </c>
      <c r="L309" s="93">
        <f t="shared" si="42"/>
        <v>5.4804383999999997</v>
      </c>
      <c r="M309" s="92">
        <f>VLOOKUP(H309,'Taux émission CO2e'!$A$20:$D$31,4,FALSE)</f>
        <v>6.7400000000000002E-2</v>
      </c>
      <c r="N309" s="105">
        <f t="shared" si="43"/>
        <v>5.386814244</v>
      </c>
      <c r="O309" s="93">
        <f t="shared" si="44"/>
        <v>10.867252644000001</v>
      </c>
      <c r="P309" s="92">
        <v>166</v>
      </c>
      <c r="Q309" s="92" t="s">
        <v>91</v>
      </c>
      <c r="R309" s="92" t="s">
        <v>55</v>
      </c>
      <c r="S309" s="20">
        <v>380.58600000000001</v>
      </c>
    </row>
    <row r="310" spans="1:19" x14ac:dyDescent="0.15">
      <c r="A310" s="90">
        <v>44383</v>
      </c>
      <c r="B310" s="90" t="str">
        <f t="shared" si="38"/>
        <v>juillet</v>
      </c>
      <c r="C310" s="90" t="str">
        <f t="shared" si="39"/>
        <v>2021</v>
      </c>
      <c r="D310" s="90" t="str">
        <f t="shared" si="40"/>
        <v>juillet2021</v>
      </c>
      <c r="E310" s="92" t="s">
        <v>222</v>
      </c>
      <c r="F310" s="91">
        <v>300</v>
      </c>
      <c r="G310" s="94">
        <f t="shared" si="41"/>
        <v>0.3</v>
      </c>
      <c r="H310" s="92" t="s">
        <v>45</v>
      </c>
      <c r="I310" s="96">
        <f t="shared" si="36"/>
        <v>0.3</v>
      </c>
      <c r="J310" s="96">
        <f t="shared" si="37"/>
        <v>0.7</v>
      </c>
      <c r="K310" s="92">
        <f>VLOOKUP(H310,'Taux émission CO2e'!$A$5:$D$16,4,FALSE)</f>
        <v>0.16</v>
      </c>
      <c r="L310" s="93">
        <f t="shared" si="42"/>
        <v>3.6040031999999997</v>
      </c>
      <c r="M310" s="92">
        <f>VLOOKUP(H310,'Taux émission CO2e'!$A$20:$D$31,4,FALSE)</f>
        <v>6.7400000000000002E-2</v>
      </c>
      <c r="N310" s="105">
        <f t="shared" si="43"/>
        <v>3.5424348119999998</v>
      </c>
      <c r="O310" s="93">
        <f t="shared" si="44"/>
        <v>7.1464380119999991</v>
      </c>
      <c r="P310" s="92">
        <v>158</v>
      </c>
      <c r="Q310" s="92" t="s">
        <v>89</v>
      </c>
      <c r="R310" s="92" t="s">
        <v>55</v>
      </c>
      <c r="S310" s="20">
        <v>250.27799999999999</v>
      </c>
    </row>
    <row r="311" spans="1:19" x14ac:dyDescent="0.15">
      <c r="A311" s="90">
        <v>44383</v>
      </c>
      <c r="B311" s="90" t="str">
        <f t="shared" si="38"/>
        <v>juillet</v>
      </c>
      <c r="C311" s="90" t="str">
        <f t="shared" si="39"/>
        <v>2021</v>
      </c>
      <c r="D311" s="90" t="str">
        <f t="shared" si="40"/>
        <v>juillet2021</v>
      </c>
      <c r="E311" s="92" t="s">
        <v>223</v>
      </c>
      <c r="F311" s="91">
        <v>300</v>
      </c>
      <c r="G311" s="94">
        <f t="shared" si="41"/>
        <v>0.3</v>
      </c>
      <c r="H311" s="92" t="s">
        <v>45</v>
      </c>
      <c r="I311" s="96">
        <f t="shared" si="36"/>
        <v>0.3</v>
      </c>
      <c r="J311" s="96">
        <f t="shared" si="37"/>
        <v>0.7</v>
      </c>
      <c r="K311" s="92">
        <f>VLOOKUP(H311,'Taux émission CO2e'!$A$5:$D$16,4,FALSE)</f>
        <v>0.16</v>
      </c>
      <c r="L311" s="93">
        <f t="shared" si="42"/>
        <v>4.0052879999999993</v>
      </c>
      <c r="M311" s="92">
        <f>VLOOKUP(H311,'Taux émission CO2e'!$A$20:$D$31,4,FALSE)</f>
        <v>6.7400000000000002E-2</v>
      </c>
      <c r="N311" s="105">
        <f t="shared" si="43"/>
        <v>3.9368643299999997</v>
      </c>
      <c r="O311" s="93">
        <f t="shared" si="44"/>
        <v>7.942152329999999</v>
      </c>
      <c r="P311" s="92">
        <v>158</v>
      </c>
      <c r="Q311" s="92" t="s">
        <v>74</v>
      </c>
      <c r="R311" s="92" t="s">
        <v>55</v>
      </c>
      <c r="S311" s="20">
        <v>278.14499999999998</v>
      </c>
    </row>
    <row r="312" spans="1:19" x14ac:dyDescent="0.15">
      <c r="A312" s="90">
        <v>44384</v>
      </c>
      <c r="B312" s="90" t="str">
        <f t="shared" si="38"/>
        <v>juillet</v>
      </c>
      <c r="C312" s="90" t="str">
        <f t="shared" si="39"/>
        <v>2021</v>
      </c>
      <c r="D312" s="90" t="str">
        <f t="shared" si="40"/>
        <v>juillet2021</v>
      </c>
      <c r="E312" s="92" t="s">
        <v>224</v>
      </c>
      <c r="F312" s="91">
        <v>300</v>
      </c>
      <c r="G312" s="94">
        <f t="shared" si="41"/>
        <v>0.3</v>
      </c>
      <c r="H312" s="92" t="s">
        <v>46</v>
      </c>
      <c r="I312" s="96">
        <f t="shared" si="36"/>
        <v>0.3</v>
      </c>
      <c r="J312" s="96">
        <f t="shared" si="37"/>
        <v>0.7</v>
      </c>
      <c r="K312" s="92">
        <f>VLOOKUP(H312,'Taux émission CO2e'!$A$5:$D$16,4,FALSE)</f>
        <v>0.16</v>
      </c>
      <c r="L312" s="93">
        <f t="shared" si="42"/>
        <v>3.7158191999999999</v>
      </c>
      <c r="M312" s="92">
        <f>VLOOKUP(H312,'Taux émission CO2e'!$A$20:$D$31,4,FALSE)</f>
        <v>6.7400000000000002E-2</v>
      </c>
      <c r="N312" s="105">
        <f t="shared" si="43"/>
        <v>3.6523406220000001</v>
      </c>
      <c r="O312" s="93">
        <f t="shared" si="44"/>
        <v>7.368159822</v>
      </c>
      <c r="P312" s="92">
        <v>158</v>
      </c>
      <c r="Q312" s="92" t="s">
        <v>102</v>
      </c>
      <c r="R312" s="92" t="s">
        <v>55</v>
      </c>
      <c r="S312" s="20">
        <v>258.04300000000001</v>
      </c>
    </row>
    <row r="313" spans="1:19" x14ac:dyDescent="0.15">
      <c r="A313" s="90">
        <v>44384</v>
      </c>
      <c r="B313" s="90" t="str">
        <f t="shared" si="38"/>
        <v>juillet</v>
      </c>
      <c r="C313" s="90" t="str">
        <f t="shared" si="39"/>
        <v>2021</v>
      </c>
      <c r="D313" s="90" t="str">
        <f t="shared" si="40"/>
        <v>juillet2021</v>
      </c>
      <c r="E313" s="92" t="s">
        <v>225</v>
      </c>
      <c r="F313" s="91">
        <v>300</v>
      </c>
      <c r="G313" s="94">
        <f t="shared" si="41"/>
        <v>0.3</v>
      </c>
      <c r="H313" s="92" t="s">
        <v>45</v>
      </c>
      <c r="I313" s="96">
        <f t="shared" si="36"/>
        <v>0.3</v>
      </c>
      <c r="J313" s="96">
        <f t="shared" si="37"/>
        <v>0.7</v>
      </c>
      <c r="K313" s="92">
        <f>VLOOKUP(H313,'Taux émission CO2e'!$A$5:$D$16,4,FALSE)</f>
        <v>0.16</v>
      </c>
      <c r="L313" s="93">
        <f t="shared" si="42"/>
        <v>3.8354832000000001</v>
      </c>
      <c r="M313" s="92">
        <f>VLOOKUP(H313,'Taux émission CO2e'!$A$20:$D$31,4,FALSE)</f>
        <v>6.7400000000000002E-2</v>
      </c>
      <c r="N313" s="105">
        <f t="shared" si="43"/>
        <v>3.769960362</v>
      </c>
      <c r="O313" s="93">
        <f t="shared" si="44"/>
        <v>7.6054435619999996</v>
      </c>
      <c r="P313" s="92">
        <v>158</v>
      </c>
      <c r="Q313" s="92" t="s">
        <v>77</v>
      </c>
      <c r="R313" s="92" t="s">
        <v>55</v>
      </c>
      <c r="S313" s="20">
        <v>266.35300000000001</v>
      </c>
    </row>
    <row r="314" spans="1:19" x14ac:dyDescent="0.15">
      <c r="A314" s="90">
        <v>44385</v>
      </c>
      <c r="B314" s="90" t="str">
        <f t="shared" si="38"/>
        <v>juillet</v>
      </c>
      <c r="C314" s="90" t="str">
        <f t="shared" si="39"/>
        <v>2021</v>
      </c>
      <c r="D314" s="90" t="str">
        <f t="shared" si="40"/>
        <v>juillet2021</v>
      </c>
      <c r="E314" s="92" t="s">
        <v>226</v>
      </c>
      <c r="F314" s="91">
        <v>300</v>
      </c>
      <c r="G314" s="94">
        <f t="shared" si="41"/>
        <v>0.3</v>
      </c>
      <c r="H314" s="92" t="s">
        <v>46</v>
      </c>
      <c r="I314" s="96">
        <f t="shared" si="36"/>
        <v>0.3</v>
      </c>
      <c r="J314" s="96">
        <f t="shared" si="37"/>
        <v>0.7</v>
      </c>
      <c r="K314" s="92">
        <f>VLOOKUP(H314,'Taux émission CO2e'!$A$5:$D$16,4,FALSE)</f>
        <v>0.16</v>
      </c>
      <c r="L314" s="93">
        <f t="shared" si="42"/>
        <v>4.0103568000000003</v>
      </c>
      <c r="M314" s="92">
        <f>VLOOKUP(H314,'Taux émission CO2e'!$A$20:$D$31,4,FALSE)</f>
        <v>6.7400000000000002E-2</v>
      </c>
      <c r="N314" s="105">
        <f t="shared" si="43"/>
        <v>3.9418465380000001</v>
      </c>
      <c r="O314" s="93">
        <f t="shared" si="44"/>
        <v>7.9522033380000003</v>
      </c>
      <c r="P314" s="92">
        <v>158</v>
      </c>
      <c r="Q314" s="92" t="s">
        <v>90</v>
      </c>
      <c r="R314" s="92" t="s">
        <v>55</v>
      </c>
      <c r="S314" s="20">
        <v>278.49700000000001</v>
      </c>
    </row>
    <row r="315" spans="1:19" x14ac:dyDescent="0.15">
      <c r="A315" s="90">
        <v>44385</v>
      </c>
      <c r="B315" s="90" t="str">
        <f t="shared" si="38"/>
        <v>juillet</v>
      </c>
      <c r="C315" s="90" t="str">
        <f t="shared" si="39"/>
        <v>2021</v>
      </c>
      <c r="D315" s="90" t="str">
        <f t="shared" si="40"/>
        <v>juillet2021</v>
      </c>
      <c r="E315" s="92" t="s">
        <v>227</v>
      </c>
      <c r="F315" s="91">
        <v>300</v>
      </c>
      <c r="G315" s="94">
        <f t="shared" si="41"/>
        <v>0.3</v>
      </c>
      <c r="H315" s="92" t="s">
        <v>46</v>
      </c>
      <c r="I315" s="96">
        <f t="shared" si="36"/>
        <v>0.3</v>
      </c>
      <c r="J315" s="96">
        <f t="shared" si="37"/>
        <v>0.7</v>
      </c>
      <c r="K315" s="92">
        <f>VLOOKUP(H315,'Taux émission CO2e'!$A$5:$D$16,4,FALSE)</f>
        <v>0.16</v>
      </c>
      <c r="L315" s="93">
        <f t="shared" si="42"/>
        <v>7.7979743999999993</v>
      </c>
      <c r="M315" s="92">
        <f>VLOOKUP(H315,'Taux émission CO2e'!$A$20:$D$31,4,FALSE)</f>
        <v>6.7400000000000002E-2</v>
      </c>
      <c r="N315" s="105">
        <f t="shared" si="43"/>
        <v>7.6647590039999995</v>
      </c>
      <c r="O315" s="93">
        <f t="shared" si="44"/>
        <v>15.462733403999998</v>
      </c>
      <c r="P315" s="92">
        <v>196</v>
      </c>
      <c r="Q315" s="92" t="s">
        <v>62</v>
      </c>
      <c r="R315" s="92" t="s">
        <v>55</v>
      </c>
      <c r="S315" s="20">
        <v>541.52599999999995</v>
      </c>
    </row>
    <row r="316" spans="1:19" x14ac:dyDescent="0.15">
      <c r="A316" s="90">
        <v>44385</v>
      </c>
      <c r="B316" s="90" t="str">
        <f t="shared" si="38"/>
        <v>juillet</v>
      </c>
      <c r="C316" s="90" t="str">
        <f t="shared" si="39"/>
        <v>2021</v>
      </c>
      <c r="D316" s="90" t="str">
        <f t="shared" si="40"/>
        <v>juillet2021</v>
      </c>
      <c r="E316" s="92" t="s">
        <v>228</v>
      </c>
      <c r="F316" s="91">
        <v>600</v>
      </c>
      <c r="G316" s="94">
        <f t="shared" si="41"/>
        <v>0.6</v>
      </c>
      <c r="H316" s="92" t="s">
        <v>45</v>
      </c>
      <c r="I316" s="96">
        <f t="shared" si="36"/>
        <v>0.3</v>
      </c>
      <c r="J316" s="96">
        <f t="shared" si="37"/>
        <v>0.7</v>
      </c>
      <c r="K316" s="92">
        <f>VLOOKUP(H316,'Taux émission CO2e'!$A$5:$D$16,4,FALSE)</f>
        <v>0.16</v>
      </c>
      <c r="L316" s="93">
        <f t="shared" si="42"/>
        <v>14.874451200000001</v>
      </c>
      <c r="M316" s="92">
        <f>VLOOKUP(H316,'Taux émission CO2e'!$A$20:$D$31,4,FALSE)</f>
        <v>6.7400000000000002E-2</v>
      </c>
      <c r="N316" s="105">
        <f t="shared" si="43"/>
        <v>14.620345992000001</v>
      </c>
      <c r="O316" s="93">
        <f t="shared" si="44"/>
        <v>29.494797192</v>
      </c>
      <c r="P316" s="92">
        <v>228</v>
      </c>
      <c r="Q316" s="92" t="s">
        <v>52</v>
      </c>
      <c r="R316" s="92" t="s">
        <v>55</v>
      </c>
      <c r="S316" s="20">
        <v>516.47400000000005</v>
      </c>
    </row>
    <row r="317" spans="1:19" x14ac:dyDescent="0.15">
      <c r="A317" s="90">
        <v>44389</v>
      </c>
      <c r="B317" s="90" t="str">
        <f t="shared" si="38"/>
        <v>juillet</v>
      </c>
      <c r="C317" s="90" t="str">
        <f t="shared" si="39"/>
        <v>2021</v>
      </c>
      <c r="D317" s="90" t="str">
        <f t="shared" si="40"/>
        <v>juillet2021</v>
      </c>
      <c r="E317" s="92" t="s">
        <v>229</v>
      </c>
      <c r="F317" s="91">
        <v>80</v>
      </c>
      <c r="G317" s="94">
        <f t="shared" si="41"/>
        <v>0.08</v>
      </c>
      <c r="H317" s="92" t="s">
        <v>38</v>
      </c>
      <c r="I317" s="96">
        <f t="shared" si="36"/>
        <v>1</v>
      </c>
      <c r="J317" s="96">
        <f t="shared" si="37"/>
        <v>0</v>
      </c>
      <c r="K317" s="92">
        <f>VLOOKUP(H317,'Taux émission CO2e'!$A$5:$D$16,4,FALSE)</f>
        <v>0.24099999999999999</v>
      </c>
      <c r="L317" s="93">
        <f t="shared" si="42"/>
        <v>1.1896723999999999</v>
      </c>
      <c r="M317" s="92">
        <f>VLOOKUP(H317,'Taux émission CO2e'!$A$20:$D$31,4,FALSE)</f>
        <v>0</v>
      </c>
      <c r="N317" s="105">
        <f t="shared" si="43"/>
        <v>0</v>
      </c>
      <c r="O317" s="93">
        <f t="shared" si="44"/>
        <v>1.1896723999999999</v>
      </c>
      <c r="P317" s="92">
        <v>80</v>
      </c>
      <c r="Q317" s="92" t="s">
        <v>58</v>
      </c>
      <c r="R317" s="92" t="s">
        <v>230</v>
      </c>
      <c r="S317" s="20">
        <v>61.704999999999998</v>
      </c>
    </row>
    <row r="318" spans="1:19" x14ac:dyDescent="0.15">
      <c r="A318" s="90">
        <v>44389</v>
      </c>
      <c r="B318" s="90" t="str">
        <f t="shared" si="38"/>
        <v>juillet</v>
      </c>
      <c r="C318" s="90" t="str">
        <f t="shared" si="39"/>
        <v>2021</v>
      </c>
      <c r="D318" s="90" t="str">
        <f t="shared" si="40"/>
        <v>juillet2021</v>
      </c>
      <c r="E318" s="92" t="s">
        <v>231</v>
      </c>
      <c r="F318" s="91">
        <v>200</v>
      </c>
      <c r="G318" s="94">
        <f t="shared" si="41"/>
        <v>0.2</v>
      </c>
      <c r="H318" s="92" t="s">
        <v>46</v>
      </c>
      <c r="I318" s="96">
        <f t="shared" si="36"/>
        <v>0.3</v>
      </c>
      <c r="J318" s="96">
        <f t="shared" si="37"/>
        <v>0.7</v>
      </c>
      <c r="K318" s="92">
        <f>VLOOKUP(H318,'Taux émission CO2e'!$A$5:$D$16,4,FALSE)</f>
        <v>0.16</v>
      </c>
      <c r="L318" s="93">
        <f t="shared" si="42"/>
        <v>7.1082720000000013</v>
      </c>
      <c r="M318" s="92">
        <f>VLOOKUP(H318,'Taux émission CO2e'!$A$20:$D$31,4,FALSE)</f>
        <v>6.7400000000000002E-2</v>
      </c>
      <c r="N318" s="105">
        <f t="shared" si="43"/>
        <v>6.9868390200000006</v>
      </c>
      <c r="O318" s="93">
        <f t="shared" si="44"/>
        <v>14.095111020000001</v>
      </c>
      <c r="P318" s="92">
        <v>159</v>
      </c>
      <c r="Q318" s="92" t="s">
        <v>58</v>
      </c>
      <c r="R318" s="92" t="s">
        <v>59</v>
      </c>
      <c r="S318" s="20">
        <v>740.44500000000005</v>
      </c>
    </row>
    <row r="319" spans="1:19" x14ac:dyDescent="0.15">
      <c r="A319" s="90">
        <v>44389</v>
      </c>
      <c r="B319" s="90" t="str">
        <f t="shared" si="38"/>
        <v>juillet</v>
      </c>
      <c r="C319" s="90" t="str">
        <f t="shared" si="39"/>
        <v>2021</v>
      </c>
      <c r="D319" s="90" t="str">
        <f t="shared" si="40"/>
        <v>juillet2021</v>
      </c>
      <c r="E319" s="92" t="s">
        <v>232</v>
      </c>
      <c r="F319" s="91">
        <v>300</v>
      </c>
      <c r="G319" s="94">
        <f t="shared" si="41"/>
        <v>0.3</v>
      </c>
      <c r="H319" s="92" t="s">
        <v>46</v>
      </c>
      <c r="I319" s="96">
        <f t="shared" si="36"/>
        <v>0.3</v>
      </c>
      <c r="J319" s="96">
        <f t="shared" si="37"/>
        <v>0.7</v>
      </c>
      <c r="K319" s="92">
        <f>VLOOKUP(H319,'Taux émission CO2e'!$A$5:$D$16,4,FALSE)</f>
        <v>0.16</v>
      </c>
      <c r="L319" s="93">
        <f t="shared" si="42"/>
        <v>5.4804383999999997</v>
      </c>
      <c r="M319" s="92">
        <f>VLOOKUP(H319,'Taux émission CO2e'!$A$20:$D$31,4,FALSE)</f>
        <v>6.7400000000000002E-2</v>
      </c>
      <c r="N319" s="105">
        <f t="shared" si="43"/>
        <v>5.386814244</v>
      </c>
      <c r="O319" s="93">
        <f t="shared" si="44"/>
        <v>10.867252644000001</v>
      </c>
      <c r="P319" s="92">
        <v>166</v>
      </c>
      <c r="Q319" s="92" t="s">
        <v>91</v>
      </c>
      <c r="R319" s="92" t="s">
        <v>55</v>
      </c>
      <c r="S319" s="20">
        <v>380.58600000000001</v>
      </c>
    </row>
    <row r="320" spans="1:19" x14ac:dyDescent="0.15">
      <c r="A320" s="90">
        <v>44390</v>
      </c>
      <c r="B320" s="90" t="str">
        <f t="shared" si="38"/>
        <v>juillet</v>
      </c>
      <c r="C320" s="90" t="str">
        <f t="shared" si="39"/>
        <v>2021</v>
      </c>
      <c r="D320" s="90" t="str">
        <f t="shared" si="40"/>
        <v>juillet2021</v>
      </c>
      <c r="E320" s="92" t="s">
        <v>233</v>
      </c>
      <c r="F320" s="91">
        <v>200</v>
      </c>
      <c r="G320" s="94">
        <f t="shared" si="41"/>
        <v>0.2</v>
      </c>
      <c r="H320" s="92" t="s">
        <v>46</v>
      </c>
      <c r="I320" s="96">
        <f t="shared" si="36"/>
        <v>0.3</v>
      </c>
      <c r="J320" s="96">
        <f t="shared" si="37"/>
        <v>0.7</v>
      </c>
      <c r="K320" s="92">
        <f>VLOOKUP(H320,'Taux émission CO2e'!$A$5:$D$16,4,FALSE)</f>
        <v>0.16</v>
      </c>
      <c r="L320" s="93">
        <f t="shared" si="42"/>
        <v>2.4184224000000003</v>
      </c>
      <c r="M320" s="92">
        <f>VLOOKUP(H320,'Taux émission CO2e'!$A$20:$D$31,4,FALSE)</f>
        <v>6.7400000000000002E-2</v>
      </c>
      <c r="N320" s="105">
        <f t="shared" si="43"/>
        <v>2.3771076840000003</v>
      </c>
      <c r="O320" s="93">
        <f t="shared" si="44"/>
        <v>4.795530084000001</v>
      </c>
      <c r="P320" s="92">
        <v>125</v>
      </c>
      <c r="Q320" s="92" t="s">
        <v>92</v>
      </c>
      <c r="R320" s="92" t="s">
        <v>55</v>
      </c>
      <c r="S320" s="20">
        <v>251.91900000000001</v>
      </c>
    </row>
    <row r="321" spans="1:19" x14ac:dyDescent="0.15">
      <c r="A321" s="90">
        <v>44390</v>
      </c>
      <c r="B321" s="90" t="str">
        <f t="shared" si="38"/>
        <v>juillet</v>
      </c>
      <c r="C321" s="90" t="str">
        <f t="shared" si="39"/>
        <v>2021</v>
      </c>
      <c r="D321" s="90" t="str">
        <f t="shared" si="40"/>
        <v>juillet2021</v>
      </c>
      <c r="E321" s="92" t="s">
        <v>234</v>
      </c>
      <c r="F321" s="91">
        <v>300</v>
      </c>
      <c r="G321" s="94">
        <f t="shared" si="41"/>
        <v>0.3</v>
      </c>
      <c r="H321" s="92" t="s">
        <v>45</v>
      </c>
      <c r="I321" s="96">
        <f t="shared" si="36"/>
        <v>0.3</v>
      </c>
      <c r="J321" s="96">
        <f t="shared" si="37"/>
        <v>0.7</v>
      </c>
      <c r="K321" s="92">
        <f>VLOOKUP(H321,'Taux émission CO2e'!$A$5:$D$16,4,FALSE)</f>
        <v>0.16</v>
      </c>
      <c r="L321" s="93">
        <f t="shared" si="42"/>
        <v>3.6040031999999997</v>
      </c>
      <c r="M321" s="92">
        <f>VLOOKUP(H321,'Taux émission CO2e'!$A$20:$D$31,4,FALSE)</f>
        <v>6.7400000000000002E-2</v>
      </c>
      <c r="N321" s="105">
        <f t="shared" si="43"/>
        <v>3.5424348119999998</v>
      </c>
      <c r="O321" s="93">
        <f t="shared" si="44"/>
        <v>7.1464380119999991</v>
      </c>
      <c r="P321" s="92">
        <v>125</v>
      </c>
      <c r="Q321" s="92" t="s">
        <v>89</v>
      </c>
      <c r="R321" s="92" t="s">
        <v>55</v>
      </c>
      <c r="S321" s="20">
        <v>250.27799999999999</v>
      </c>
    </row>
    <row r="322" spans="1:19" x14ac:dyDescent="0.15">
      <c r="A322" s="90">
        <v>44390</v>
      </c>
      <c r="B322" s="90" t="str">
        <f t="shared" si="38"/>
        <v>juillet</v>
      </c>
      <c r="C322" s="90" t="str">
        <f t="shared" si="39"/>
        <v>2021</v>
      </c>
      <c r="D322" s="90" t="str">
        <f t="shared" si="40"/>
        <v>juillet2021</v>
      </c>
      <c r="E322" s="92" t="s">
        <v>235</v>
      </c>
      <c r="F322" s="91">
        <v>300</v>
      </c>
      <c r="G322" s="94">
        <f t="shared" si="41"/>
        <v>0.3</v>
      </c>
      <c r="H322" s="92" t="s">
        <v>45</v>
      </c>
      <c r="I322" s="96">
        <f t="shared" ref="I322:I385" si="45">VLOOKUP(H322,Segment1,2,FALSE)</f>
        <v>0.3</v>
      </c>
      <c r="J322" s="96">
        <f t="shared" ref="J322:J385" si="46">VLOOKUP(H322,Segment2,2,FALSE)</f>
        <v>0.7</v>
      </c>
      <c r="K322" s="92">
        <f>VLOOKUP(H322,'Taux émission CO2e'!$A$5:$D$16,4,FALSE)</f>
        <v>0.16</v>
      </c>
      <c r="L322" s="93">
        <f t="shared" si="42"/>
        <v>3.8354832000000001</v>
      </c>
      <c r="M322" s="92">
        <f>VLOOKUP(H322,'Taux émission CO2e'!$A$20:$D$31,4,FALSE)</f>
        <v>6.7400000000000002E-2</v>
      </c>
      <c r="N322" s="105">
        <f t="shared" si="43"/>
        <v>3.769960362</v>
      </c>
      <c r="O322" s="93">
        <f t="shared" si="44"/>
        <v>7.6054435619999996</v>
      </c>
      <c r="P322" s="92">
        <v>125</v>
      </c>
      <c r="Q322" s="92" t="s">
        <v>77</v>
      </c>
      <c r="R322" s="92" t="s">
        <v>55</v>
      </c>
      <c r="S322" s="20">
        <v>266.35300000000001</v>
      </c>
    </row>
    <row r="323" spans="1:19" x14ac:dyDescent="0.15">
      <c r="A323" s="90">
        <v>44390</v>
      </c>
      <c r="B323" s="90" t="str">
        <f t="shared" ref="B323:B386" si="47">TEXT(A323,"mmmm")</f>
        <v>juillet</v>
      </c>
      <c r="C323" s="90" t="str">
        <f t="shared" ref="C323:C386" si="48">TEXT(A323,"aaaa")</f>
        <v>2021</v>
      </c>
      <c r="D323" s="90" t="str">
        <f t="shared" ref="D323:D386" si="49">B323&amp;C323</f>
        <v>juillet2021</v>
      </c>
      <c r="E323" s="92" t="s">
        <v>236</v>
      </c>
      <c r="F323" s="91">
        <v>300</v>
      </c>
      <c r="G323" s="94">
        <f t="shared" ref="G323:G386" si="50">F323/1000</f>
        <v>0.3</v>
      </c>
      <c r="H323" s="92" t="s">
        <v>45</v>
      </c>
      <c r="I323" s="96">
        <f t="shared" si="45"/>
        <v>0.3</v>
      </c>
      <c r="J323" s="96">
        <f t="shared" si="46"/>
        <v>0.7</v>
      </c>
      <c r="K323" s="92">
        <f>VLOOKUP(H323,'Taux émission CO2e'!$A$5:$D$16,4,FALSE)</f>
        <v>0.16</v>
      </c>
      <c r="L323" s="93">
        <f t="shared" ref="L323:L386" si="51">IFERROR(I323*K323*G323*S323,"0")</f>
        <v>4.0052879999999993</v>
      </c>
      <c r="M323" s="92">
        <f>VLOOKUP(H323,'Taux émission CO2e'!$A$20:$D$31,4,FALSE)</f>
        <v>6.7400000000000002E-2</v>
      </c>
      <c r="N323" s="105">
        <f t="shared" ref="N323:N386" si="52">IFERROR(J323*M323*G323*S323,"0")</f>
        <v>3.9368643299999997</v>
      </c>
      <c r="O323" s="93">
        <f t="shared" ref="O323:O386" si="53">L323+N323</f>
        <v>7.942152329999999</v>
      </c>
      <c r="P323" s="92">
        <v>158</v>
      </c>
      <c r="Q323" s="92" t="s">
        <v>74</v>
      </c>
      <c r="R323" s="92" t="s">
        <v>55</v>
      </c>
      <c r="S323" s="20">
        <v>278.14499999999998</v>
      </c>
    </row>
    <row r="324" spans="1:19" x14ac:dyDescent="0.15">
      <c r="A324" s="90">
        <v>44392</v>
      </c>
      <c r="B324" s="90" t="str">
        <f t="shared" si="47"/>
        <v>juillet</v>
      </c>
      <c r="C324" s="90" t="str">
        <f t="shared" si="48"/>
        <v>2021</v>
      </c>
      <c r="D324" s="90" t="str">
        <f t="shared" si="49"/>
        <v>juillet2021</v>
      </c>
      <c r="E324" s="92" t="s">
        <v>237</v>
      </c>
      <c r="F324" s="91">
        <v>300</v>
      </c>
      <c r="G324" s="94">
        <f t="shared" si="50"/>
        <v>0.3</v>
      </c>
      <c r="H324" s="92" t="s">
        <v>45</v>
      </c>
      <c r="I324" s="96">
        <f t="shared" si="45"/>
        <v>0.3</v>
      </c>
      <c r="J324" s="96">
        <f t="shared" si="46"/>
        <v>0.7</v>
      </c>
      <c r="K324" s="92">
        <f>VLOOKUP(H324,'Taux émission CO2e'!$A$5:$D$16,4,FALSE)</f>
        <v>0.16</v>
      </c>
      <c r="L324" s="93">
        <f t="shared" si="51"/>
        <v>2.7376704000000003</v>
      </c>
      <c r="M324" s="92">
        <f>VLOOKUP(H324,'Taux émission CO2e'!$A$20:$D$31,4,FALSE)</f>
        <v>6.7400000000000002E-2</v>
      </c>
      <c r="N324" s="105">
        <f t="shared" si="52"/>
        <v>2.6909018640000002</v>
      </c>
      <c r="O324" s="93">
        <f t="shared" si="53"/>
        <v>5.4285722640000005</v>
      </c>
      <c r="P324" s="92">
        <v>100</v>
      </c>
      <c r="Q324" s="92" t="s">
        <v>58</v>
      </c>
      <c r="R324" s="92" t="s">
        <v>116</v>
      </c>
      <c r="S324" s="20">
        <v>190.11600000000001</v>
      </c>
    </row>
    <row r="325" spans="1:19" x14ac:dyDescent="0.15">
      <c r="A325" s="90">
        <v>44392</v>
      </c>
      <c r="B325" s="90" t="str">
        <f t="shared" si="47"/>
        <v>juillet</v>
      </c>
      <c r="C325" s="90" t="str">
        <f t="shared" si="48"/>
        <v>2021</v>
      </c>
      <c r="D325" s="90" t="str">
        <f t="shared" si="49"/>
        <v>juillet2021</v>
      </c>
      <c r="E325" s="92" t="s">
        <v>238</v>
      </c>
      <c r="F325" s="91">
        <v>300</v>
      </c>
      <c r="G325" s="94">
        <f t="shared" si="50"/>
        <v>0.3</v>
      </c>
      <c r="H325" s="92" t="s">
        <v>46</v>
      </c>
      <c r="I325" s="96">
        <f t="shared" si="45"/>
        <v>0.3</v>
      </c>
      <c r="J325" s="96">
        <f t="shared" si="46"/>
        <v>0.7</v>
      </c>
      <c r="K325" s="92">
        <f>VLOOKUP(H325,'Taux émission CO2e'!$A$5:$D$16,4,FALSE)</f>
        <v>0.16</v>
      </c>
      <c r="L325" s="93">
        <f t="shared" si="51"/>
        <v>3.7158191999999999</v>
      </c>
      <c r="M325" s="92">
        <f>VLOOKUP(H325,'Taux émission CO2e'!$A$20:$D$31,4,FALSE)</f>
        <v>6.7400000000000002E-2</v>
      </c>
      <c r="N325" s="105">
        <f t="shared" si="52"/>
        <v>3.6523406220000001</v>
      </c>
      <c r="O325" s="93">
        <f t="shared" si="53"/>
        <v>7.368159822</v>
      </c>
      <c r="P325" s="92">
        <v>131</v>
      </c>
      <c r="Q325" s="92" t="s">
        <v>102</v>
      </c>
      <c r="R325" s="92" t="s">
        <v>55</v>
      </c>
      <c r="S325" s="20">
        <v>258.04300000000001</v>
      </c>
    </row>
    <row r="326" spans="1:19" x14ac:dyDescent="0.15">
      <c r="A326" s="90">
        <v>44392</v>
      </c>
      <c r="B326" s="90" t="str">
        <f t="shared" si="47"/>
        <v>juillet</v>
      </c>
      <c r="C326" s="90" t="str">
        <f t="shared" si="48"/>
        <v>2021</v>
      </c>
      <c r="D326" s="90" t="str">
        <f t="shared" si="49"/>
        <v>juillet2021</v>
      </c>
      <c r="E326" s="92" t="s">
        <v>239</v>
      </c>
      <c r="F326" s="91">
        <v>500</v>
      </c>
      <c r="G326" s="94">
        <f t="shared" si="50"/>
        <v>0.5</v>
      </c>
      <c r="H326" s="92" t="s">
        <v>46</v>
      </c>
      <c r="I326" s="96">
        <f t="shared" si="45"/>
        <v>0.3</v>
      </c>
      <c r="J326" s="96">
        <f t="shared" si="46"/>
        <v>0.7</v>
      </c>
      <c r="K326" s="92">
        <f>VLOOKUP(H326,'Taux émission CO2e'!$A$5:$D$16,4,FALSE)</f>
        <v>0.16</v>
      </c>
      <c r="L326" s="93">
        <f t="shared" si="51"/>
        <v>6.6839280000000008</v>
      </c>
      <c r="M326" s="92">
        <f>VLOOKUP(H326,'Taux émission CO2e'!$A$20:$D$31,4,FALSE)</f>
        <v>6.7400000000000002E-2</v>
      </c>
      <c r="N326" s="105">
        <f t="shared" si="52"/>
        <v>6.5697442300000004</v>
      </c>
      <c r="O326" s="93">
        <f t="shared" si="53"/>
        <v>13.253672230000001</v>
      </c>
      <c r="P326" s="92">
        <v>158</v>
      </c>
      <c r="Q326" s="92" t="s">
        <v>90</v>
      </c>
      <c r="R326" s="92" t="s">
        <v>55</v>
      </c>
      <c r="S326" s="20">
        <v>278.49700000000001</v>
      </c>
    </row>
    <row r="327" spans="1:19" x14ac:dyDescent="0.15">
      <c r="A327" s="90">
        <v>44392</v>
      </c>
      <c r="B327" s="90" t="str">
        <f t="shared" si="47"/>
        <v>juillet</v>
      </c>
      <c r="C327" s="90" t="str">
        <f t="shared" si="48"/>
        <v>2021</v>
      </c>
      <c r="D327" s="90" t="str">
        <f t="shared" si="49"/>
        <v>juillet2021</v>
      </c>
      <c r="E327" s="92" t="s">
        <v>240</v>
      </c>
      <c r="F327" s="91">
        <v>300</v>
      </c>
      <c r="G327" s="94">
        <f t="shared" si="50"/>
        <v>0.3</v>
      </c>
      <c r="H327" s="92" t="s">
        <v>45</v>
      </c>
      <c r="I327" s="96">
        <f t="shared" si="45"/>
        <v>0.3</v>
      </c>
      <c r="J327" s="96">
        <f t="shared" si="46"/>
        <v>0.7</v>
      </c>
      <c r="K327" s="92">
        <f>VLOOKUP(H327,'Taux émission CO2e'!$A$5:$D$16,4,FALSE)</f>
        <v>0.16</v>
      </c>
      <c r="L327" s="93">
        <f t="shared" si="51"/>
        <v>7.4372256000000005</v>
      </c>
      <c r="M327" s="92">
        <f>VLOOKUP(H327,'Taux émission CO2e'!$A$20:$D$31,4,FALSE)</f>
        <v>6.7400000000000002E-2</v>
      </c>
      <c r="N327" s="105">
        <f t="shared" si="52"/>
        <v>7.3101729960000004</v>
      </c>
      <c r="O327" s="93">
        <f t="shared" si="53"/>
        <v>14.747398596</v>
      </c>
      <c r="P327" s="92">
        <v>165</v>
      </c>
      <c r="Q327" s="92" t="s">
        <v>52</v>
      </c>
      <c r="R327" s="92" t="s">
        <v>55</v>
      </c>
      <c r="S327" s="20">
        <v>516.47400000000005</v>
      </c>
    </row>
    <row r="328" spans="1:19" x14ac:dyDescent="0.15">
      <c r="A328" s="90">
        <v>44392</v>
      </c>
      <c r="B328" s="90" t="str">
        <f t="shared" si="47"/>
        <v>juillet</v>
      </c>
      <c r="C328" s="90" t="str">
        <f t="shared" si="48"/>
        <v>2021</v>
      </c>
      <c r="D328" s="90" t="str">
        <f t="shared" si="49"/>
        <v>juillet2021</v>
      </c>
      <c r="E328" s="92" t="s">
        <v>241</v>
      </c>
      <c r="F328" s="91">
        <v>300</v>
      </c>
      <c r="G328" s="94">
        <f t="shared" si="50"/>
        <v>0.3</v>
      </c>
      <c r="H328" s="92" t="s">
        <v>46</v>
      </c>
      <c r="I328" s="96">
        <f t="shared" si="45"/>
        <v>0.3</v>
      </c>
      <c r="J328" s="96">
        <f t="shared" si="46"/>
        <v>0.7</v>
      </c>
      <c r="K328" s="92">
        <f>VLOOKUP(H328,'Taux émission CO2e'!$A$5:$D$16,4,FALSE)</f>
        <v>0.16</v>
      </c>
      <c r="L328" s="93">
        <f t="shared" si="51"/>
        <v>7.7979743999999993</v>
      </c>
      <c r="M328" s="92">
        <f>VLOOKUP(H328,'Taux émission CO2e'!$A$20:$D$31,4,FALSE)</f>
        <v>6.7400000000000002E-2</v>
      </c>
      <c r="N328" s="105">
        <f t="shared" si="52"/>
        <v>7.6647590039999995</v>
      </c>
      <c r="O328" s="93">
        <f t="shared" si="53"/>
        <v>15.462733403999998</v>
      </c>
      <c r="P328" s="92">
        <v>196</v>
      </c>
      <c r="Q328" s="92" t="s">
        <v>62</v>
      </c>
      <c r="R328" s="92" t="s">
        <v>55</v>
      </c>
      <c r="S328" s="20">
        <v>541.52599999999995</v>
      </c>
    </row>
    <row r="329" spans="1:19" x14ac:dyDescent="0.15">
      <c r="A329" s="90">
        <v>44396</v>
      </c>
      <c r="B329" s="90" t="str">
        <f t="shared" si="47"/>
        <v>juillet</v>
      </c>
      <c r="C329" s="90" t="str">
        <f t="shared" si="48"/>
        <v>2021</v>
      </c>
      <c r="D329" s="90" t="str">
        <f t="shared" si="49"/>
        <v>juillet2021</v>
      </c>
      <c r="E329" s="92" t="s">
        <v>242</v>
      </c>
      <c r="F329" s="91">
        <v>300</v>
      </c>
      <c r="G329" s="94">
        <f t="shared" si="50"/>
        <v>0.3</v>
      </c>
      <c r="H329" s="92" t="s">
        <v>46</v>
      </c>
      <c r="I329" s="96">
        <f t="shared" si="45"/>
        <v>0.3</v>
      </c>
      <c r="J329" s="96">
        <f t="shared" si="46"/>
        <v>0.7</v>
      </c>
      <c r="K329" s="92">
        <f>VLOOKUP(H329,'Taux émission CO2e'!$A$5:$D$16,4,FALSE)</f>
        <v>0.16</v>
      </c>
      <c r="L329" s="93">
        <f t="shared" si="51"/>
        <v>3.6276336000000002</v>
      </c>
      <c r="M329" s="92">
        <f>VLOOKUP(H329,'Taux émission CO2e'!$A$20:$D$31,4,FALSE)</f>
        <v>6.7400000000000002E-2</v>
      </c>
      <c r="N329" s="105">
        <f t="shared" si="52"/>
        <v>3.565661526</v>
      </c>
      <c r="O329" s="93">
        <f t="shared" si="53"/>
        <v>7.1932951260000006</v>
      </c>
      <c r="P329" s="92">
        <v>158</v>
      </c>
      <c r="Q329" s="92" t="s">
        <v>92</v>
      </c>
      <c r="R329" s="92" t="s">
        <v>55</v>
      </c>
      <c r="S329" s="20">
        <v>251.91900000000001</v>
      </c>
    </row>
    <row r="330" spans="1:19" x14ac:dyDescent="0.15">
      <c r="A330" s="90">
        <v>44396</v>
      </c>
      <c r="B330" s="90" t="str">
        <f t="shared" si="47"/>
        <v>juillet</v>
      </c>
      <c r="C330" s="90" t="str">
        <f t="shared" si="48"/>
        <v>2021</v>
      </c>
      <c r="D330" s="90" t="str">
        <f t="shared" si="49"/>
        <v>juillet2021</v>
      </c>
      <c r="E330" s="92" t="s">
        <v>243</v>
      </c>
      <c r="F330" s="91">
        <v>300</v>
      </c>
      <c r="G330" s="94">
        <f t="shared" si="50"/>
        <v>0.3</v>
      </c>
      <c r="H330" s="92" t="s">
        <v>46</v>
      </c>
      <c r="I330" s="96">
        <f t="shared" si="45"/>
        <v>0.3</v>
      </c>
      <c r="J330" s="96">
        <f t="shared" si="46"/>
        <v>0.7</v>
      </c>
      <c r="K330" s="92">
        <f>VLOOKUP(H330,'Taux émission CO2e'!$A$5:$D$16,4,FALSE)</f>
        <v>0.16</v>
      </c>
      <c r="L330" s="93">
        <f t="shared" si="51"/>
        <v>5.4804383999999997</v>
      </c>
      <c r="M330" s="92">
        <f>VLOOKUP(H330,'Taux émission CO2e'!$A$20:$D$31,4,FALSE)</f>
        <v>6.7400000000000002E-2</v>
      </c>
      <c r="N330" s="105">
        <f t="shared" si="52"/>
        <v>5.386814244</v>
      </c>
      <c r="O330" s="93">
        <f t="shared" si="53"/>
        <v>10.867252644000001</v>
      </c>
      <c r="P330" s="92">
        <v>166</v>
      </c>
      <c r="Q330" s="92" t="s">
        <v>91</v>
      </c>
      <c r="R330" s="92" t="s">
        <v>55</v>
      </c>
      <c r="S330" s="20">
        <v>380.58600000000001</v>
      </c>
    </row>
    <row r="331" spans="1:19" x14ac:dyDescent="0.15">
      <c r="A331" s="90">
        <v>44397</v>
      </c>
      <c r="B331" s="90" t="str">
        <f t="shared" si="47"/>
        <v>juillet</v>
      </c>
      <c r="C331" s="90" t="str">
        <f t="shared" si="48"/>
        <v>2021</v>
      </c>
      <c r="D331" s="90" t="str">
        <f t="shared" si="49"/>
        <v>juillet2021</v>
      </c>
      <c r="E331" s="92" t="s">
        <v>244</v>
      </c>
      <c r="F331" s="91">
        <v>300</v>
      </c>
      <c r="G331" s="94">
        <f t="shared" si="50"/>
        <v>0.3</v>
      </c>
      <c r="H331" s="92" t="s">
        <v>46</v>
      </c>
      <c r="I331" s="96">
        <f t="shared" si="45"/>
        <v>0.3</v>
      </c>
      <c r="J331" s="96">
        <f t="shared" si="46"/>
        <v>0.7</v>
      </c>
      <c r="K331" s="92">
        <f>VLOOKUP(H331,'Taux émission CO2e'!$A$5:$D$16,4,FALSE)</f>
        <v>0.16</v>
      </c>
      <c r="L331" s="93">
        <f t="shared" si="51"/>
        <v>3.7158191999999999</v>
      </c>
      <c r="M331" s="92">
        <f>VLOOKUP(H331,'Taux émission CO2e'!$A$20:$D$31,4,FALSE)</f>
        <v>6.7400000000000002E-2</v>
      </c>
      <c r="N331" s="105">
        <f t="shared" si="52"/>
        <v>3.6523406220000001</v>
      </c>
      <c r="O331" s="93">
        <f t="shared" si="53"/>
        <v>7.368159822</v>
      </c>
      <c r="P331" s="92">
        <v>131</v>
      </c>
      <c r="Q331" s="92" t="s">
        <v>102</v>
      </c>
      <c r="R331" s="92" t="s">
        <v>55</v>
      </c>
      <c r="S331" s="20">
        <v>258.04300000000001</v>
      </c>
    </row>
    <row r="332" spans="1:19" x14ac:dyDescent="0.15">
      <c r="A332" s="90">
        <v>44397</v>
      </c>
      <c r="B332" s="90" t="str">
        <f t="shared" si="47"/>
        <v>juillet</v>
      </c>
      <c r="C332" s="90" t="str">
        <f t="shared" si="48"/>
        <v>2021</v>
      </c>
      <c r="D332" s="90" t="str">
        <f t="shared" si="49"/>
        <v>juillet2021</v>
      </c>
      <c r="E332" s="92" t="s">
        <v>245</v>
      </c>
      <c r="F332" s="91">
        <v>210</v>
      </c>
      <c r="G332" s="94">
        <f t="shared" si="50"/>
        <v>0.21</v>
      </c>
      <c r="H332" s="92" t="s">
        <v>45</v>
      </c>
      <c r="I332" s="96">
        <f t="shared" si="45"/>
        <v>0.3</v>
      </c>
      <c r="J332" s="96">
        <f t="shared" si="46"/>
        <v>0.7</v>
      </c>
      <c r="K332" s="92">
        <f>VLOOKUP(H332,'Taux émission CO2e'!$A$5:$D$16,4,FALSE)</f>
        <v>0.16</v>
      </c>
      <c r="L332" s="93">
        <f t="shared" si="51"/>
        <v>3.8349864</v>
      </c>
      <c r="M332" s="92">
        <f>VLOOKUP(H332,'Taux émission CO2e'!$A$20:$D$31,4,FALSE)</f>
        <v>6.7400000000000002E-2</v>
      </c>
      <c r="N332" s="105">
        <f t="shared" si="52"/>
        <v>3.7694720489999995</v>
      </c>
      <c r="O332" s="93">
        <f t="shared" si="53"/>
        <v>7.6044584489999991</v>
      </c>
      <c r="P332" s="92">
        <v>131</v>
      </c>
      <c r="Q332" s="92" t="s">
        <v>58</v>
      </c>
      <c r="R332" s="92" t="s">
        <v>83</v>
      </c>
      <c r="S332" s="20">
        <v>380.45499999999998</v>
      </c>
    </row>
    <row r="333" spans="1:19" x14ac:dyDescent="0.15">
      <c r="A333" s="90">
        <v>44397</v>
      </c>
      <c r="B333" s="90" t="str">
        <f t="shared" si="47"/>
        <v>juillet</v>
      </c>
      <c r="C333" s="90" t="str">
        <f t="shared" si="48"/>
        <v>2021</v>
      </c>
      <c r="D333" s="90" t="str">
        <f t="shared" si="49"/>
        <v>juillet2021</v>
      </c>
      <c r="E333" s="92" t="s">
        <v>246</v>
      </c>
      <c r="F333" s="91">
        <v>600</v>
      </c>
      <c r="G333" s="94">
        <f t="shared" si="50"/>
        <v>0.6</v>
      </c>
      <c r="H333" s="92" t="s">
        <v>45</v>
      </c>
      <c r="I333" s="96">
        <f t="shared" si="45"/>
        <v>0.3</v>
      </c>
      <c r="J333" s="96">
        <f t="shared" si="46"/>
        <v>0.7</v>
      </c>
      <c r="K333" s="92">
        <f>VLOOKUP(H333,'Taux émission CO2e'!$A$5:$D$16,4,FALSE)</f>
        <v>0.16</v>
      </c>
      <c r="L333" s="93">
        <f t="shared" si="51"/>
        <v>8.0207136000000006</v>
      </c>
      <c r="M333" s="92">
        <f>VLOOKUP(H333,'Taux émission CO2e'!$A$20:$D$31,4,FALSE)</f>
        <v>6.7400000000000002E-2</v>
      </c>
      <c r="N333" s="105">
        <f t="shared" si="52"/>
        <v>7.8836930760000001</v>
      </c>
      <c r="O333" s="93">
        <f t="shared" si="53"/>
        <v>15.904406676000001</v>
      </c>
      <c r="P333" s="92">
        <v>158</v>
      </c>
      <c r="Q333" s="92" t="s">
        <v>90</v>
      </c>
      <c r="R333" s="92" t="s">
        <v>55</v>
      </c>
      <c r="S333" s="20">
        <v>278.49700000000001</v>
      </c>
    </row>
    <row r="334" spans="1:19" x14ac:dyDescent="0.15">
      <c r="A334" s="90">
        <v>44397</v>
      </c>
      <c r="B334" s="90" t="str">
        <f t="shared" si="47"/>
        <v>juillet</v>
      </c>
      <c r="C334" s="90" t="str">
        <f t="shared" si="48"/>
        <v>2021</v>
      </c>
      <c r="D334" s="90" t="str">
        <f t="shared" si="49"/>
        <v>juillet2021</v>
      </c>
      <c r="E334" s="92" t="s">
        <v>247</v>
      </c>
      <c r="F334" s="91">
        <v>300</v>
      </c>
      <c r="G334" s="94">
        <f t="shared" si="50"/>
        <v>0.3</v>
      </c>
      <c r="H334" s="92" t="s">
        <v>45</v>
      </c>
      <c r="I334" s="96">
        <f t="shared" si="45"/>
        <v>0.3</v>
      </c>
      <c r="J334" s="96">
        <f t="shared" si="46"/>
        <v>0.7</v>
      </c>
      <c r="K334" s="92">
        <f>VLOOKUP(H334,'Taux émission CO2e'!$A$5:$D$16,4,FALSE)</f>
        <v>0.16</v>
      </c>
      <c r="L334" s="93">
        <f t="shared" si="51"/>
        <v>3.6040031999999997</v>
      </c>
      <c r="M334" s="92">
        <f>VLOOKUP(H334,'Taux émission CO2e'!$A$20:$D$31,4,FALSE)</f>
        <v>6.7400000000000002E-2</v>
      </c>
      <c r="N334" s="105">
        <f t="shared" si="52"/>
        <v>3.5424348119999998</v>
      </c>
      <c r="O334" s="93">
        <f t="shared" si="53"/>
        <v>7.1464380119999991</v>
      </c>
      <c r="P334" s="92">
        <v>158</v>
      </c>
      <c r="Q334" s="92" t="s">
        <v>89</v>
      </c>
      <c r="R334" s="92" t="s">
        <v>55</v>
      </c>
      <c r="S334" s="20">
        <v>250.27799999999999</v>
      </c>
    </row>
    <row r="335" spans="1:19" x14ac:dyDescent="0.15">
      <c r="A335" s="90">
        <v>44397</v>
      </c>
      <c r="B335" s="90" t="str">
        <f t="shared" si="47"/>
        <v>juillet</v>
      </c>
      <c r="C335" s="90" t="str">
        <f t="shared" si="48"/>
        <v>2021</v>
      </c>
      <c r="D335" s="90" t="str">
        <f t="shared" si="49"/>
        <v>juillet2021</v>
      </c>
      <c r="E335" s="92" t="s">
        <v>248</v>
      </c>
      <c r="F335" s="91">
        <v>300</v>
      </c>
      <c r="G335" s="94">
        <f t="shared" si="50"/>
        <v>0.3</v>
      </c>
      <c r="H335" s="92" t="s">
        <v>45</v>
      </c>
      <c r="I335" s="96">
        <f t="shared" si="45"/>
        <v>0.3</v>
      </c>
      <c r="J335" s="96">
        <f t="shared" si="46"/>
        <v>0.7</v>
      </c>
      <c r="K335" s="92">
        <f>VLOOKUP(H335,'Taux émission CO2e'!$A$5:$D$16,4,FALSE)</f>
        <v>0.16</v>
      </c>
      <c r="L335" s="93">
        <f t="shared" si="51"/>
        <v>4.0052879999999993</v>
      </c>
      <c r="M335" s="92">
        <f>VLOOKUP(H335,'Taux émission CO2e'!$A$20:$D$31,4,FALSE)</f>
        <v>6.7400000000000002E-2</v>
      </c>
      <c r="N335" s="105">
        <f t="shared" si="52"/>
        <v>3.9368643299999997</v>
      </c>
      <c r="O335" s="93">
        <f t="shared" si="53"/>
        <v>7.942152329999999</v>
      </c>
      <c r="P335" s="92">
        <v>158</v>
      </c>
      <c r="Q335" s="92" t="s">
        <v>74</v>
      </c>
      <c r="R335" s="92" t="s">
        <v>55</v>
      </c>
      <c r="S335" s="20">
        <v>278.14499999999998</v>
      </c>
    </row>
    <row r="336" spans="1:19" x14ac:dyDescent="0.15">
      <c r="A336" s="90">
        <v>44398</v>
      </c>
      <c r="B336" s="90" t="str">
        <f t="shared" si="47"/>
        <v>juillet</v>
      </c>
      <c r="C336" s="90" t="str">
        <f t="shared" si="48"/>
        <v>2021</v>
      </c>
      <c r="D336" s="90" t="str">
        <f t="shared" si="49"/>
        <v>juillet2021</v>
      </c>
      <c r="E336" s="92" t="s">
        <v>249</v>
      </c>
      <c r="F336" s="91">
        <v>300</v>
      </c>
      <c r="G336" s="94">
        <f t="shared" si="50"/>
        <v>0.3</v>
      </c>
      <c r="H336" s="92" t="s">
        <v>45</v>
      </c>
      <c r="I336" s="96">
        <f t="shared" si="45"/>
        <v>0.3</v>
      </c>
      <c r="J336" s="96">
        <f t="shared" si="46"/>
        <v>0.7</v>
      </c>
      <c r="K336" s="92">
        <f>VLOOKUP(H336,'Taux émission CO2e'!$A$5:$D$16,4,FALSE)</f>
        <v>0.16</v>
      </c>
      <c r="L336" s="93">
        <f t="shared" si="51"/>
        <v>3.8354832000000001</v>
      </c>
      <c r="M336" s="92">
        <f>VLOOKUP(H336,'Taux émission CO2e'!$A$20:$D$31,4,FALSE)</f>
        <v>6.7400000000000002E-2</v>
      </c>
      <c r="N336" s="105">
        <f t="shared" si="52"/>
        <v>3.769960362</v>
      </c>
      <c r="O336" s="93">
        <f t="shared" si="53"/>
        <v>7.6054435619999996</v>
      </c>
      <c r="P336" s="92">
        <v>158</v>
      </c>
      <c r="Q336" s="92" t="s">
        <v>77</v>
      </c>
      <c r="R336" s="92" t="s">
        <v>55</v>
      </c>
      <c r="S336" s="20">
        <v>266.35300000000001</v>
      </c>
    </row>
    <row r="337" spans="1:19" x14ac:dyDescent="0.15">
      <c r="A337" s="90">
        <v>44398</v>
      </c>
      <c r="B337" s="90" t="str">
        <f t="shared" si="47"/>
        <v>juillet</v>
      </c>
      <c r="C337" s="90" t="str">
        <f t="shared" si="48"/>
        <v>2021</v>
      </c>
      <c r="D337" s="90" t="str">
        <f t="shared" si="49"/>
        <v>juillet2021</v>
      </c>
      <c r="E337" s="92" t="s">
        <v>250</v>
      </c>
      <c r="F337" s="91">
        <v>300</v>
      </c>
      <c r="G337" s="94">
        <f t="shared" si="50"/>
        <v>0.3</v>
      </c>
      <c r="H337" s="92" t="s">
        <v>46</v>
      </c>
      <c r="I337" s="96">
        <f t="shared" si="45"/>
        <v>0.3</v>
      </c>
      <c r="J337" s="96">
        <f t="shared" si="46"/>
        <v>0.7</v>
      </c>
      <c r="K337" s="92">
        <f>VLOOKUP(H337,'Taux émission CO2e'!$A$5:$D$16,4,FALSE)</f>
        <v>0.16</v>
      </c>
      <c r="L337" s="93">
        <f t="shared" si="51"/>
        <v>7.7979743999999993</v>
      </c>
      <c r="M337" s="92">
        <f>VLOOKUP(H337,'Taux émission CO2e'!$A$20:$D$31,4,FALSE)</f>
        <v>6.7400000000000002E-2</v>
      </c>
      <c r="N337" s="105">
        <f t="shared" si="52"/>
        <v>7.6647590039999995</v>
      </c>
      <c r="O337" s="93">
        <f t="shared" si="53"/>
        <v>15.462733403999998</v>
      </c>
      <c r="P337" s="92">
        <v>196</v>
      </c>
      <c r="Q337" s="92" t="s">
        <v>62</v>
      </c>
      <c r="R337" s="92" t="s">
        <v>55</v>
      </c>
      <c r="S337" s="20">
        <v>541.52599999999995</v>
      </c>
    </row>
    <row r="338" spans="1:19" x14ac:dyDescent="0.15">
      <c r="A338" s="90">
        <v>44399</v>
      </c>
      <c r="B338" s="90" t="str">
        <f t="shared" si="47"/>
        <v>juillet</v>
      </c>
      <c r="C338" s="90" t="str">
        <f t="shared" si="48"/>
        <v>2021</v>
      </c>
      <c r="D338" s="90" t="str">
        <f t="shared" si="49"/>
        <v>juillet2021</v>
      </c>
      <c r="E338" s="92" t="s">
        <v>251</v>
      </c>
      <c r="F338" s="91">
        <v>300</v>
      </c>
      <c r="G338" s="94">
        <f t="shared" si="50"/>
        <v>0.3</v>
      </c>
      <c r="H338" s="92" t="s">
        <v>45</v>
      </c>
      <c r="I338" s="96">
        <f t="shared" si="45"/>
        <v>0.3</v>
      </c>
      <c r="J338" s="96">
        <f t="shared" si="46"/>
        <v>0.7</v>
      </c>
      <c r="K338" s="92">
        <f>VLOOKUP(H338,'Taux émission CO2e'!$A$5:$D$16,4,FALSE)</f>
        <v>0.16</v>
      </c>
      <c r="L338" s="93">
        <f t="shared" si="51"/>
        <v>7.4372256000000005</v>
      </c>
      <c r="M338" s="92">
        <f>VLOOKUP(H338,'Taux émission CO2e'!$A$20:$D$31,4,FALSE)</f>
        <v>6.7400000000000002E-2</v>
      </c>
      <c r="N338" s="105">
        <f t="shared" si="52"/>
        <v>7.3101729960000004</v>
      </c>
      <c r="O338" s="93">
        <f t="shared" si="53"/>
        <v>14.747398596</v>
      </c>
      <c r="P338" s="92">
        <v>228</v>
      </c>
      <c r="Q338" s="92" t="s">
        <v>52</v>
      </c>
      <c r="R338" s="92" t="s">
        <v>55</v>
      </c>
      <c r="S338" s="20">
        <v>516.47400000000005</v>
      </c>
    </row>
    <row r="339" spans="1:19" x14ac:dyDescent="0.15">
      <c r="A339" s="90">
        <v>44400</v>
      </c>
      <c r="B339" s="90" t="str">
        <f t="shared" si="47"/>
        <v>juillet</v>
      </c>
      <c r="C339" s="90" t="str">
        <f t="shared" si="48"/>
        <v>2021</v>
      </c>
      <c r="D339" s="90" t="str">
        <f t="shared" si="49"/>
        <v>juillet2021</v>
      </c>
      <c r="E339" s="92" t="s">
        <v>252</v>
      </c>
      <c r="F339" s="91">
        <v>300</v>
      </c>
      <c r="G339" s="94">
        <f t="shared" si="50"/>
        <v>0.3</v>
      </c>
      <c r="H339" s="92" t="s">
        <v>46</v>
      </c>
      <c r="I339" s="96">
        <f t="shared" si="45"/>
        <v>0.3</v>
      </c>
      <c r="J339" s="96">
        <f t="shared" si="46"/>
        <v>0.7</v>
      </c>
      <c r="K339" s="92">
        <f>VLOOKUP(H339,'Taux émission CO2e'!$A$5:$D$16,4,FALSE)</f>
        <v>0.16</v>
      </c>
      <c r="L339" s="93">
        <f t="shared" si="51"/>
        <v>5.4804383999999997</v>
      </c>
      <c r="M339" s="92">
        <f>VLOOKUP(H339,'Taux émission CO2e'!$A$20:$D$31,4,FALSE)</f>
        <v>6.7400000000000002E-2</v>
      </c>
      <c r="N339" s="105">
        <f t="shared" si="52"/>
        <v>5.386814244</v>
      </c>
      <c r="O339" s="93">
        <f t="shared" si="53"/>
        <v>10.867252644000001</v>
      </c>
      <c r="P339" s="92">
        <v>200</v>
      </c>
      <c r="Q339" s="92" t="s">
        <v>91</v>
      </c>
      <c r="R339" s="92" t="s">
        <v>55</v>
      </c>
      <c r="S339" s="20">
        <v>380.58600000000001</v>
      </c>
    </row>
    <row r="340" spans="1:19" x14ac:dyDescent="0.15">
      <c r="A340" s="90">
        <v>44403</v>
      </c>
      <c r="B340" s="90" t="str">
        <f t="shared" si="47"/>
        <v>juillet</v>
      </c>
      <c r="C340" s="90" t="str">
        <f t="shared" si="48"/>
        <v>2021</v>
      </c>
      <c r="D340" s="90" t="str">
        <f t="shared" si="49"/>
        <v>juillet2021</v>
      </c>
      <c r="E340" s="92" t="s">
        <v>253</v>
      </c>
      <c r="F340" s="91">
        <v>300</v>
      </c>
      <c r="G340" s="94">
        <f t="shared" si="50"/>
        <v>0.3</v>
      </c>
      <c r="H340" s="92" t="s">
        <v>46</v>
      </c>
      <c r="I340" s="96">
        <f t="shared" si="45"/>
        <v>0.3</v>
      </c>
      <c r="J340" s="96">
        <f t="shared" si="46"/>
        <v>0.7</v>
      </c>
      <c r="K340" s="92">
        <f>VLOOKUP(H340,'Taux émission CO2e'!$A$5:$D$16,4,FALSE)</f>
        <v>0.16</v>
      </c>
      <c r="L340" s="93">
        <f t="shared" si="51"/>
        <v>3.6276336000000002</v>
      </c>
      <c r="M340" s="92">
        <f>VLOOKUP(H340,'Taux émission CO2e'!$A$20:$D$31,4,FALSE)</f>
        <v>6.7400000000000002E-2</v>
      </c>
      <c r="N340" s="105">
        <f t="shared" si="52"/>
        <v>3.565661526</v>
      </c>
      <c r="O340" s="93">
        <f t="shared" si="53"/>
        <v>7.1932951260000006</v>
      </c>
      <c r="P340" s="92">
        <v>125</v>
      </c>
      <c r="Q340" s="92" t="s">
        <v>92</v>
      </c>
      <c r="R340" s="92" t="s">
        <v>55</v>
      </c>
      <c r="S340" s="20">
        <v>251.91900000000001</v>
      </c>
    </row>
    <row r="341" spans="1:19" x14ac:dyDescent="0.15">
      <c r="A341" s="90">
        <v>44403</v>
      </c>
      <c r="B341" s="90" t="str">
        <f t="shared" si="47"/>
        <v>juillet</v>
      </c>
      <c r="C341" s="90" t="str">
        <f t="shared" si="48"/>
        <v>2021</v>
      </c>
      <c r="D341" s="90" t="str">
        <f t="shared" si="49"/>
        <v>juillet2021</v>
      </c>
      <c r="E341" s="92" t="s">
        <v>254</v>
      </c>
      <c r="F341" s="91">
        <v>300</v>
      </c>
      <c r="G341" s="94">
        <f t="shared" si="50"/>
        <v>0.3</v>
      </c>
      <c r="H341" s="92" t="s">
        <v>45</v>
      </c>
      <c r="I341" s="96">
        <f t="shared" si="45"/>
        <v>0.3</v>
      </c>
      <c r="J341" s="96">
        <f t="shared" si="46"/>
        <v>0.7</v>
      </c>
      <c r="K341" s="92">
        <f>VLOOKUP(H341,'Taux émission CO2e'!$A$5:$D$16,4,FALSE)</f>
        <v>0.16</v>
      </c>
      <c r="L341" s="93">
        <f t="shared" si="51"/>
        <v>3.6083376</v>
      </c>
      <c r="M341" s="92">
        <f>VLOOKUP(H341,'Taux émission CO2e'!$A$20:$D$31,4,FALSE)</f>
        <v>6.7400000000000002E-2</v>
      </c>
      <c r="N341" s="105">
        <f t="shared" si="52"/>
        <v>3.5466951660000001</v>
      </c>
      <c r="O341" s="93">
        <f t="shared" si="53"/>
        <v>7.1550327659999997</v>
      </c>
      <c r="P341" s="92">
        <v>140</v>
      </c>
      <c r="Q341" s="92" t="s">
        <v>58</v>
      </c>
      <c r="R341" s="92" t="s">
        <v>79</v>
      </c>
      <c r="S341" s="20">
        <v>250.57900000000001</v>
      </c>
    </row>
    <row r="342" spans="1:19" x14ac:dyDescent="0.15">
      <c r="A342" s="90">
        <v>44403</v>
      </c>
      <c r="B342" s="90" t="str">
        <f t="shared" si="47"/>
        <v>juillet</v>
      </c>
      <c r="C342" s="90" t="str">
        <f t="shared" si="48"/>
        <v>2021</v>
      </c>
      <c r="D342" s="90" t="str">
        <f t="shared" si="49"/>
        <v>juillet2021</v>
      </c>
      <c r="E342" s="92" t="s">
        <v>255</v>
      </c>
      <c r="F342" s="91">
        <v>400</v>
      </c>
      <c r="G342" s="94">
        <f t="shared" si="50"/>
        <v>0.4</v>
      </c>
      <c r="H342" s="92" t="s">
        <v>45</v>
      </c>
      <c r="I342" s="96">
        <f t="shared" si="45"/>
        <v>0.3</v>
      </c>
      <c r="J342" s="96">
        <f t="shared" si="46"/>
        <v>0.7</v>
      </c>
      <c r="K342" s="92">
        <f>VLOOKUP(H342,'Taux émission CO2e'!$A$5:$D$16,4,FALSE)</f>
        <v>0.16</v>
      </c>
      <c r="L342" s="93">
        <f t="shared" si="51"/>
        <v>5.1103872000000008</v>
      </c>
      <c r="M342" s="92">
        <f>VLOOKUP(H342,'Taux émission CO2e'!$A$20:$D$31,4,FALSE)</f>
        <v>6.7400000000000002E-2</v>
      </c>
      <c r="N342" s="105">
        <f t="shared" si="52"/>
        <v>5.0230847519999999</v>
      </c>
      <c r="O342" s="93">
        <f t="shared" si="53"/>
        <v>10.133471952000001</v>
      </c>
      <c r="P342" s="92">
        <v>140</v>
      </c>
      <c r="Q342" s="92" t="s">
        <v>58</v>
      </c>
      <c r="R342" s="92" t="s">
        <v>53</v>
      </c>
      <c r="S342" s="20">
        <v>266.166</v>
      </c>
    </row>
    <row r="343" spans="1:19" x14ac:dyDescent="0.15">
      <c r="A343" s="90">
        <v>44404</v>
      </c>
      <c r="B343" s="90" t="str">
        <f t="shared" si="47"/>
        <v>juillet</v>
      </c>
      <c r="C343" s="90" t="str">
        <f t="shared" si="48"/>
        <v>2021</v>
      </c>
      <c r="D343" s="90" t="str">
        <f t="shared" si="49"/>
        <v>juillet2021</v>
      </c>
      <c r="E343" s="92" t="s">
        <v>256</v>
      </c>
      <c r="F343" s="91">
        <v>300</v>
      </c>
      <c r="G343" s="94">
        <f t="shared" si="50"/>
        <v>0.3</v>
      </c>
      <c r="H343" s="92" t="s">
        <v>46</v>
      </c>
      <c r="I343" s="96">
        <f t="shared" si="45"/>
        <v>0.3</v>
      </c>
      <c r="J343" s="96">
        <f t="shared" si="46"/>
        <v>0.7</v>
      </c>
      <c r="K343" s="92">
        <f>VLOOKUP(H343,'Taux émission CO2e'!$A$5:$D$16,4,FALSE)</f>
        <v>0.16</v>
      </c>
      <c r="L343" s="93">
        <f t="shared" si="51"/>
        <v>3.7158191999999999</v>
      </c>
      <c r="M343" s="92">
        <f>VLOOKUP(H343,'Taux émission CO2e'!$A$20:$D$31,4,FALSE)</f>
        <v>6.7400000000000002E-2</v>
      </c>
      <c r="N343" s="105">
        <f t="shared" si="52"/>
        <v>3.6523406220000001</v>
      </c>
      <c r="O343" s="93">
        <f t="shared" si="53"/>
        <v>7.368159822</v>
      </c>
      <c r="P343" s="92">
        <v>131</v>
      </c>
      <c r="Q343" s="92" t="s">
        <v>102</v>
      </c>
      <c r="R343" s="92" t="s">
        <v>55</v>
      </c>
      <c r="S343" s="20">
        <v>258.04300000000001</v>
      </c>
    </row>
    <row r="344" spans="1:19" x14ac:dyDescent="0.15">
      <c r="A344" s="90">
        <v>44404</v>
      </c>
      <c r="B344" s="90" t="str">
        <f t="shared" si="47"/>
        <v>juillet</v>
      </c>
      <c r="C344" s="90" t="str">
        <f t="shared" si="48"/>
        <v>2021</v>
      </c>
      <c r="D344" s="90" t="str">
        <f t="shared" si="49"/>
        <v>juillet2021</v>
      </c>
      <c r="E344" s="92" t="s">
        <v>257</v>
      </c>
      <c r="F344" s="91">
        <v>300</v>
      </c>
      <c r="G344" s="94">
        <f t="shared" si="50"/>
        <v>0.3</v>
      </c>
      <c r="H344" s="92" t="s">
        <v>45</v>
      </c>
      <c r="I344" s="96">
        <f t="shared" si="45"/>
        <v>0.3</v>
      </c>
      <c r="J344" s="96">
        <f t="shared" si="46"/>
        <v>0.7</v>
      </c>
      <c r="K344" s="92">
        <f>VLOOKUP(H344,'Taux émission CO2e'!$A$5:$D$16,4,FALSE)</f>
        <v>0.16</v>
      </c>
      <c r="L344" s="93">
        <f t="shared" si="51"/>
        <v>3.6040031999999997</v>
      </c>
      <c r="M344" s="92">
        <f>VLOOKUP(H344,'Taux émission CO2e'!$A$20:$D$31,4,FALSE)</f>
        <v>6.7400000000000002E-2</v>
      </c>
      <c r="N344" s="105">
        <f t="shared" si="52"/>
        <v>3.5424348119999998</v>
      </c>
      <c r="O344" s="93">
        <f t="shared" si="53"/>
        <v>7.1464380119999991</v>
      </c>
      <c r="P344" s="92">
        <v>158</v>
      </c>
      <c r="Q344" s="92" t="s">
        <v>89</v>
      </c>
      <c r="R344" s="92" t="s">
        <v>55</v>
      </c>
      <c r="S344" s="20">
        <v>250.27799999999999</v>
      </c>
    </row>
    <row r="345" spans="1:19" x14ac:dyDescent="0.15">
      <c r="A345" s="90">
        <v>44404</v>
      </c>
      <c r="B345" s="90" t="str">
        <f t="shared" si="47"/>
        <v>juillet</v>
      </c>
      <c r="C345" s="90" t="str">
        <f t="shared" si="48"/>
        <v>2021</v>
      </c>
      <c r="D345" s="90" t="str">
        <f t="shared" si="49"/>
        <v>juillet2021</v>
      </c>
      <c r="E345" s="92" t="s">
        <v>258</v>
      </c>
      <c r="F345" s="91">
        <v>300</v>
      </c>
      <c r="G345" s="94">
        <f t="shared" si="50"/>
        <v>0.3</v>
      </c>
      <c r="H345" s="92" t="s">
        <v>45</v>
      </c>
      <c r="I345" s="96">
        <f t="shared" si="45"/>
        <v>0.3</v>
      </c>
      <c r="J345" s="96">
        <f t="shared" si="46"/>
        <v>0.7</v>
      </c>
      <c r="K345" s="92">
        <f>VLOOKUP(H345,'Taux émission CO2e'!$A$5:$D$16,4,FALSE)</f>
        <v>0.16</v>
      </c>
      <c r="L345" s="93">
        <f t="shared" si="51"/>
        <v>4.0052879999999993</v>
      </c>
      <c r="M345" s="92">
        <f>VLOOKUP(H345,'Taux émission CO2e'!$A$20:$D$31,4,FALSE)</f>
        <v>6.7400000000000002E-2</v>
      </c>
      <c r="N345" s="105">
        <f t="shared" si="52"/>
        <v>3.9368643299999997</v>
      </c>
      <c r="O345" s="93">
        <f t="shared" si="53"/>
        <v>7.942152329999999</v>
      </c>
      <c r="P345" s="92">
        <v>158</v>
      </c>
      <c r="Q345" s="92" t="s">
        <v>74</v>
      </c>
      <c r="R345" s="92" t="s">
        <v>55</v>
      </c>
      <c r="S345" s="20">
        <v>278.14499999999998</v>
      </c>
    </row>
    <row r="346" spans="1:19" x14ac:dyDescent="0.15">
      <c r="A346" s="90">
        <v>44404</v>
      </c>
      <c r="B346" s="90" t="str">
        <f t="shared" si="47"/>
        <v>juillet</v>
      </c>
      <c r="C346" s="90" t="str">
        <f t="shared" si="48"/>
        <v>2021</v>
      </c>
      <c r="D346" s="90" t="str">
        <f t="shared" si="49"/>
        <v>juillet2021</v>
      </c>
      <c r="E346" s="92" t="s">
        <v>259</v>
      </c>
      <c r="F346" s="91">
        <v>300</v>
      </c>
      <c r="G346" s="94">
        <f t="shared" si="50"/>
        <v>0.3</v>
      </c>
      <c r="H346" s="92" t="s">
        <v>45</v>
      </c>
      <c r="I346" s="96">
        <f t="shared" si="45"/>
        <v>0.3</v>
      </c>
      <c r="J346" s="96">
        <f t="shared" si="46"/>
        <v>0.7</v>
      </c>
      <c r="K346" s="92">
        <f>VLOOKUP(H346,'Taux émission CO2e'!$A$5:$D$16,4,FALSE)</f>
        <v>0.16</v>
      </c>
      <c r="L346" s="93">
        <f t="shared" si="51"/>
        <v>4.0103568000000003</v>
      </c>
      <c r="M346" s="92">
        <f>VLOOKUP(H346,'Taux émission CO2e'!$A$20:$D$31,4,FALSE)</f>
        <v>6.7400000000000002E-2</v>
      </c>
      <c r="N346" s="105">
        <f t="shared" si="52"/>
        <v>3.9418465380000001</v>
      </c>
      <c r="O346" s="93">
        <f t="shared" si="53"/>
        <v>7.9522033380000003</v>
      </c>
      <c r="P346" s="92">
        <v>158</v>
      </c>
      <c r="Q346" s="92" t="s">
        <v>90</v>
      </c>
      <c r="R346" s="92" t="s">
        <v>55</v>
      </c>
      <c r="S346" s="20">
        <v>278.49700000000001</v>
      </c>
    </row>
    <row r="347" spans="1:19" x14ac:dyDescent="0.15">
      <c r="A347" s="90">
        <v>44405</v>
      </c>
      <c r="B347" s="90" t="str">
        <f t="shared" si="47"/>
        <v>juillet</v>
      </c>
      <c r="C347" s="90" t="str">
        <f t="shared" si="48"/>
        <v>2021</v>
      </c>
      <c r="D347" s="90" t="str">
        <f t="shared" si="49"/>
        <v>juillet2021</v>
      </c>
      <c r="E347" s="92" t="s">
        <v>260</v>
      </c>
      <c r="F347" s="91">
        <v>250</v>
      </c>
      <c r="G347" s="94">
        <f t="shared" si="50"/>
        <v>0.25</v>
      </c>
      <c r="H347" s="92" t="s">
        <v>38</v>
      </c>
      <c r="I347" s="96">
        <f t="shared" si="45"/>
        <v>1</v>
      </c>
      <c r="J347" s="96">
        <f t="shared" si="46"/>
        <v>0</v>
      </c>
      <c r="K347" s="92">
        <f>VLOOKUP(H347,'Taux émission CO2e'!$A$5:$D$16,4,FALSE)</f>
        <v>0.24099999999999999</v>
      </c>
      <c r="L347" s="93">
        <f t="shared" si="51"/>
        <v>2.0536814999999997</v>
      </c>
      <c r="M347" s="92">
        <f>VLOOKUP(H347,'Taux émission CO2e'!$A$20:$D$31,4,FALSE)</f>
        <v>0</v>
      </c>
      <c r="N347" s="105">
        <f t="shared" si="52"/>
        <v>0</v>
      </c>
      <c r="O347" s="93">
        <f t="shared" si="53"/>
        <v>2.0536814999999997</v>
      </c>
      <c r="P347" s="92">
        <v>80</v>
      </c>
      <c r="Q347" s="92" t="s">
        <v>58</v>
      </c>
      <c r="R347" s="92" t="s">
        <v>98</v>
      </c>
      <c r="S347" s="20">
        <v>34.085999999999999</v>
      </c>
    </row>
    <row r="348" spans="1:19" x14ac:dyDescent="0.15">
      <c r="A348" s="90">
        <v>44405</v>
      </c>
      <c r="B348" s="90" t="str">
        <f t="shared" si="47"/>
        <v>juillet</v>
      </c>
      <c r="C348" s="90" t="str">
        <f t="shared" si="48"/>
        <v>2021</v>
      </c>
      <c r="D348" s="90" t="str">
        <f t="shared" si="49"/>
        <v>juillet2021</v>
      </c>
      <c r="E348" s="92" t="s">
        <v>261</v>
      </c>
      <c r="F348" s="91">
        <v>300</v>
      </c>
      <c r="G348" s="94">
        <f t="shared" si="50"/>
        <v>0.3</v>
      </c>
      <c r="H348" s="92" t="s">
        <v>45</v>
      </c>
      <c r="I348" s="96">
        <f t="shared" si="45"/>
        <v>0.3</v>
      </c>
      <c r="J348" s="96">
        <f t="shared" si="46"/>
        <v>0.7</v>
      </c>
      <c r="K348" s="92">
        <f>VLOOKUP(H348,'Taux émission CO2e'!$A$5:$D$16,4,FALSE)</f>
        <v>0.16</v>
      </c>
      <c r="L348" s="93">
        <f t="shared" si="51"/>
        <v>3.8354832000000001</v>
      </c>
      <c r="M348" s="92">
        <f>VLOOKUP(H348,'Taux émission CO2e'!$A$20:$D$31,4,FALSE)</f>
        <v>6.7400000000000002E-2</v>
      </c>
      <c r="N348" s="105">
        <f t="shared" si="52"/>
        <v>3.769960362</v>
      </c>
      <c r="O348" s="93">
        <f t="shared" si="53"/>
        <v>7.6054435619999996</v>
      </c>
      <c r="P348" s="92">
        <v>158</v>
      </c>
      <c r="Q348" s="92" t="s">
        <v>77</v>
      </c>
      <c r="R348" s="92" t="s">
        <v>55</v>
      </c>
      <c r="S348" s="20">
        <v>266.35300000000001</v>
      </c>
    </row>
    <row r="349" spans="1:19" x14ac:dyDescent="0.15">
      <c r="A349" s="90">
        <v>44405</v>
      </c>
      <c r="B349" s="90" t="str">
        <f t="shared" si="47"/>
        <v>juillet</v>
      </c>
      <c r="C349" s="90" t="str">
        <f t="shared" si="48"/>
        <v>2021</v>
      </c>
      <c r="D349" s="90" t="str">
        <f t="shared" si="49"/>
        <v>juillet2021</v>
      </c>
      <c r="E349" s="92" t="s">
        <v>262</v>
      </c>
      <c r="F349" s="91">
        <v>300</v>
      </c>
      <c r="G349" s="94">
        <f t="shared" si="50"/>
        <v>0.3</v>
      </c>
      <c r="H349" s="92" t="s">
        <v>46</v>
      </c>
      <c r="I349" s="96">
        <f t="shared" si="45"/>
        <v>0.3</v>
      </c>
      <c r="J349" s="96">
        <f t="shared" si="46"/>
        <v>0.7</v>
      </c>
      <c r="K349" s="92">
        <f>VLOOKUP(H349,'Taux émission CO2e'!$A$5:$D$16,4,FALSE)</f>
        <v>0.16</v>
      </c>
      <c r="L349" s="93">
        <f t="shared" si="51"/>
        <v>7.7979743999999993</v>
      </c>
      <c r="M349" s="92">
        <f>VLOOKUP(H349,'Taux émission CO2e'!$A$20:$D$31,4,FALSE)</f>
        <v>6.7400000000000002E-2</v>
      </c>
      <c r="N349" s="105">
        <f t="shared" si="52"/>
        <v>7.6647590039999995</v>
      </c>
      <c r="O349" s="93">
        <f t="shared" si="53"/>
        <v>15.462733403999998</v>
      </c>
      <c r="P349" s="92">
        <v>239</v>
      </c>
      <c r="Q349" s="92" t="s">
        <v>62</v>
      </c>
      <c r="R349" s="92" t="s">
        <v>55</v>
      </c>
      <c r="S349" s="20">
        <v>541.52599999999995</v>
      </c>
    </row>
    <row r="350" spans="1:19" x14ac:dyDescent="0.15">
      <c r="A350" s="90">
        <v>44406</v>
      </c>
      <c r="B350" s="90" t="str">
        <f t="shared" si="47"/>
        <v>juillet</v>
      </c>
      <c r="C350" s="90" t="str">
        <f t="shared" si="48"/>
        <v>2021</v>
      </c>
      <c r="D350" s="90" t="str">
        <f t="shared" si="49"/>
        <v>juillet2021</v>
      </c>
      <c r="E350" s="92" t="s">
        <v>263</v>
      </c>
      <c r="F350" s="91">
        <v>210</v>
      </c>
      <c r="G350" s="94">
        <f t="shared" si="50"/>
        <v>0.21</v>
      </c>
      <c r="H350" s="92" t="s">
        <v>46</v>
      </c>
      <c r="I350" s="96">
        <f t="shared" si="45"/>
        <v>0.3</v>
      </c>
      <c r="J350" s="96">
        <f t="shared" si="46"/>
        <v>0.7</v>
      </c>
      <c r="K350" s="92">
        <f>VLOOKUP(H350,'Taux émission CO2e'!$A$5:$D$16,4,FALSE)</f>
        <v>0.16</v>
      </c>
      <c r="L350" s="93">
        <f t="shared" si="51"/>
        <v>3.8349864</v>
      </c>
      <c r="M350" s="92">
        <f>VLOOKUP(H350,'Taux émission CO2e'!$A$20:$D$31,4,FALSE)</f>
        <v>6.7400000000000002E-2</v>
      </c>
      <c r="N350" s="105">
        <f t="shared" si="52"/>
        <v>3.7694720489999995</v>
      </c>
      <c r="O350" s="93">
        <f t="shared" si="53"/>
        <v>7.6044584489999991</v>
      </c>
      <c r="P350" s="92">
        <v>131</v>
      </c>
      <c r="Q350" s="92" t="s">
        <v>58</v>
      </c>
      <c r="R350" s="92" t="s">
        <v>83</v>
      </c>
      <c r="S350" s="20">
        <v>380.45499999999998</v>
      </c>
    </row>
    <row r="351" spans="1:19" x14ac:dyDescent="0.15">
      <c r="A351" s="90">
        <v>44406</v>
      </c>
      <c r="B351" s="90" t="str">
        <f t="shared" si="47"/>
        <v>juillet</v>
      </c>
      <c r="C351" s="90" t="str">
        <f t="shared" si="48"/>
        <v>2021</v>
      </c>
      <c r="D351" s="90" t="str">
        <f t="shared" si="49"/>
        <v>juillet2021</v>
      </c>
      <c r="E351" s="92" t="s">
        <v>264</v>
      </c>
      <c r="F351" s="91">
        <v>90</v>
      </c>
      <c r="G351" s="94">
        <f t="shared" si="50"/>
        <v>0.09</v>
      </c>
      <c r="H351" s="92" t="s">
        <v>45</v>
      </c>
      <c r="I351" s="96">
        <f t="shared" si="45"/>
        <v>0.3</v>
      </c>
      <c r="J351" s="96">
        <f t="shared" si="46"/>
        <v>0.7</v>
      </c>
      <c r="K351" s="92">
        <f>VLOOKUP(H351,'Taux émission CO2e'!$A$5:$D$16,4,FALSE)</f>
        <v>0.16</v>
      </c>
      <c r="L351" s="93">
        <f t="shared" si="51"/>
        <v>1.6386235199999999</v>
      </c>
      <c r="M351" s="92">
        <f>VLOOKUP(H351,'Taux émission CO2e'!$A$20:$D$31,4,FALSE)</f>
        <v>6.7400000000000002E-2</v>
      </c>
      <c r="N351" s="105">
        <f t="shared" si="52"/>
        <v>1.6106303681999996</v>
      </c>
      <c r="O351" s="93">
        <f t="shared" si="53"/>
        <v>3.2492538881999993</v>
      </c>
      <c r="P351" s="92">
        <v>160</v>
      </c>
      <c r="Q351" s="92" t="s">
        <v>58</v>
      </c>
      <c r="R351" s="92" t="s">
        <v>265</v>
      </c>
      <c r="S351" s="20">
        <v>379.31099999999998</v>
      </c>
    </row>
    <row r="352" spans="1:19" x14ac:dyDescent="0.15">
      <c r="A352" s="90">
        <v>44406</v>
      </c>
      <c r="B352" s="90" t="str">
        <f t="shared" si="47"/>
        <v>juillet</v>
      </c>
      <c r="C352" s="90" t="str">
        <f t="shared" si="48"/>
        <v>2021</v>
      </c>
      <c r="D352" s="90" t="str">
        <f t="shared" si="49"/>
        <v>juillet2021</v>
      </c>
      <c r="E352" s="92" t="s">
        <v>266</v>
      </c>
      <c r="F352" s="91">
        <v>300</v>
      </c>
      <c r="G352" s="94">
        <f t="shared" si="50"/>
        <v>0.3</v>
      </c>
      <c r="H352" s="92" t="s">
        <v>45</v>
      </c>
      <c r="I352" s="96">
        <f t="shared" si="45"/>
        <v>0.3</v>
      </c>
      <c r="J352" s="96">
        <f t="shared" si="46"/>
        <v>0.7</v>
      </c>
      <c r="K352" s="92">
        <f>VLOOKUP(H352,'Taux émission CO2e'!$A$5:$D$16,4,FALSE)</f>
        <v>0.16</v>
      </c>
      <c r="L352" s="93">
        <f t="shared" si="51"/>
        <v>7.4372256000000005</v>
      </c>
      <c r="M352" s="92">
        <f>VLOOKUP(H352,'Taux émission CO2e'!$A$20:$D$31,4,FALSE)</f>
        <v>6.7400000000000002E-2</v>
      </c>
      <c r="N352" s="105">
        <f t="shared" si="52"/>
        <v>7.3101729960000004</v>
      </c>
      <c r="O352" s="93">
        <f t="shared" si="53"/>
        <v>14.747398596</v>
      </c>
      <c r="P352" s="92">
        <v>228</v>
      </c>
      <c r="Q352" s="92" t="s">
        <v>52</v>
      </c>
      <c r="R352" s="92" t="s">
        <v>55</v>
      </c>
      <c r="S352" s="20">
        <v>516.47400000000005</v>
      </c>
    </row>
    <row r="353" spans="1:19" x14ac:dyDescent="0.15">
      <c r="A353" s="90">
        <v>44407</v>
      </c>
      <c r="B353" s="90" t="str">
        <f t="shared" si="47"/>
        <v>juillet</v>
      </c>
      <c r="C353" s="90" t="str">
        <f t="shared" si="48"/>
        <v>2021</v>
      </c>
      <c r="D353" s="90" t="str">
        <f t="shared" si="49"/>
        <v>juillet2021</v>
      </c>
      <c r="E353" s="92" t="s">
        <v>267</v>
      </c>
      <c r="F353" s="91">
        <v>300</v>
      </c>
      <c r="G353" s="94">
        <f t="shared" si="50"/>
        <v>0.3</v>
      </c>
      <c r="H353" s="92" t="s">
        <v>46</v>
      </c>
      <c r="I353" s="96">
        <f t="shared" si="45"/>
        <v>0.3</v>
      </c>
      <c r="J353" s="96">
        <f t="shared" si="46"/>
        <v>0.7</v>
      </c>
      <c r="K353" s="92">
        <f>VLOOKUP(H353,'Taux émission CO2e'!$A$5:$D$16,4,FALSE)</f>
        <v>0.16</v>
      </c>
      <c r="L353" s="93">
        <f t="shared" si="51"/>
        <v>5.4804383999999997</v>
      </c>
      <c r="M353" s="92">
        <f>VLOOKUP(H353,'Taux émission CO2e'!$A$20:$D$31,4,FALSE)</f>
        <v>6.7400000000000002E-2</v>
      </c>
      <c r="N353" s="105">
        <f t="shared" si="52"/>
        <v>5.386814244</v>
      </c>
      <c r="O353" s="93">
        <f t="shared" si="53"/>
        <v>10.867252644000001</v>
      </c>
      <c r="P353" s="92">
        <v>166</v>
      </c>
      <c r="Q353" s="92" t="s">
        <v>91</v>
      </c>
      <c r="R353" s="92" t="s">
        <v>55</v>
      </c>
      <c r="S353" s="20">
        <v>380.58600000000001</v>
      </c>
    </row>
    <row r="354" spans="1:19" x14ac:dyDescent="0.15">
      <c r="A354" s="90">
        <v>44411</v>
      </c>
      <c r="B354" s="90" t="str">
        <f t="shared" si="47"/>
        <v>août</v>
      </c>
      <c r="C354" s="90" t="str">
        <f t="shared" si="48"/>
        <v>2021</v>
      </c>
      <c r="D354" s="90" t="str">
        <f t="shared" si="49"/>
        <v>août2021</v>
      </c>
      <c r="E354" s="92" t="s">
        <v>268</v>
      </c>
      <c r="F354" s="91">
        <v>300</v>
      </c>
      <c r="G354" s="94">
        <f t="shared" si="50"/>
        <v>0.3</v>
      </c>
      <c r="H354" s="92" t="s">
        <v>46</v>
      </c>
      <c r="I354" s="96">
        <f t="shared" si="45"/>
        <v>0.3</v>
      </c>
      <c r="J354" s="96">
        <f t="shared" si="46"/>
        <v>0.7</v>
      </c>
      <c r="K354" s="92">
        <f>VLOOKUP(H354,'Taux émission CO2e'!$A$5:$D$16,4,FALSE)</f>
        <v>0.16</v>
      </c>
      <c r="L354" s="93">
        <f t="shared" si="51"/>
        <v>3.6276336000000002</v>
      </c>
      <c r="M354" s="92">
        <f>VLOOKUP(H354,'Taux émission CO2e'!$A$20:$D$31,4,FALSE)</f>
        <v>6.7400000000000002E-2</v>
      </c>
      <c r="N354" s="105">
        <f t="shared" si="52"/>
        <v>3.565661526</v>
      </c>
      <c r="O354" s="93">
        <f t="shared" si="53"/>
        <v>7.1932951260000006</v>
      </c>
      <c r="P354" s="92">
        <v>125</v>
      </c>
      <c r="Q354" s="92" t="s">
        <v>92</v>
      </c>
      <c r="R354" s="92" t="s">
        <v>55</v>
      </c>
      <c r="S354" s="20">
        <v>251.91900000000001</v>
      </c>
    </row>
    <row r="355" spans="1:19" x14ac:dyDescent="0.15">
      <c r="A355" s="90">
        <v>44411</v>
      </c>
      <c r="B355" s="90" t="str">
        <f t="shared" si="47"/>
        <v>août</v>
      </c>
      <c r="C355" s="90" t="str">
        <f t="shared" si="48"/>
        <v>2021</v>
      </c>
      <c r="D355" s="90" t="str">
        <f t="shared" si="49"/>
        <v>août2021</v>
      </c>
      <c r="E355" s="92" t="s">
        <v>269</v>
      </c>
      <c r="F355" s="91">
        <v>300</v>
      </c>
      <c r="G355" s="94">
        <f t="shared" si="50"/>
        <v>0.3</v>
      </c>
      <c r="H355" s="92" t="s">
        <v>45</v>
      </c>
      <c r="I355" s="96">
        <f t="shared" si="45"/>
        <v>0.3</v>
      </c>
      <c r="J355" s="96">
        <f t="shared" si="46"/>
        <v>0.7</v>
      </c>
      <c r="K355" s="92">
        <f>VLOOKUP(H355,'Taux émission CO2e'!$A$5:$D$16,4,FALSE)</f>
        <v>0.16</v>
      </c>
      <c r="L355" s="93">
        <f t="shared" si="51"/>
        <v>3.6040031999999997</v>
      </c>
      <c r="M355" s="92">
        <f>VLOOKUP(H355,'Taux émission CO2e'!$A$20:$D$31,4,FALSE)</f>
        <v>6.7400000000000002E-2</v>
      </c>
      <c r="N355" s="105">
        <f t="shared" si="52"/>
        <v>3.5424348119999998</v>
      </c>
      <c r="O355" s="93">
        <f t="shared" si="53"/>
        <v>7.1464380119999991</v>
      </c>
      <c r="P355" s="92">
        <v>125</v>
      </c>
      <c r="Q355" s="92" t="s">
        <v>89</v>
      </c>
      <c r="R355" s="92" t="s">
        <v>55</v>
      </c>
      <c r="S355" s="20">
        <v>250.27799999999999</v>
      </c>
    </row>
    <row r="356" spans="1:19" x14ac:dyDescent="0.15">
      <c r="A356" s="90">
        <v>44412</v>
      </c>
      <c r="B356" s="90" t="str">
        <f t="shared" si="47"/>
        <v>août</v>
      </c>
      <c r="C356" s="90" t="str">
        <f t="shared" si="48"/>
        <v>2021</v>
      </c>
      <c r="D356" s="90" t="str">
        <f t="shared" si="49"/>
        <v>août2021</v>
      </c>
      <c r="E356" s="92" t="s">
        <v>270</v>
      </c>
      <c r="F356" s="91">
        <v>300</v>
      </c>
      <c r="G356" s="94">
        <f t="shared" si="50"/>
        <v>0.3</v>
      </c>
      <c r="H356" s="92" t="s">
        <v>45</v>
      </c>
      <c r="I356" s="96">
        <f t="shared" si="45"/>
        <v>0.3</v>
      </c>
      <c r="J356" s="96">
        <f t="shared" si="46"/>
        <v>0.7</v>
      </c>
      <c r="K356" s="92">
        <f>VLOOKUP(H356,'Taux émission CO2e'!$A$5:$D$16,4,FALSE)</f>
        <v>0.16</v>
      </c>
      <c r="L356" s="93">
        <f t="shared" si="51"/>
        <v>3.8354832000000001</v>
      </c>
      <c r="M356" s="92">
        <f>VLOOKUP(H356,'Taux émission CO2e'!$A$20:$D$31,4,FALSE)</f>
        <v>6.7400000000000002E-2</v>
      </c>
      <c r="N356" s="105">
        <f t="shared" si="52"/>
        <v>3.769960362</v>
      </c>
      <c r="O356" s="93">
        <f t="shared" si="53"/>
        <v>7.6054435619999996</v>
      </c>
      <c r="P356" s="92">
        <v>125</v>
      </c>
      <c r="Q356" s="92" t="s">
        <v>77</v>
      </c>
      <c r="R356" s="92" t="s">
        <v>55</v>
      </c>
      <c r="S356" s="20">
        <v>266.35300000000001</v>
      </c>
    </row>
    <row r="357" spans="1:19" x14ac:dyDescent="0.15">
      <c r="A357" s="90">
        <v>44412</v>
      </c>
      <c r="B357" s="90" t="str">
        <f t="shared" si="47"/>
        <v>août</v>
      </c>
      <c r="C357" s="90" t="str">
        <f t="shared" si="48"/>
        <v>2021</v>
      </c>
      <c r="D357" s="90" t="str">
        <f t="shared" si="49"/>
        <v>août2021</v>
      </c>
      <c r="E357" s="92" t="s">
        <v>271</v>
      </c>
      <c r="F357" s="91">
        <v>150</v>
      </c>
      <c r="G357" s="94">
        <f t="shared" si="50"/>
        <v>0.15</v>
      </c>
      <c r="H357" s="92" t="s">
        <v>45</v>
      </c>
      <c r="I357" s="96">
        <f t="shared" si="45"/>
        <v>0.3</v>
      </c>
      <c r="J357" s="96">
        <f t="shared" si="46"/>
        <v>0.7</v>
      </c>
      <c r="K357" s="92">
        <f>VLOOKUP(H357,'Taux émission CO2e'!$A$5:$D$16,4,FALSE)</f>
        <v>0.16</v>
      </c>
      <c r="L357" s="93">
        <f t="shared" si="51"/>
        <v>1.6271928</v>
      </c>
      <c r="M357" s="92">
        <f>VLOOKUP(H357,'Taux émission CO2e'!$A$20:$D$31,4,FALSE)</f>
        <v>6.7400000000000002E-2</v>
      </c>
      <c r="N357" s="105">
        <f t="shared" si="52"/>
        <v>1.599394923</v>
      </c>
      <c r="O357" s="93">
        <f t="shared" si="53"/>
        <v>3.2265877229999997</v>
      </c>
      <c r="P357" s="92">
        <v>125</v>
      </c>
      <c r="Q357" s="92" t="s">
        <v>77</v>
      </c>
      <c r="R357" s="92" t="s">
        <v>272</v>
      </c>
      <c r="S357" s="20">
        <v>225.999</v>
      </c>
    </row>
    <row r="358" spans="1:19" x14ac:dyDescent="0.15">
      <c r="A358" s="90">
        <v>44412</v>
      </c>
      <c r="B358" s="90" t="str">
        <f t="shared" si="47"/>
        <v>août</v>
      </c>
      <c r="C358" s="90" t="str">
        <f t="shared" si="48"/>
        <v>2021</v>
      </c>
      <c r="D358" s="90" t="str">
        <f t="shared" si="49"/>
        <v>août2021</v>
      </c>
      <c r="E358" s="92" t="s">
        <v>273</v>
      </c>
      <c r="F358" s="91">
        <v>300</v>
      </c>
      <c r="G358" s="94">
        <f t="shared" si="50"/>
        <v>0.3</v>
      </c>
      <c r="H358" s="92" t="s">
        <v>46</v>
      </c>
      <c r="I358" s="96">
        <f t="shared" si="45"/>
        <v>0.3</v>
      </c>
      <c r="J358" s="96">
        <f t="shared" si="46"/>
        <v>0.7</v>
      </c>
      <c r="K358" s="92">
        <f>VLOOKUP(H358,'Taux émission CO2e'!$A$5:$D$16,4,FALSE)</f>
        <v>0.16</v>
      </c>
      <c r="L358" s="93">
        <f t="shared" si="51"/>
        <v>3.7158191999999999</v>
      </c>
      <c r="M358" s="92">
        <f>VLOOKUP(H358,'Taux émission CO2e'!$A$20:$D$31,4,FALSE)</f>
        <v>6.7400000000000002E-2</v>
      </c>
      <c r="N358" s="105">
        <f t="shared" si="52"/>
        <v>3.6523406220000001</v>
      </c>
      <c r="O358" s="93">
        <f t="shared" si="53"/>
        <v>7.368159822</v>
      </c>
      <c r="P358" s="92">
        <v>131</v>
      </c>
      <c r="Q358" s="92" t="s">
        <v>102</v>
      </c>
      <c r="R358" s="92" t="s">
        <v>55</v>
      </c>
      <c r="S358" s="20">
        <v>258.04300000000001</v>
      </c>
    </row>
    <row r="359" spans="1:19" x14ac:dyDescent="0.15">
      <c r="A359" s="90">
        <v>44412</v>
      </c>
      <c r="B359" s="90" t="str">
        <f t="shared" si="47"/>
        <v>août</v>
      </c>
      <c r="C359" s="90" t="str">
        <f t="shared" si="48"/>
        <v>2021</v>
      </c>
      <c r="D359" s="90" t="str">
        <f t="shared" si="49"/>
        <v>août2021</v>
      </c>
      <c r="E359" s="92" t="s">
        <v>274</v>
      </c>
      <c r="F359" s="91">
        <v>300</v>
      </c>
      <c r="G359" s="94">
        <f t="shared" si="50"/>
        <v>0.3</v>
      </c>
      <c r="H359" s="92" t="s">
        <v>45</v>
      </c>
      <c r="I359" s="96">
        <f t="shared" si="45"/>
        <v>0.3</v>
      </c>
      <c r="J359" s="96">
        <f t="shared" si="46"/>
        <v>0.7</v>
      </c>
      <c r="K359" s="92">
        <f>VLOOKUP(H359,'Taux émission CO2e'!$A$5:$D$16,4,FALSE)</f>
        <v>0.16</v>
      </c>
      <c r="L359" s="93">
        <f t="shared" si="51"/>
        <v>4.0420511999999995</v>
      </c>
      <c r="M359" s="92">
        <f>VLOOKUP(H359,'Taux émission CO2e'!$A$20:$D$31,4,FALSE)</f>
        <v>6.7400000000000002E-2</v>
      </c>
      <c r="N359" s="105">
        <f t="shared" si="52"/>
        <v>3.9729994919999996</v>
      </c>
      <c r="O359" s="93">
        <f t="shared" si="53"/>
        <v>8.0150506919999991</v>
      </c>
      <c r="P359" s="92">
        <v>180</v>
      </c>
      <c r="Q359" s="92" t="s">
        <v>58</v>
      </c>
      <c r="R359" s="92" t="s">
        <v>80</v>
      </c>
      <c r="S359" s="20">
        <v>280.69799999999998</v>
      </c>
    </row>
    <row r="360" spans="1:19" x14ac:dyDescent="0.15">
      <c r="A360" s="90">
        <v>44413</v>
      </c>
      <c r="B360" s="90" t="str">
        <f t="shared" si="47"/>
        <v>août</v>
      </c>
      <c r="C360" s="90" t="str">
        <f t="shared" si="48"/>
        <v>2021</v>
      </c>
      <c r="D360" s="90" t="str">
        <f t="shared" si="49"/>
        <v>août2021</v>
      </c>
      <c r="E360" s="92" t="s">
        <v>275</v>
      </c>
      <c r="F360" s="91">
        <v>300</v>
      </c>
      <c r="G360" s="94">
        <f t="shared" si="50"/>
        <v>0.3</v>
      </c>
      <c r="H360" s="92" t="s">
        <v>46</v>
      </c>
      <c r="I360" s="96">
        <f t="shared" si="45"/>
        <v>0.3</v>
      </c>
      <c r="J360" s="96">
        <f t="shared" si="46"/>
        <v>0.7</v>
      </c>
      <c r="K360" s="92">
        <f>VLOOKUP(H360,'Taux émission CO2e'!$A$5:$D$16,4,FALSE)</f>
        <v>0.16</v>
      </c>
      <c r="L360" s="93">
        <f t="shared" si="51"/>
        <v>7.7979743999999993</v>
      </c>
      <c r="M360" s="92">
        <f>VLOOKUP(H360,'Taux émission CO2e'!$A$20:$D$31,4,FALSE)</f>
        <v>6.7400000000000002E-2</v>
      </c>
      <c r="N360" s="105">
        <f t="shared" si="52"/>
        <v>7.6647590039999995</v>
      </c>
      <c r="O360" s="93">
        <f t="shared" si="53"/>
        <v>15.462733403999998</v>
      </c>
      <c r="P360" s="92">
        <v>196</v>
      </c>
      <c r="Q360" s="92" t="s">
        <v>62</v>
      </c>
      <c r="R360" s="92" t="s">
        <v>55</v>
      </c>
      <c r="S360" s="20">
        <v>541.52599999999995</v>
      </c>
    </row>
    <row r="361" spans="1:19" x14ac:dyDescent="0.15">
      <c r="A361" s="90">
        <v>44413</v>
      </c>
      <c r="B361" s="90" t="str">
        <f t="shared" si="47"/>
        <v>août</v>
      </c>
      <c r="C361" s="90" t="str">
        <f t="shared" si="48"/>
        <v>2021</v>
      </c>
      <c r="D361" s="90" t="str">
        <f t="shared" si="49"/>
        <v>août2021</v>
      </c>
      <c r="E361" s="92" t="s">
        <v>276</v>
      </c>
      <c r="F361" s="91">
        <v>700</v>
      </c>
      <c r="G361" s="94">
        <f t="shared" si="50"/>
        <v>0.7</v>
      </c>
      <c r="H361" s="92" t="s">
        <v>45</v>
      </c>
      <c r="I361" s="96">
        <f t="shared" si="45"/>
        <v>0.3</v>
      </c>
      <c r="J361" s="96">
        <f t="shared" si="46"/>
        <v>0.7</v>
      </c>
      <c r="K361" s="92">
        <f>VLOOKUP(H361,'Taux émission CO2e'!$A$5:$D$16,4,FALSE)</f>
        <v>0.16</v>
      </c>
      <c r="L361" s="93">
        <f t="shared" si="51"/>
        <v>17.3535264</v>
      </c>
      <c r="M361" s="92">
        <f>VLOOKUP(H361,'Taux émission CO2e'!$A$20:$D$31,4,FALSE)</f>
        <v>6.7400000000000002E-2</v>
      </c>
      <c r="N361" s="105">
        <f t="shared" si="52"/>
        <v>17.057070324000001</v>
      </c>
      <c r="O361" s="93">
        <f t="shared" si="53"/>
        <v>34.410596724000001</v>
      </c>
      <c r="P361" s="92">
        <v>228</v>
      </c>
      <c r="Q361" s="92" t="s">
        <v>52</v>
      </c>
      <c r="R361" s="92" t="s">
        <v>55</v>
      </c>
      <c r="S361" s="20">
        <v>516.47400000000005</v>
      </c>
    </row>
    <row r="362" spans="1:19" x14ac:dyDescent="0.15">
      <c r="A362" s="90">
        <v>44414</v>
      </c>
      <c r="B362" s="90" t="str">
        <f t="shared" si="47"/>
        <v>août</v>
      </c>
      <c r="C362" s="90" t="str">
        <f t="shared" si="48"/>
        <v>2021</v>
      </c>
      <c r="D362" s="90" t="str">
        <f t="shared" si="49"/>
        <v>août2021</v>
      </c>
      <c r="E362" s="92" t="s">
        <v>277</v>
      </c>
      <c r="F362" s="91">
        <v>20</v>
      </c>
      <c r="G362" s="94">
        <f t="shared" si="50"/>
        <v>0.02</v>
      </c>
      <c r="H362" s="92" t="s">
        <v>45</v>
      </c>
      <c r="I362" s="96">
        <f t="shared" si="45"/>
        <v>0.3</v>
      </c>
      <c r="J362" s="96">
        <f t="shared" si="46"/>
        <v>0.7</v>
      </c>
      <c r="K362" s="92">
        <f>VLOOKUP(H362,'Taux émission CO2e'!$A$5:$D$16,4,FALSE)</f>
        <v>0.16</v>
      </c>
      <c r="L362" s="93">
        <f t="shared" si="51"/>
        <v>0.25551936000000003</v>
      </c>
      <c r="M362" s="92">
        <f>VLOOKUP(H362,'Taux émission CO2e'!$A$20:$D$31,4,FALSE)</f>
        <v>6.7400000000000002E-2</v>
      </c>
      <c r="N362" s="105">
        <f t="shared" si="52"/>
        <v>0.2511542376</v>
      </c>
      <c r="O362" s="93">
        <f t="shared" si="53"/>
        <v>0.50667359760000008</v>
      </c>
      <c r="P362" s="92">
        <v>95</v>
      </c>
      <c r="Q362" s="92" t="s">
        <v>58</v>
      </c>
      <c r="R362" s="92" t="s">
        <v>53</v>
      </c>
      <c r="S362" s="20">
        <v>266.166</v>
      </c>
    </row>
    <row r="363" spans="1:19" x14ac:dyDescent="0.15">
      <c r="A363" s="90">
        <v>44414</v>
      </c>
      <c r="B363" s="90" t="str">
        <f t="shared" si="47"/>
        <v>août</v>
      </c>
      <c r="C363" s="90" t="str">
        <f t="shared" si="48"/>
        <v>2021</v>
      </c>
      <c r="D363" s="90" t="str">
        <f t="shared" si="49"/>
        <v>août2021</v>
      </c>
      <c r="E363" s="92" t="s">
        <v>278</v>
      </c>
      <c r="F363" s="91">
        <v>380</v>
      </c>
      <c r="G363" s="94">
        <f t="shared" si="50"/>
        <v>0.38</v>
      </c>
      <c r="H363" s="92" t="s">
        <v>45</v>
      </c>
      <c r="I363" s="96">
        <f t="shared" si="45"/>
        <v>0.3</v>
      </c>
      <c r="J363" s="96">
        <f t="shared" si="46"/>
        <v>0.7</v>
      </c>
      <c r="K363" s="92">
        <f>VLOOKUP(H363,'Taux émission CO2e'!$A$5:$D$16,4,FALSE)</f>
        <v>0.16</v>
      </c>
      <c r="L363" s="93">
        <f t="shared" si="51"/>
        <v>4.8548678399999998</v>
      </c>
      <c r="M363" s="92">
        <f>VLOOKUP(H363,'Taux émission CO2e'!$A$20:$D$31,4,FALSE)</f>
        <v>6.7400000000000002E-2</v>
      </c>
      <c r="N363" s="105">
        <f t="shared" si="52"/>
        <v>4.7719305144000002</v>
      </c>
      <c r="O363" s="93">
        <f t="shared" si="53"/>
        <v>9.6267983544</v>
      </c>
      <c r="P363" s="92">
        <v>95</v>
      </c>
      <c r="Q363" s="92" t="s">
        <v>58</v>
      </c>
      <c r="R363" s="92" t="s">
        <v>53</v>
      </c>
      <c r="S363" s="20">
        <v>266.166</v>
      </c>
    </row>
    <row r="364" spans="1:19" x14ac:dyDescent="0.15">
      <c r="A364" s="90">
        <v>44417</v>
      </c>
      <c r="B364" s="90" t="str">
        <f t="shared" si="47"/>
        <v>août</v>
      </c>
      <c r="C364" s="90" t="str">
        <f t="shared" si="48"/>
        <v>2021</v>
      </c>
      <c r="D364" s="90" t="str">
        <f t="shared" si="49"/>
        <v>août2021</v>
      </c>
      <c r="E364" s="92" t="s">
        <v>279</v>
      </c>
      <c r="F364" s="91">
        <v>300</v>
      </c>
      <c r="G364" s="94">
        <f t="shared" si="50"/>
        <v>0.3</v>
      </c>
      <c r="H364" s="92" t="s">
        <v>46</v>
      </c>
      <c r="I364" s="96">
        <f t="shared" si="45"/>
        <v>0.3</v>
      </c>
      <c r="J364" s="96">
        <f t="shared" si="46"/>
        <v>0.7</v>
      </c>
      <c r="K364" s="92">
        <f>VLOOKUP(H364,'Taux émission CO2e'!$A$5:$D$16,4,FALSE)</f>
        <v>0.16</v>
      </c>
      <c r="L364" s="93">
        <f t="shared" si="51"/>
        <v>5.4804383999999997</v>
      </c>
      <c r="M364" s="92">
        <f>VLOOKUP(H364,'Taux émission CO2e'!$A$20:$D$31,4,FALSE)</f>
        <v>6.7400000000000002E-2</v>
      </c>
      <c r="N364" s="105">
        <f t="shared" si="52"/>
        <v>5.386814244</v>
      </c>
      <c r="O364" s="93">
        <f t="shared" si="53"/>
        <v>10.867252644000001</v>
      </c>
      <c r="P364" s="92">
        <v>166</v>
      </c>
      <c r="Q364" s="92" t="s">
        <v>91</v>
      </c>
      <c r="R364" s="92" t="s">
        <v>55</v>
      </c>
      <c r="S364" s="20">
        <v>380.58600000000001</v>
      </c>
    </row>
    <row r="365" spans="1:19" x14ac:dyDescent="0.15">
      <c r="A365" s="90">
        <v>44418</v>
      </c>
      <c r="B365" s="90" t="str">
        <f t="shared" si="47"/>
        <v>août</v>
      </c>
      <c r="C365" s="90" t="str">
        <f t="shared" si="48"/>
        <v>2021</v>
      </c>
      <c r="D365" s="90" t="str">
        <f t="shared" si="49"/>
        <v>août2021</v>
      </c>
      <c r="E365" s="92" t="s">
        <v>280</v>
      </c>
      <c r="F365" s="91">
        <v>300</v>
      </c>
      <c r="G365" s="94">
        <f t="shared" si="50"/>
        <v>0.3</v>
      </c>
      <c r="H365" s="92" t="s">
        <v>46</v>
      </c>
      <c r="I365" s="96">
        <f t="shared" si="45"/>
        <v>0.3</v>
      </c>
      <c r="J365" s="96">
        <f t="shared" si="46"/>
        <v>0.7</v>
      </c>
      <c r="K365" s="92">
        <f>VLOOKUP(H365,'Taux émission CO2e'!$A$5:$D$16,4,FALSE)</f>
        <v>0.16</v>
      </c>
      <c r="L365" s="93">
        <f t="shared" si="51"/>
        <v>3.6276336000000002</v>
      </c>
      <c r="M365" s="92">
        <f>VLOOKUP(H365,'Taux émission CO2e'!$A$20:$D$31,4,FALSE)</f>
        <v>6.7400000000000002E-2</v>
      </c>
      <c r="N365" s="105">
        <f t="shared" si="52"/>
        <v>3.565661526</v>
      </c>
      <c r="O365" s="93">
        <f t="shared" si="53"/>
        <v>7.1932951260000006</v>
      </c>
      <c r="P365" s="92">
        <v>158</v>
      </c>
      <c r="Q365" s="92" t="s">
        <v>92</v>
      </c>
      <c r="R365" s="92" t="s">
        <v>55</v>
      </c>
      <c r="S365" s="20">
        <v>251.91900000000001</v>
      </c>
    </row>
    <row r="366" spans="1:19" x14ac:dyDescent="0.15">
      <c r="A366" s="90">
        <v>44418</v>
      </c>
      <c r="B366" s="90" t="str">
        <f t="shared" si="47"/>
        <v>août</v>
      </c>
      <c r="C366" s="90" t="str">
        <f t="shared" si="48"/>
        <v>2021</v>
      </c>
      <c r="D366" s="90" t="str">
        <f t="shared" si="49"/>
        <v>août2021</v>
      </c>
      <c r="E366" s="92" t="s">
        <v>281</v>
      </c>
      <c r="F366" s="91">
        <v>1200</v>
      </c>
      <c r="G366" s="94">
        <f t="shared" si="50"/>
        <v>1.2</v>
      </c>
      <c r="H366" s="92" t="s">
        <v>45</v>
      </c>
      <c r="I366" s="96">
        <f t="shared" si="45"/>
        <v>0.3</v>
      </c>
      <c r="J366" s="96">
        <f t="shared" si="46"/>
        <v>0.7</v>
      </c>
      <c r="K366" s="92">
        <f>VLOOKUP(H366,'Taux émission CO2e'!$A$5:$D$16,4,FALSE)</f>
        <v>0.16</v>
      </c>
      <c r="L366" s="93">
        <f t="shared" si="51"/>
        <v>16.041427200000001</v>
      </c>
      <c r="M366" s="92">
        <f>VLOOKUP(H366,'Taux émission CO2e'!$A$20:$D$31,4,FALSE)</f>
        <v>6.7400000000000002E-2</v>
      </c>
      <c r="N366" s="105">
        <f t="shared" si="52"/>
        <v>15.767386152</v>
      </c>
      <c r="O366" s="93">
        <f t="shared" si="53"/>
        <v>31.808813352000001</v>
      </c>
      <c r="P366" s="92">
        <v>218</v>
      </c>
      <c r="Q366" s="92" t="s">
        <v>90</v>
      </c>
      <c r="R366" s="92" t="s">
        <v>55</v>
      </c>
      <c r="S366" s="20">
        <v>278.49700000000001</v>
      </c>
    </row>
    <row r="367" spans="1:19" x14ac:dyDescent="0.15">
      <c r="A367" s="90">
        <v>44419</v>
      </c>
      <c r="B367" s="90" t="str">
        <f t="shared" si="47"/>
        <v>août</v>
      </c>
      <c r="C367" s="90" t="str">
        <f t="shared" si="48"/>
        <v>2021</v>
      </c>
      <c r="D367" s="90" t="str">
        <f t="shared" si="49"/>
        <v>août2021</v>
      </c>
      <c r="E367" s="92" t="s">
        <v>282</v>
      </c>
      <c r="F367" s="91">
        <v>300</v>
      </c>
      <c r="G367" s="94">
        <f t="shared" si="50"/>
        <v>0.3</v>
      </c>
      <c r="H367" s="92" t="s">
        <v>45</v>
      </c>
      <c r="I367" s="96">
        <f t="shared" si="45"/>
        <v>0.3</v>
      </c>
      <c r="J367" s="96">
        <f t="shared" si="46"/>
        <v>0.7</v>
      </c>
      <c r="K367" s="92">
        <f>VLOOKUP(H367,'Taux émission CO2e'!$A$5:$D$16,4,FALSE)</f>
        <v>0.16</v>
      </c>
      <c r="L367" s="93">
        <f t="shared" si="51"/>
        <v>3.8354832000000001</v>
      </c>
      <c r="M367" s="92">
        <f>VLOOKUP(H367,'Taux émission CO2e'!$A$20:$D$31,4,FALSE)</f>
        <v>6.7400000000000002E-2</v>
      </c>
      <c r="N367" s="105">
        <f t="shared" si="52"/>
        <v>3.769960362</v>
      </c>
      <c r="O367" s="93">
        <f t="shared" si="53"/>
        <v>7.6054435619999996</v>
      </c>
      <c r="P367" s="92">
        <v>157</v>
      </c>
      <c r="Q367" s="92" t="s">
        <v>77</v>
      </c>
      <c r="R367" s="92" t="s">
        <v>55</v>
      </c>
      <c r="S367" s="20">
        <v>266.35300000000001</v>
      </c>
    </row>
    <row r="368" spans="1:19" x14ac:dyDescent="0.15">
      <c r="A368" s="90">
        <v>44419</v>
      </c>
      <c r="B368" s="90" t="str">
        <f t="shared" si="47"/>
        <v>août</v>
      </c>
      <c r="C368" s="90" t="str">
        <f t="shared" si="48"/>
        <v>2021</v>
      </c>
      <c r="D368" s="90" t="str">
        <f t="shared" si="49"/>
        <v>août2021</v>
      </c>
      <c r="E368" s="92" t="s">
        <v>283</v>
      </c>
      <c r="F368" s="91">
        <v>810</v>
      </c>
      <c r="G368" s="94">
        <f t="shared" si="50"/>
        <v>0.81</v>
      </c>
      <c r="H368" s="92" t="s">
        <v>45</v>
      </c>
      <c r="I368" s="96">
        <f t="shared" si="45"/>
        <v>0.3</v>
      </c>
      <c r="J368" s="96">
        <f t="shared" si="46"/>
        <v>0.7</v>
      </c>
      <c r="K368" s="92">
        <f>VLOOKUP(H368,'Taux émission CO2e'!$A$5:$D$16,4,FALSE)</f>
        <v>0.16</v>
      </c>
      <c r="L368" s="93">
        <f t="shared" si="51"/>
        <v>10.34853408</v>
      </c>
      <c r="M368" s="92">
        <f>VLOOKUP(H368,'Taux émission CO2e'!$A$20:$D$31,4,FALSE)</f>
        <v>6.7400000000000002E-2</v>
      </c>
      <c r="N368" s="105">
        <f t="shared" si="52"/>
        <v>10.171746622800001</v>
      </c>
      <c r="O368" s="93">
        <f t="shared" si="53"/>
        <v>20.520280702800001</v>
      </c>
      <c r="P368" s="92">
        <v>165</v>
      </c>
      <c r="Q368" s="92" t="s">
        <v>58</v>
      </c>
      <c r="R368" s="92" t="s">
        <v>53</v>
      </c>
      <c r="S368" s="20">
        <v>266.166</v>
      </c>
    </row>
    <row r="369" spans="1:19" x14ac:dyDescent="0.15">
      <c r="A369" s="90">
        <v>44419</v>
      </c>
      <c r="B369" s="90" t="str">
        <f t="shared" si="47"/>
        <v>août</v>
      </c>
      <c r="C369" s="90" t="str">
        <f t="shared" si="48"/>
        <v>2021</v>
      </c>
      <c r="D369" s="90" t="str">
        <f t="shared" si="49"/>
        <v>août2021</v>
      </c>
      <c r="E369" s="92" t="s">
        <v>284</v>
      </c>
      <c r="F369" s="91">
        <v>200</v>
      </c>
      <c r="G369" s="94">
        <f t="shared" si="50"/>
        <v>0.2</v>
      </c>
      <c r="H369" s="92" t="s">
        <v>45</v>
      </c>
      <c r="I369" s="96">
        <f t="shared" si="45"/>
        <v>0.3</v>
      </c>
      <c r="J369" s="96">
        <f t="shared" si="46"/>
        <v>0.7</v>
      </c>
      <c r="K369" s="92">
        <f>VLOOKUP(H369,'Taux émission CO2e'!$A$5:$D$16,4,FALSE)</f>
        <v>0.16</v>
      </c>
      <c r="L369" s="93">
        <f t="shared" si="51"/>
        <v>3.6523680000000001</v>
      </c>
      <c r="M369" s="92">
        <f>VLOOKUP(H369,'Taux émission CO2e'!$A$20:$D$31,4,FALSE)</f>
        <v>6.7400000000000002E-2</v>
      </c>
      <c r="N369" s="105">
        <f t="shared" si="52"/>
        <v>3.58997338</v>
      </c>
      <c r="O369" s="93">
        <f t="shared" si="53"/>
        <v>7.2423413800000001</v>
      </c>
      <c r="P369" s="92">
        <v>170</v>
      </c>
      <c r="Q369" s="92" t="s">
        <v>58</v>
      </c>
      <c r="R369" s="92" t="s">
        <v>83</v>
      </c>
      <c r="S369" s="20">
        <v>380.45499999999998</v>
      </c>
    </row>
    <row r="370" spans="1:19" x14ac:dyDescent="0.15">
      <c r="A370" s="90">
        <v>44419</v>
      </c>
      <c r="B370" s="90" t="str">
        <f t="shared" si="47"/>
        <v>août</v>
      </c>
      <c r="C370" s="90" t="str">
        <f t="shared" si="48"/>
        <v>2021</v>
      </c>
      <c r="D370" s="90" t="str">
        <f t="shared" si="49"/>
        <v>août2021</v>
      </c>
      <c r="E370" s="92" t="s">
        <v>285</v>
      </c>
      <c r="F370" s="91">
        <v>200</v>
      </c>
      <c r="G370" s="94">
        <f t="shared" si="50"/>
        <v>0.2</v>
      </c>
      <c r="H370" s="92" t="s">
        <v>45</v>
      </c>
      <c r="I370" s="96">
        <f t="shared" si="45"/>
        <v>0.3</v>
      </c>
      <c r="J370" s="96">
        <f t="shared" si="46"/>
        <v>0.7</v>
      </c>
      <c r="K370" s="92">
        <f>VLOOKUP(H370,'Taux émission CO2e'!$A$5:$D$16,4,FALSE)</f>
        <v>0.16</v>
      </c>
      <c r="L370" s="93">
        <f t="shared" si="51"/>
        <v>4.9516608000000009</v>
      </c>
      <c r="M370" s="92">
        <f>VLOOKUP(H370,'Taux émission CO2e'!$A$20:$D$31,4,FALSE)</f>
        <v>6.7400000000000002E-2</v>
      </c>
      <c r="N370" s="105">
        <f t="shared" si="52"/>
        <v>4.8670699280000003</v>
      </c>
      <c r="O370" s="93">
        <f t="shared" si="53"/>
        <v>9.818730728000002</v>
      </c>
      <c r="P370" s="92">
        <v>182</v>
      </c>
      <c r="Q370" s="92" t="s">
        <v>58</v>
      </c>
      <c r="R370" s="92" t="s">
        <v>57</v>
      </c>
      <c r="S370" s="20">
        <v>515.798</v>
      </c>
    </row>
    <row r="371" spans="1:19" x14ac:dyDescent="0.15">
      <c r="A371" s="90">
        <v>44420</v>
      </c>
      <c r="B371" s="90" t="str">
        <f t="shared" si="47"/>
        <v>août</v>
      </c>
      <c r="C371" s="90" t="str">
        <f t="shared" si="48"/>
        <v>2021</v>
      </c>
      <c r="D371" s="90" t="str">
        <f t="shared" si="49"/>
        <v>août2021</v>
      </c>
      <c r="E371" s="92" t="s">
        <v>286</v>
      </c>
      <c r="F371" s="91">
        <v>150</v>
      </c>
      <c r="G371" s="94">
        <f t="shared" si="50"/>
        <v>0.15</v>
      </c>
      <c r="H371" s="92" t="s">
        <v>38</v>
      </c>
      <c r="I371" s="96">
        <f t="shared" si="45"/>
        <v>1</v>
      </c>
      <c r="J371" s="96">
        <f t="shared" si="46"/>
        <v>0</v>
      </c>
      <c r="K371" s="92">
        <f>VLOOKUP(H371,'Taux émission CO2e'!$A$5:$D$16,4,FALSE)</f>
        <v>0.24099999999999999</v>
      </c>
      <c r="L371" s="93">
        <f t="shared" si="51"/>
        <v>1.2322088999999998</v>
      </c>
      <c r="M371" s="92">
        <f>VLOOKUP(H371,'Taux émission CO2e'!$A$20:$D$31,4,FALSE)</f>
        <v>0</v>
      </c>
      <c r="N371" s="105">
        <f t="shared" si="52"/>
        <v>0</v>
      </c>
      <c r="O371" s="93">
        <f t="shared" si="53"/>
        <v>1.2322088999999998</v>
      </c>
      <c r="P371" s="92">
        <v>80</v>
      </c>
      <c r="Q371" s="92" t="s">
        <v>58</v>
      </c>
      <c r="R371" s="92" t="s">
        <v>98</v>
      </c>
      <c r="S371" s="20">
        <v>34.085999999999999</v>
      </c>
    </row>
    <row r="372" spans="1:19" x14ac:dyDescent="0.15">
      <c r="A372" s="90">
        <v>44420</v>
      </c>
      <c r="B372" s="90" t="str">
        <f t="shared" si="47"/>
        <v>août</v>
      </c>
      <c r="C372" s="90" t="str">
        <f t="shared" si="48"/>
        <v>2021</v>
      </c>
      <c r="D372" s="90" t="str">
        <f t="shared" si="49"/>
        <v>août2021</v>
      </c>
      <c r="E372" s="92" t="s">
        <v>287</v>
      </c>
      <c r="F372" s="91">
        <v>290</v>
      </c>
      <c r="G372" s="94">
        <f t="shared" si="50"/>
        <v>0.28999999999999998</v>
      </c>
      <c r="H372" s="92" t="s">
        <v>45</v>
      </c>
      <c r="I372" s="96">
        <f t="shared" si="45"/>
        <v>0.3</v>
      </c>
      <c r="J372" s="96">
        <f t="shared" si="46"/>
        <v>0.7</v>
      </c>
      <c r="K372" s="92">
        <f>VLOOKUP(H372,'Taux émission CO2e'!$A$5:$D$16,4,FALSE)</f>
        <v>0.16</v>
      </c>
      <c r="L372" s="93">
        <f t="shared" si="51"/>
        <v>3.4880596800000001</v>
      </c>
      <c r="M372" s="92">
        <f>VLOOKUP(H372,'Taux émission CO2e'!$A$20:$D$31,4,FALSE)</f>
        <v>6.7400000000000002E-2</v>
      </c>
      <c r="N372" s="105">
        <f t="shared" si="52"/>
        <v>3.4284719937999997</v>
      </c>
      <c r="O372" s="93">
        <f t="shared" si="53"/>
        <v>6.9165316737999998</v>
      </c>
      <c r="P372" s="92">
        <v>92</v>
      </c>
      <c r="Q372" s="92" t="s">
        <v>58</v>
      </c>
      <c r="R372" s="92" t="s">
        <v>79</v>
      </c>
      <c r="S372" s="20">
        <v>250.57900000000001</v>
      </c>
    </row>
    <row r="373" spans="1:19" x14ac:dyDescent="0.15">
      <c r="A373" s="90">
        <v>44420</v>
      </c>
      <c r="B373" s="90" t="str">
        <f t="shared" si="47"/>
        <v>août</v>
      </c>
      <c r="C373" s="90" t="str">
        <f t="shared" si="48"/>
        <v>2021</v>
      </c>
      <c r="D373" s="90" t="str">
        <f t="shared" si="49"/>
        <v>août2021</v>
      </c>
      <c r="E373" s="92" t="s">
        <v>288</v>
      </c>
      <c r="F373" s="91">
        <v>300</v>
      </c>
      <c r="G373" s="94">
        <f t="shared" si="50"/>
        <v>0.3</v>
      </c>
      <c r="H373" s="92" t="s">
        <v>45</v>
      </c>
      <c r="I373" s="96">
        <f t="shared" si="45"/>
        <v>0.3</v>
      </c>
      <c r="J373" s="96">
        <f t="shared" si="46"/>
        <v>0.7</v>
      </c>
      <c r="K373" s="92">
        <f>VLOOKUP(H373,'Taux émission CO2e'!$A$5:$D$16,4,FALSE)</f>
        <v>0.16</v>
      </c>
      <c r="L373" s="93">
        <f t="shared" si="51"/>
        <v>3.5826767999999998</v>
      </c>
      <c r="M373" s="92">
        <f>VLOOKUP(H373,'Taux émission CO2e'!$A$20:$D$31,4,FALSE)</f>
        <v>6.7400000000000002E-2</v>
      </c>
      <c r="N373" s="105">
        <f t="shared" si="52"/>
        <v>3.5214727379999999</v>
      </c>
      <c r="O373" s="93">
        <f t="shared" si="53"/>
        <v>7.1041495379999997</v>
      </c>
      <c r="P373" s="92">
        <v>132</v>
      </c>
      <c r="Q373" s="92" t="s">
        <v>58</v>
      </c>
      <c r="R373" s="92" t="s">
        <v>82</v>
      </c>
      <c r="S373" s="20">
        <v>248.797</v>
      </c>
    </row>
    <row r="374" spans="1:19" x14ac:dyDescent="0.15">
      <c r="A374" s="90">
        <v>44421</v>
      </c>
      <c r="B374" s="90" t="str">
        <f t="shared" si="47"/>
        <v>août</v>
      </c>
      <c r="C374" s="90" t="str">
        <f t="shared" si="48"/>
        <v>2021</v>
      </c>
      <c r="D374" s="90" t="str">
        <f t="shared" si="49"/>
        <v>août2021</v>
      </c>
      <c r="E374" s="92" t="s">
        <v>289</v>
      </c>
      <c r="F374" s="91">
        <v>800</v>
      </c>
      <c r="G374" s="94">
        <f t="shared" si="50"/>
        <v>0.8</v>
      </c>
      <c r="H374" s="92" t="s">
        <v>45</v>
      </c>
      <c r="I374" s="96">
        <f t="shared" si="45"/>
        <v>0.3</v>
      </c>
      <c r="J374" s="96">
        <f t="shared" si="46"/>
        <v>0.7</v>
      </c>
      <c r="K374" s="92">
        <f>VLOOKUP(H374,'Taux émission CO2e'!$A$5:$D$16,4,FALSE)</f>
        <v>0.16</v>
      </c>
      <c r="L374" s="93">
        <f t="shared" si="51"/>
        <v>19.832601600000004</v>
      </c>
      <c r="M374" s="92">
        <f>VLOOKUP(H374,'Taux émission CO2e'!$A$20:$D$31,4,FALSE)</f>
        <v>6.7400000000000002E-2</v>
      </c>
      <c r="N374" s="105">
        <f t="shared" si="52"/>
        <v>19.493794656000002</v>
      </c>
      <c r="O374" s="93">
        <f t="shared" si="53"/>
        <v>39.32639625600001</v>
      </c>
      <c r="P374" s="92">
        <v>253</v>
      </c>
      <c r="Q374" s="92" t="s">
        <v>52</v>
      </c>
      <c r="R374" s="92" t="s">
        <v>55</v>
      </c>
      <c r="S374" s="20">
        <v>516.47400000000005</v>
      </c>
    </row>
    <row r="375" spans="1:19" x14ac:dyDescent="0.15">
      <c r="A375" s="90">
        <v>44424</v>
      </c>
      <c r="B375" s="90" t="str">
        <f t="shared" si="47"/>
        <v>août</v>
      </c>
      <c r="C375" s="90" t="str">
        <f t="shared" si="48"/>
        <v>2021</v>
      </c>
      <c r="D375" s="90" t="str">
        <f t="shared" si="49"/>
        <v>août2021</v>
      </c>
      <c r="E375" s="92" t="s">
        <v>290</v>
      </c>
      <c r="F375" s="91">
        <v>300</v>
      </c>
      <c r="G375" s="94">
        <f t="shared" si="50"/>
        <v>0.3</v>
      </c>
      <c r="H375" s="92" t="s">
        <v>46</v>
      </c>
      <c r="I375" s="96">
        <f t="shared" si="45"/>
        <v>0.3</v>
      </c>
      <c r="J375" s="96">
        <f t="shared" si="46"/>
        <v>0.7</v>
      </c>
      <c r="K375" s="92">
        <f>VLOOKUP(H375,'Taux émission CO2e'!$A$5:$D$16,4,FALSE)</f>
        <v>0.16</v>
      </c>
      <c r="L375" s="93">
        <f t="shared" si="51"/>
        <v>5.4804383999999997</v>
      </c>
      <c r="M375" s="92">
        <f>VLOOKUP(H375,'Taux émission CO2e'!$A$20:$D$31,4,FALSE)</f>
        <v>6.7400000000000002E-2</v>
      </c>
      <c r="N375" s="105">
        <f t="shared" si="52"/>
        <v>5.386814244</v>
      </c>
      <c r="O375" s="93">
        <f t="shared" si="53"/>
        <v>10.867252644000001</v>
      </c>
      <c r="P375" s="92">
        <v>166</v>
      </c>
      <c r="Q375" s="92" t="s">
        <v>91</v>
      </c>
      <c r="R375" s="92" t="s">
        <v>55</v>
      </c>
      <c r="S375" s="20">
        <v>380.58600000000001</v>
      </c>
    </row>
    <row r="376" spans="1:19" x14ac:dyDescent="0.15">
      <c r="A376" s="90">
        <v>44425</v>
      </c>
      <c r="B376" s="90" t="str">
        <f t="shared" si="47"/>
        <v>août</v>
      </c>
      <c r="C376" s="90" t="str">
        <f t="shared" si="48"/>
        <v>2021</v>
      </c>
      <c r="D376" s="90" t="str">
        <f t="shared" si="49"/>
        <v>août2021</v>
      </c>
      <c r="E376" s="92" t="s">
        <v>291</v>
      </c>
      <c r="F376" s="91">
        <v>135</v>
      </c>
      <c r="G376" s="94">
        <f t="shared" si="50"/>
        <v>0.13500000000000001</v>
      </c>
      <c r="H376" s="92" t="s">
        <v>45</v>
      </c>
      <c r="I376" s="96">
        <f t="shared" si="45"/>
        <v>0.3</v>
      </c>
      <c r="J376" s="96">
        <f t="shared" si="46"/>
        <v>0.7</v>
      </c>
      <c r="K376" s="92">
        <f>VLOOKUP(H376,'Taux émission CO2e'!$A$5:$D$16,4,FALSE)</f>
        <v>0.16</v>
      </c>
      <c r="L376" s="93">
        <f t="shared" si="51"/>
        <v>1.7247556800000001</v>
      </c>
      <c r="M376" s="92">
        <f>VLOOKUP(H376,'Taux émission CO2e'!$A$20:$D$31,4,FALSE)</f>
        <v>6.7400000000000002E-2</v>
      </c>
      <c r="N376" s="105">
        <f t="shared" si="52"/>
        <v>1.6952911038</v>
      </c>
      <c r="O376" s="93">
        <f t="shared" si="53"/>
        <v>3.4200467838000002</v>
      </c>
      <c r="P376" s="92">
        <v>95</v>
      </c>
      <c r="Q376" s="92" t="s">
        <v>58</v>
      </c>
      <c r="R376" s="92" t="s">
        <v>53</v>
      </c>
      <c r="S376" s="20">
        <v>266.166</v>
      </c>
    </row>
    <row r="377" spans="1:19" x14ac:dyDescent="0.15">
      <c r="A377" s="90">
        <v>44425</v>
      </c>
      <c r="B377" s="90" t="str">
        <f t="shared" si="47"/>
        <v>août</v>
      </c>
      <c r="C377" s="90" t="str">
        <f t="shared" si="48"/>
        <v>2021</v>
      </c>
      <c r="D377" s="90" t="str">
        <f t="shared" si="49"/>
        <v>août2021</v>
      </c>
      <c r="E377" s="92" t="s">
        <v>292</v>
      </c>
      <c r="F377" s="91">
        <v>175</v>
      </c>
      <c r="G377" s="94">
        <f t="shared" si="50"/>
        <v>0.17499999999999999</v>
      </c>
      <c r="H377" s="92" t="s">
        <v>45</v>
      </c>
      <c r="I377" s="96">
        <f t="shared" si="45"/>
        <v>0.3</v>
      </c>
      <c r="J377" s="96">
        <f t="shared" si="46"/>
        <v>0.7</v>
      </c>
      <c r="K377" s="92">
        <f>VLOOKUP(H377,'Taux émission CO2e'!$A$5:$D$16,4,FALSE)</f>
        <v>0.16</v>
      </c>
      <c r="L377" s="93">
        <f t="shared" si="51"/>
        <v>2.3503115999999995</v>
      </c>
      <c r="M377" s="92">
        <f>VLOOKUP(H377,'Taux émission CO2e'!$A$20:$D$31,4,FALSE)</f>
        <v>6.7400000000000002E-2</v>
      </c>
      <c r="N377" s="105">
        <f t="shared" si="52"/>
        <v>2.3101604434999996</v>
      </c>
      <c r="O377" s="93">
        <f t="shared" si="53"/>
        <v>4.6604720434999987</v>
      </c>
      <c r="P377" s="92">
        <v>105</v>
      </c>
      <c r="Q377" s="92" t="s">
        <v>58</v>
      </c>
      <c r="R377" s="92" t="s">
        <v>70</v>
      </c>
      <c r="S377" s="20">
        <v>279.79899999999998</v>
      </c>
    </row>
    <row r="378" spans="1:19" x14ac:dyDescent="0.15">
      <c r="A378" s="90">
        <v>44425</v>
      </c>
      <c r="B378" s="90" t="str">
        <f t="shared" si="47"/>
        <v>août</v>
      </c>
      <c r="C378" s="90" t="str">
        <f t="shared" si="48"/>
        <v>2021</v>
      </c>
      <c r="D378" s="90" t="str">
        <f t="shared" si="49"/>
        <v>août2021</v>
      </c>
      <c r="E378" s="92" t="s">
        <v>293</v>
      </c>
      <c r="F378" s="91">
        <v>300</v>
      </c>
      <c r="G378" s="94">
        <f t="shared" si="50"/>
        <v>0.3</v>
      </c>
      <c r="H378" s="92" t="s">
        <v>46</v>
      </c>
      <c r="I378" s="96">
        <f t="shared" si="45"/>
        <v>0.3</v>
      </c>
      <c r="J378" s="96">
        <f t="shared" si="46"/>
        <v>0.7</v>
      </c>
      <c r="K378" s="92">
        <f>VLOOKUP(H378,'Taux émission CO2e'!$A$5:$D$16,4,FALSE)</f>
        <v>0.16</v>
      </c>
      <c r="L378" s="93">
        <f t="shared" si="51"/>
        <v>3.6276336000000002</v>
      </c>
      <c r="M378" s="92">
        <f>VLOOKUP(H378,'Taux émission CO2e'!$A$20:$D$31,4,FALSE)</f>
        <v>6.7400000000000002E-2</v>
      </c>
      <c r="N378" s="105">
        <f t="shared" si="52"/>
        <v>3.565661526</v>
      </c>
      <c r="O378" s="93">
        <f t="shared" si="53"/>
        <v>7.1932951260000006</v>
      </c>
      <c r="P378" s="92">
        <v>125</v>
      </c>
      <c r="Q378" s="92" t="s">
        <v>92</v>
      </c>
      <c r="R378" s="92" t="s">
        <v>55</v>
      </c>
      <c r="S378" s="20">
        <v>251.91900000000001</v>
      </c>
    </row>
    <row r="379" spans="1:19" x14ac:dyDescent="0.15">
      <c r="A379" s="90">
        <v>44425</v>
      </c>
      <c r="B379" s="90" t="str">
        <f t="shared" si="47"/>
        <v>août</v>
      </c>
      <c r="C379" s="90" t="str">
        <f t="shared" si="48"/>
        <v>2021</v>
      </c>
      <c r="D379" s="90" t="str">
        <f t="shared" si="49"/>
        <v>août2021</v>
      </c>
      <c r="E379" s="92" t="s">
        <v>294</v>
      </c>
      <c r="F379" s="91">
        <v>300</v>
      </c>
      <c r="G379" s="94">
        <f t="shared" si="50"/>
        <v>0.3</v>
      </c>
      <c r="H379" s="92" t="s">
        <v>45</v>
      </c>
      <c r="I379" s="96">
        <f t="shared" si="45"/>
        <v>0.3</v>
      </c>
      <c r="J379" s="96">
        <f t="shared" si="46"/>
        <v>0.7</v>
      </c>
      <c r="K379" s="92">
        <f>VLOOKUP(H379,'Taux émission CO2e'!$A$5:$D$16,4,FALSE)</f>
        <v>0.16</v>
      </c>
      <c r="L379" s="93">
        <f t="shared" si="51"/>
        <v>4.0103568000000003</v>
      </c>
      <c r="M379" s="92">
        <f>VLOOKUP(H379,'Taux émission CO2e'!$A$20:$D$31,4,FALSE)</f>
        <v>6.7400000000000002E-2</v>
      </c>
      <c r="N379" s="105">
        <f t="shared" si="52"/>
        <v>3.9418465380000001</v>
      </c>
      <c r="O379" s="93">
        <f t="shared" si="53"/>
        <v>7.9522033380000003</v>
      </c>
      <c r="P379" s="92">
        <v>131</v>
      </c>
      <c r="Q379" s="92" t="s">
        <v>90</v>
      </c>
      <c r="R379" s="92" t="s">
        <v>55</v>
      </c>
      <c r="S379" s="20">
        <v>278.49700000000001</v>
      </c>
    </row>
    <row r="380" spans="1:19" x14ac:dyDescent="0.15">
      <c r="A380" s="90">
        <v>44426</v>
      </c>
      <c r="B380" s="90" t="str">
        <f t="shared" si="47"/>
        <v>août</v>
      </c>
      <c r="C380" s="90" t="str">
        <f t="shared" si="48"/>
        <v>2021</v>
      </c>
      <c r="D380" s="90" t="str">
        <f t="shared" si="49"/>
        <v>août2021</v>
      </c>
      <c r="E380" s="92" t="s">
        <v>295</v>
      </c>
      <c r="F380" s="91">
        <v>150</v>
      </c>
      <c r="G380" s="94">
        <f t="shared" si="50"/>
        <v>0.15</v>
      </c>
      <c r="H380" s="92" t="s">
        <v>46</v>
      </c>
      <c r="I380" s="96">
        <f t="shared" si="45"/>
        <v>0.3</v>
      </c>
      <c r="J380" s="96">
        <f t="shared" si="46"/>
        <v>0.7</v>
      </c>
      <c r="K380" s="92">
        <f>VLOOKUP(H380,'Taux émission CO2e'!$A$5:$D$16,4,FALSE)</f>
        <v>0.16</v>
      </c>
      <c r="L380" s="93">
        <f t="shared" si="51"/>
        <v>1.7822519999999999</v>
      </c>
      <c r="M380" s="92">
        <f>VLOOKUP(H380,'Taux émission CO2e'!$A$20:$D$31,4,FALSE)</f>
        <v>6.7400000000000002E-2</v>
      </c>
      <c r="N380" s="105">
        <f t="shared" si="52"/>
        <v>1.751805195</v>
      </c>
      <c r="O380" s="93">
        <f t="shared" si="53"/>
        <v>3.5340571949999999</v>
      </c>
      <c r="P380" s="92">
        <v>60</v>
      </c>
      <c r="Q380" s="92" t="s">
        <v>296</v>
      </c>
      <c r="R380" s="92" t="s">
        <v>55</v>
      </c>
      <c r="S380" s="20">
        <v>247.535</v>
      </c>
    </row>
    <row r="381" spans="1:19" x14ac:dyDescent="0.15">
      <c r="A381" s="90">
        <v>44426</v>
      </c>
      <c r="B381" s="90" t="str">
        <f t="shared" si="47"/>
        <v>août</v>
      </c>
      <c r="C381" s="90" t="str">
        <f t="shared" si="48"/>
        <v>2021</v>
      </c>
      <c r="D381" s="90" t="str">
        <f t="shared" si="49"/>
        <v>août2021</v>
      </c>
      <c r="E381" s="92" t="s">
        <v>297</v>
      </c>
      <c r="F381" s="91">
        <v>300</v>
      </c>
      <c r="G381" s="94">
        <f t="shared" si="50"/>
        <v>0.3</v>
      </c>
      <c r="H381" s="92" t="s">
        <v>45</v>
      </c>
      <c r="I381" s="96">
        <f t="shared" si="45"/>
        <v>0.3</v>
      </c>
      <c r="J381" s="96">
        <f t="shared" si="46"/>
        <v>0.7</v>
      </c>
      <c r="K381" s="92">
        <f>VLOOKUP(H381,'Taux émission CO2e'!$A$5:$D$16,4,FALSE)</f>
        <v>0.16</v>
      </c>
      <c r="L381" s="93">
        <f t="shared" si="51"/>
        <v>3.8354832000000001</v>
      </c>
      <c r="M381" s="92">
        <f>VLOOKUP(H381,'Taux émission CO2e'!$A$20:$D$31,4,FALSE)</f>
        <v>6.7400000000000002E-2</v>
      </c>
      <c r="N381" s="105">
        <f t="shared" si="52"/>
        <v>3.769960362</v>
      </c>
      <c r="O381" s="93">
        <f t="shared" si="53"/>
        <v>7.6054435619999996</v>
      </c>
      <c r="P381" s="92">
        <v>125</v>
      </c>
      <c r="Q381" s="92" t="s">
        <v>77</v>
      </c>
      <c r="R381" s="92" t="s">
        <v>55</v>
      </c>
      <c r="S381" s="20">
        <v>266.35300000000001</v>
      </c>
    </row>
    <row r="382" spans="1:19" x14ac:dyDescent="0.15">
      <c r="A382" s="90">
        <v>44426</v>
      </c>
      <c r="B382" s="90" t="str">
        <f t="shared" si="47"/>
        <v>août</v>
      </c>
      <c r="C382" s="90" t="str">
        <f t="shared" si="48"/>
        <v>2021</v>
      </c>
      <c r="D382" s="90" t="str">
        <f t="shared" si="49"/>
        <v>août2021</v>
      </c>
      <c r="E382" s="92" t="s">
        <v>298</v>
      </c>
      <c r="F382" s="91">
        <v>300</v>
      </c>
      <c r="G382" s="94">
        <f t="shared" si="50"/>
        <v>0.3</v>
      </c>
      <c r="H382" s="92" t="s">
        <v>45</v>
      </c>
      <c r="I382" s="96">
        <f t="shared" si="45"/>
        <v>0.3</v>
      </c>
      <c r="J382" s="96">
        <f t="shared" si="46"/>
        <v>0.7</v>
      </c>
      <c r="K382" s="92">
        <f>VLOOKUP(H382,'Taux émission CO2e'!$A$5:$D$16,4,FALSE)</f>
        <v>0.16</v>
      </c>
      <c r="L382" s="93">
        <f t="shared" si="51"/>
        <v>4.0052879999999993</v>
      </c>
      <c r="M382" s="92">
        <f>VLOOKUP(H382,'Taux émission CO2e'!$A$20:$D$31,4,FALSE)</f>
        <v>6.7400000000000002E-2</v>
      </c>
      <c r="N382" s="105">
        <f t="shared" si="52"/>
        <v>3.9368643299999997</v>
      </c>
      <c r="O382" s="93">
        <f t="shared" si="53"/>
        <v>7.942152329999999</v>
      </c>
      <c r="P382" s="92">
        <v>158</v>
      </c>
      <c r="Q382" s="92" t="s">
        <v>74</v>
      </c>
      <c r="R382" s="92" t="s">
        <v>55</v>
      </c>
      <c r="S382" s="20">
        <v>278.14499999999998</v>
      </c>
    </row>
    <row r="383" spans="1:19" x14ac:dyDescent="0.15">
      <c r="A383" s="90">
        <v>44426</v>
      </c>
      <c r="B383" s="90" t="str">
        <f t="shared" si="47"/>
        <v>août</v>
      </c>
      <c r="C383" s="90" t="str">
        <f t="shared" si="48"/>
        <v>2021</v>
      </c>
      <c r="D383" s="90" t="str">
        <f t="shared" si="49"/>
        <v>août2021</v>
      </c>
      <c r="E383" s="92" t="s">
        <v>299</v>
      </c>
      <c r="F383" s="91">
        <v>150</v>
      </c>
      <c r="G383" s="94">
        <f t="shared" si="50"/>
        <v>0.15</v>
      </c>
      <c r="H383" s="92" t="s">
        <v>45</v>
      </c>
      <c r="I383" s="96">
        <f t="shared" si="45"/>
        <v>0.3</v>
      </c>
      <c r="J383" s="96">
        <f t="shared" si="46"/>
        <v>0.7</v>
      </c>
      <c r="K383" s="92">
        <f>VLOOKUP(H383,'Taux émission CO2e'!$A$5:$D$16,4,FALSE)</f>
        <v>0.16</v>
      </c>
      <c r="L383" s="93">
        <f t="shared" si="51"/>
        <v>7.1046431999999999</v>
      </c>
      <c r="M383" s="92">
        <f>VLOOKUP(H383,'Taux émission CO2e'!$A$20:$D$31,4,FALSE)</f>
        <v>6.7400000000000002E-2</v>
      </c>
      <c r="N383" s="105">
        <f t="shared" si="52"/>
        <v>6.9832722120000001</v>
      </c>
      <c r="O383" s="93">
        <f t="shared" si="53"/>
        <v>14.087915412000001</v>
      </c>
      <c r="P383" s="92">
        <v>175</v>
      </c>
      <c r="Q383" s="92" t="s">
        <v>73</v>
      </c>
      <c r="R383" s="92" t="s">
        <v>53</v>
      </c>
      <c r="S383" s="20">
        <v>986.75599999999997</v>
      </c>
    </row>
    <row r="384" spans="1:19" x14ac:dyDescent="0.15">
      <c r="A384" s="90">
        <v>44427</v>
      </c>
      <c r="B384" s="90" t="str">
        <f t="shared" si="47"/>
        <v>août</v>
      </c>
      <c r="C384" s="90" t="str">
        <f t="shared" si="48"/>
        <v>2021</v>
      </c>
      <c r="D384" s="90" t="str">
        <f t="shared" si="49"/>
        <v>août2021</v>
      </c>
      <c r="E384" s="92" t="s">
        <v>300</v>
      </c>
      <c r="F384" s="91">
        <v>255</v>
      </c>
      <c r="G384" s="94">
        <f t="shared" si="50"/>
        <v>0.255</v>
      </c>
      <c r="H384" s="92" t="s">
        <v>46</v>
      </c>
      <c r="I384" s="96">
        <f t="shared" si="45"/>
        <v>0.3</v>
      </c>
      <c r="J384" s="96">
        <f t="shared" si="46"/>
        <v>0.7</v>
      </c>
      <c r="K384" s="92">
        <f>VLOOKUP(H384,'Taux émission CO2e'!$A$5:$D$16,4,FALSE)</f>
        <v>0.16</v>
      </c>
      <c r="L384" s="93">
        <f t="shared" si="51"/>
        <v>10.249935120000002</v>
      </c>
      <c r="M384" s="92">
        <f>VLOOKUP(H384,'Taux émission CO2e'!$A$20:$D$31,4,FALSE)</f>
        <v>6.7400000000000002E-2</v>
      </c>
      <c r="N384" s="105">
        <f t="shared" si="52"/>
        <v>10.0748320617</v>
      </c>
      <c r="O384" s="93">
        <f t="shared" si="53"/>
        <v>20.324767181700004</v>
      </c>
      <c r="P384" s="92">
        <v>147</v>
      </c>
      <c r="Q384" s="92" t="s">
        <v>58</v>
      </c>
      <c r="R384" s="92" t="s">
        <v>61</v>
      </c>
      <c r="S384" s="20">
        <v>837.41300000000001</v>
      </c>
    </row>
    <row r="385" spans="1:19" x14ac:dyDescent="0.15">
      <c r="A385" s="90">
        <v>44427</v>
      </c>
      <c r="B385" s="90" t="str">
        <f t="shared" si="47"/>
        <v>août</v>
      </c>
      <c r="C385" s="90" t="str">
        <f t="shared" si="48"/>
        <v>2021</v>
      </c>
      <c r="D385" s="90" t="str">
        <f t="shared" si="49"/>
        <v>août2021</v>
      </c>
      <c r="E385" s="92" t="s">
        <v>301</v>
      </c>
      <c r="F385" s="91">
        <v>300</v>
      </c>
      <c r="G385" s="94">
        <f t="shared" si="50"/>
        <v>0.3</v>
      </c>
      <c r="H385" s="92" t="s">
        <v>45</v>
      </c>
      <c r="I385" s="96">
        <f t="shared" si="45"/>
        <v>0.3</v>
      </c>
      <c r="J385" s="96">
        <f t="shared" si="46"/>
        <v>0.7</v>
      </c>
      <c r="K385" s="92">
        <f>VLOOKUP(H385,'Taux émission CO2e'!$A$5:$D$16,4,FALSE)</f>
        <v>0.16</v>
      </c>
      <c r="L385" s="93">
        <f t="shared" si="51"/>
        <v>7.4372256000000005</v>
      </c>
      <c r="M385" s="92">
        <f>VLOOKUP(H385,'Taux émission CO2e'!$A$20:$D$31,4,FALSE)</f>
        <v>6.7400000000000002E-2</v>
      </c>
      <c r="N385" s="105">
        <f t="shared" si="52"/>
        <v>7.3101729960000004</v>
      </c>
      <c r="O385" s="93">
        <f t="shared" si="53"/>
        <v>14.747398596</v>
      </c>
      <c r="P385" s="92">
        <v>228</v>
      </c>
      <c r="Q385" s="92" t="s">
        <v>52</v>
      </c>
      <c r="R385" s="92" t="s">
        <v>55</v>
      </c>
      <c r="S385" s="20">
        <v>516.47400000000005</v>
      </c>
    </row>
    <row r="386" spans="1:19" x14ac:dyDescent="0.15">
      <c r="A386" s="90">
        <v>44428</v>
      </c>
      <c r="B386" s="90" t="str">
        <f t="shared" si="47"/>
        <v>août</v>
      </c>
      <c r="C386" s="90" t="str">
        <f t="shared" si="48"/>
        <v>2021</v>
      </c>
      <c r="D386" s="90" t="str">
        <f t="shared" si="49"/>
        <v>août2021</v>
      </c>
      <c r="E386" s="92" t="s">
        <v>302</v>
      </c>
      <c r="F386" s="91">
        <v>1170</v>
      </c>
      <c r="G386" s="94">
        <f t="shared" si="50"/>
        <v>1.17</v>
      </c>
      <c r="H386" s="92" t="s">
        <v>45</v>
      </c>
      <c r="I386" s="96">
        <f t="shared" ref="I386:I449" si="54">VLOOKUP(H386,Segment1,2,FALSE)</f>
        <v>0.3</v>
      </c>
      <c r="J386" s="96">
        <f t="shared" ref="J386:J449" si="55">VLOOKUP(H386,Segment2,2,FALSE)</f>
        <v>0.7</v>
      </c>
      <c r="K386" s="92">
        <f>VLOOKUP(H386,'Taux émission CO2e'!$A$5:$D$16,4,FALSE)</f>
        <v>0.16</v>
      </c>
      <c r="L386" s="93">
        <f t="shared" si="51"/>
        <v>28.967215679999999</v>
      </c>
      <c r="M386" s="92">
        <f>VLOOKUP(H386,'Taux émission CO2e'!$A$20:$D$31,4,FALSE)</f>
        <v>6.7400000000000002E-2</v>
      </c>
      <c r="N386" s="105">
        <f t="shared" si="52"/>
        <v>28.472359078799997</v>
      </c>
      <c r="O386" s="93">
        <f t="shared" si="53"/>
        <v>57.439574758799992</v>
      </c>
      <c r="P386" s="92">
        <v>287</v>
      </c>
      <c r="Q386" s="92" t="s">
        <v>58</v>
      </c>
      <c r="R386" s="92" t="s">
        <v>57</v>
      </c>
      <c r="S386" s="20">
        <v>515.798</v>
      </c>
    </row>
    <row r="387" spans="1:19" x14ac:dyDescent="0.15">
      <c r="A387" s="90">
        <v>44431</v>
      </c>
      <c r="B387" s="90" t="str">
        <f t="shared" ref="B387:B450" si="56">TEXT(A387,"mmmm")</f>
        <v>août</v>
      </c>
      <c r="C387" s="90" t="str">
        <f t="shared" ref="C387:C450" si="57">TEXT(A387,"aaaa")</f>
        <v>2021</v>
      </c>
      <c r="D387" s="90" t="str">
        <f t="shared" ref="D387:D450" si="58">B387&amp;C387</f>
        <v>août2021</v>
      </c>
      <c r="E387" s="92" t="s">
        <v>303</v>
      </c>
      <c r="F387" s="91">
        <v>275</v>
      </c>
      <c r="G387" s="94">
        <f t="shared" ref="G387:G450" si="59">F387/1000</f>
        <v>0.27500000000000002</v>
      </c>
      <c r="H387" s="92" t="s">
        <v>45</v>
      </c>
      <c r="I387" s="96">
        <f t="shared" si="54"/>
        <v>0.3</v>
      </c>
      <c r="J387" s="96">
        <f t="shared" si="55"/>
        <v>0.7</v>
      </c>
      <c r="K387" s="92">
        <f>VLOOKUP(H387,'Taux émission CO2e'!$A$5:$D$16,4,FALSE)</f>
        <v>0.16</v>
      </c>
      <c r="L387" s="93">
        <f t="shared" ref="L387:L450" si="60">IFERROR(I387*K387*G387*S387,"0")</f>
        <v>3.6933468</v>
      </c>
      <c r="M387" s="92">
        <f>VLOOKUP(H387,'Taux émission CO2e'!$A$20:$D$31,4,FALSE)</f>
        <v>6.7400000000000002E-2</v>
      </c>
      <c r="N387" s="105">
        <f t="shared" ref="N387:N450" si="61">IFERROR(J387*M387*G387*S387,"0")</f>
        <v>3.6302521255000002</v>
      </c>
      <c r="O387" s="93">
        <f t="shared" ref="O387:O450" si="62">L387+N387</f>
        <v>7.3235989255000007</v>
      </c>
      <c r="P387" s="92">
        <v>105</v>
      </c>
      <c r="Q387" s="92" t="s">
        <v>58</v>
      </c>
      <c r="R387" s="92" t="s">
        <v>70</v>
      </c>
      <c r="S387" s="20">
        <v>279.79899999999998</v>
      </c>
    </row>
    <row r="388" spans="1:19" x14ac:dyDescent="0.15">
      <c r="A388" s="90">
        <v>44431</v>
      </c>
      <c r="B388" s="90" t="str">
        <f t="shared" si="56"/>
        <v>août</v>
      </c>
      <c r="C388" s="90" t="str">
        <f t="shared" si="57"/>
        <v>2021</v>
      </c>
      <c r="D388" s="90" t="str">
        <f t="shared" si="58"/>
        <v>août2021</v>
      </c>
      <c r="E388" s="92" t="s">
        <v>304</v>
      </c>
      <c r="F388" s="91">
        <v>150</v>
      </c>
      <c r="G388" s="94">
        <f t="shared" si="59"/>
        <v>0.15</v>
      </c>
      <c r="H388" s="92" t="s">
        <v>45</v>
      </c>
      <c r="I388" s="96">
        <f t="shared" si="54"/>
        <v>0.3</v>
      </c>
      <c r="J388" s="96">
        <f t="shared" si="55"/>
        <v>0.7</v>
      </c>
      <c r="K388" s="92">
        <f>VLOOKUP(H388,'Taux émission CO2e'!$A$5:$D$16,4,FALSE)</f>
        <v>0.16</v>
      </c>
      <c r="L388" s="93">
        <f t="shared" si="60"/>
        <v>1.3719311999999999</v>
      </c>
      <c r="M388" s="92">
        <f>VLOOKUP(H388,'Taux émission CO2e'!$A$20:$D$31,4,FALSE)</f>
        <v>6.7400000000000002E-2</v>
      </c>
      <c r="N388" s="105">
        <f t="shared" si="61"/>
        <v>1.348494042</v>
      </c>
      <c r="O388" s="93">
        <f t="shared" si="62"/>
        <v>2.7204252420000001</v>
      </c>
      <c r="P388" s="92">
        <v>114.22</v>
      </c>
      <c r="Q388" s="92" t="s">
        <v>167</v>
      </c>
      <c r="R388" s="92" t="s">
        <v>55</v>
      </c>
      <c r="S388" s="20">
        <v>190.54599999999999</v>
      </c>
    </row>
    <row r="389" spans="1:19" x14ac:dyDescent="0.15">
      <c r="A389" s="90">
        <v>44431</v>
      </c>
      <c r="B389" s="90" t="str">
        <f t="shared" si="56"/>
        <v>août</v>
      </c>
      <c r="C389" s="90" t="str">
        <f t="shared" si="57"/>
        <v>2021</v>
      </c>
      <c r="D389" s="90" t="str">
        <f t="shared" si="58"/>
        <v>août2021</v>
      </c>
      <c r="E389" s="92" t="s">
        <v>305</v>
      </c>
      <c r="F389" s="91">
        <v>860</v>
      </c>
      <c r="G389" s="94">
        <f t="shared" si="59"/>
        <v>0.86</v>
      </c>
      <c r="H389" s="92" t="s">
        <v>45</v>
      </c>
      <c r="I389" s="96">
        <f t="shared" si="54"/>
        <v>0.3</v>
      </c>
      <c r="J389" s="96">
        <f t="shared" si="55"/>
        <v>0.7</v>
      </c>
      <c r="K389" s="92">
        <f>VLOOKUP(H389,'Taux émission CO2e'!$A$5:$D$16,4,FALSE)</f>
        <v>0.16</v>
      </c>
      <c r="L389" s="93">
        <f t="shared" si="60"/>
        <v>11.587213439999998</v>
      </c>
      <c r="M389" s="92">
        <f>VLOOKUP(H389,'Taux émission CO2e'!$A$20:$D$31,4,FALSE)</f>
        <v>6.7400000000000002E-2</v>
      </c>
      <c r="N389" s="105">
        <f t="shared" si="61"/>
        <v>11.3892652104</v>
      </c>
      <c r="O389" s="93">
        <f t="shared" si="62"/>
        <v>22.976478650399997</v>
      </c>
      <c r="P389" s="92">
        <v>145</v>
      </c>
      <c r="Q389" s="92" t="s">
        <v>58</v>
      </c>
      <c r="R389" s="92" t="s">
        <v>80</v>
      </c>
      <c r="S389" s="20">
        <v>280.69799999999998</v>
      </c>
    </row>
    <row r="390" spans="1:19" x14ac:dyDescent="0.15">
      <c r="A390" s="90">
        <v>44431</v>
      </c>
      <c r="B390" s="90" t="str">
        <f t="shared" si="56"/>
        <v>août</v>
      </c>
      <c r="C390" s="90" t="str">
        <f t="shared" si="57"/>
        <v>2021</v>
      </c>
      <c r="D390" s="90" t="str">
        <f t="shared" si="58"/>
        <v>août2021</v>
      </c>
      <c r="E390" s="92" t="s">
        <v>306</v>
      </c>
      <c r="F390" s="91">
        <v>780</v>
      </c>
      <c r="G390" s="94">
        <f t="shared" si="59"/>
        <v>0.78</v>
      </c>
      <c r="H390" s="92" t="s">
        <v>45</v>
      </c>
      <c r="I390" s="96">
        <f t="shared" si="54"/>
        <v>0.3</v>
      </c>
      <c r="J390" s="96">
        <f t="shared" si="55"/>
        <v>0.7</v>
      </c>
      <c r="K390" s="92">
        <f>VLOOKUP(H390,'Taux émission CO2e'!$A$5:$D$16,4,FALSE)</f>
        <v>0.16</v>
      </c>
      <c r="L390" s="93">
        <f t="shared" si="60"/>
        <v>9.9652550400000006</v>
      </c>
      <c r="M390" s="92">
        <f>VLOOKUP(H390,'Taux émission CO2e'!$A$20:$D$31,4,FALSE)</f>
        <v>6.7400000000000002E-2</v>
      </c>
      <c r="N390" s="105">
        <f t="shared" si="61"/>
        <v>9.7950152664000001</v>
      </c>
      <c r="O390" s="93">
        <f t="shared" si="62"/>
        <v>19.760270306400002</v>
      </c>
      <c r="P390" s="92">
        <v>165</v>
      </c>
      <c r="Q390" s="92" t="s">
        <v>58</v>
      </c>
      <c r="R390" s="92" t="s">
        <v>53</v>
      </c>
      <c r="S390" s="20">
        <v>266.166</v>
      </c>
    </row>
    <row r="391" spans="1:19" x14ac:dyDescent="0.15">
      <c r="A391" s="90">
        <v>44431</v>
      </c>
      <c r="B391" s="90" t="str">
        <f t="shared" si="56"/>
        <v>août</v>
      </c>
      <c r="C391" s="90" t="str">
        <f t="shared" si="57"/>
        <v>2021</v>
      </c>
      <c r="D391" s="90" t="str">
        <f t="shared" si="58"/>
        <v>août2021</v>
      </c>
      <c r="E391" s="92" t="s">
        <v>307</v>
      </c>
      <c r="F391" s="91">
        <v>300</v>
      </c>
      <c r="G391" s="94">
        <f t="shared" si="59"/>
        <v>0.3</v>
      </c>
      <c r="H391" s="92" t="s">
        <v>46</v>
      </c>
      <c r="I391" s="96">
        <f t="shared" si="54"/>
        <v>0.3</v>
      </c>
      <c r="J391" s="96">
        <f t="shared" si="55"/>
        <v>0.7</v>
      </c>
      <c r="K391" s="92">
        <f>VLOOKUP(H391,'Taux émission CO2e'!$A$5:$D$16,4,FALSE)</f>
        <v>0.16</v>
      </c>
      <c r="L391" s="93">
        <f t="shared" si="60"/>
        <v>5.4804383999999997</v>
      </c>
      <c r="M391" s="92">
        <f>VLOOKUP(H391,'Taux émission CO2e'!$A$20:$D$31,4,FALSE)</f>
        <v>6.7400000000000002E-2</v>
      </c>
      <c r="N391" s="105">
        <f t="shared" si="61"/>
        <v>5.386814244</v>
      </c>
      <c r="O391" s="93">
        <f t="shared" si="62"/>
        <v>10.867252644000001</v>
      </c>
      <c r="P391" s="92">
        <v>166</v>
      </c>
      <c r="Q391" s="92" t="s">
        <v>91</v>
      </c>
      <c r="R391" s="92" t="s">
        <v>55</v>
      </c>
      <c r="S391" s="20">
        <v>380.58600000000001</v>
      </c>
    </row>
    <row r="392" spans="1:19" x14ac:dyDescent="0.15">
      <c r="A392" s="90">
        <v>44431</v>
      </c>
      <c r="B392" s="90" t="str">
        <f t="shared" si="56"/>
        <v>août</v>
      </c>
      <c r="C392" s="90" t="str">
        <f t="shared" si="57"/>
        <v>2021</v>
      </c>
      <c r="D392" s="90" t="str">
        <f t="shared" si="58"/>
        <v>août2021</v>
      </c>
      <c r="E392" s="92" t="s">
        <v>308</v>
      </c>
      <c r="F392" s="91">
        <v>600</v>
      </c>
      <c r="G392" s="94">
        <f t="shared" si="59"/>
        <v>0.6</v>
      </c>
      <c r="H392" s="92" t="s">
        <v>45</v>
      </c>
      <c r="I392" s="96">
        <f t="shared" si="54"/>
        <v>0.3</v>
      </c>
      <c r="J392" s="96">
        <f t="shared" si="55"/>
        <v>0.7</v>
      </c>
      <c r="K392" s="92">
        <f>VLOOKUP(H392,'Taux émission CO2e'!$A$5:$D$16,4,FALSE)</f>
        <v>0.16</v>
      </c>
      <c r="L392" s="93">
        <f t="shared" si="60"/>
        <v>14.993625599999998</v>
      </c>
      <c r="M392" s="92">
        <f>VLOOKUP(H392,'Taux émission CO2e'!$A$20:$D$31,4,FALSE)</f>
        <v>6.7400000000000002E-2</v>
      </c>
      <c r="N392" s="105">
        <f t="shared" si="61"/>
        <v>14.737484495999999</v>
      </c>
      <c r="O392" s="93">
        <f t="shared" si="62"/>
        <v>29.731110095999995</v>
      </c>
      <c r="P392" s="92">
        <v>182</v>
      </c>
      <c r="Q392" s="92" t="s">
        <v>74</v>
      </c>
      <c r="R392" s="92" t="s">
        <v>53</v>
      </c>
      <c r="S392" s="20">
        <v>520.61199999999997</v>
      </c>
    </row>
    <row r="393" spans="1:19" x14ac:dyDescent="0.15">
      <c r="A393" s="90">
        <v>44432</v>
      </c>
      <c r="B393" s="90" t="str">
        <f t="shared" si="56"/>
        <v>août</v>
      </c>
      <c r="C393" s="90" t="str">
        <f t="shared" si="57"/>
        <v>2021</v>
      </c>
      <c r="D393" s="90" t="str">
        <f t="shared" si="58"/>
        <v>août2021</v>
      </c>
      <c r="E393" s="92" t="s">
        <v>309</v>
      </c>
      <c r="F393" s="91">
        <v>300</v>
      </c>
      <c r="G393" s="94">
        <f t="shared" si="59"/>
        <v>0.3</v>
      </c>
      <c r="H393" s="92" t="s">
        <v>46</v>
      </c>
      <c r="I393" s="96">
        <f t="shared" si="54"/>
        <v>0.3</v>
      </c>
      <c r="J393" s="96">
        <f t="shared" si="55"/>
        <v>0.7</v>
      </c>
      <c r="K393" s="92">
        <f>VLOOKUP(H393,'Taux émission CO2e'!$A$5:$D$16,4,FALSE)</f>
        <v>0.16</v>
      </c>
      <c r="L393" s="93">
        <f t="shared" si="60"/>
        <v>3.6276336000000002</v>
      </c>
      <c r="M393" s="92">
        <f>VLOOKUP(H393,'Taux émission CO2e'!$A$20:$D$31,4,FALSE)</f>
        <v>6.7400000000000002E-2</v>
      </c>
      <c r="N393" s="105">
        <f t="shared" si="61"/>
        <v>3.565661526</v>
      </c>
      <c r="O393" s="93">
        <f t="shared" si="62"/>
        <v>7.1932951260000006</v>
      </c>
      <c r="P393" s="92">
        <v>125</v>
      </c>
      <c r="Q393" s="92" t="s">
        <v>92</v>
      </c>
      <c r="R393" s="92" t="s">
        <v>55</v>
      </c>
      <c r="S393" s="20">
        <v>251.91900000000001</v>
      </c>
    </row>
    <row r="394" spans="1:19" x14ac:dyDescent="0.15">
      <c r="A394" s="90">
        <v>44432</v>
      </c>
      <c r="B394" s="90" t="str">
        <f t="shared" si="56"/>
        <v>août</v>
      </c>
      <c r="C394" s="90" t="str">
        <f t="shared" si="57"/>
        <v>2021</v>
      </c>
      <c r="D394" s="90" t="str">
        <f t="shared" si="58"/>
        <v>août2021</v>
      </c>
      <c r="E394" s="92" t="s">
        <v>310</v>
      </c>
      <c r="F394" s="91">
        <v>270</v>
      </c>
      <c r="G394" s="94">
        <f t="shared" si="59"/>
        <v>0.27</v>
      </c>
      <c r="H394" s="92" t="s">
        <v>45</v>
      </c>
      <c r="I394" s="96">
        <f t="shared" si="54"/>
        <v>0.3</v>
      </c>
      <c r="J394" s="96">
        <f t="shared" si="55"/>
        <v>0.7</v>
      </c>
      <c r="K394" s="92">
        <f>VLOOKUP(H394,'Taux émission CO2e'!$A$5:$D$16,4,FALSE)</f>
        <v>0.16</v>
      </c>
      <c r="L394" s="93">
        <f t="shared" si="60"/>
        <v>4.9306967999999998</v>
      </c>
      <c r="M394" s="92">
        <f>VLOOKUP(H394,'Taux émission CO2e'!$A$20:$D$31,4,FALSE)</f>
        <v>6.7400000000000002E-2</v>
      </c>
      <c r="N394" s="105">
        <f t="shared" si="61"/>
        <v>4.846464063</v>
      </c>
      <c r="O394" s="93">
        <f t="shared" si="62"/>
        <v>9.7771608629999989</v>
      </c>
      <c r="P394" s="92">
        <v>131</v>
      </c>
      <c r="Q394" s="92" t="s">
        <v>58</v>
      </c>
      <c r="R394" s="92" t="s">
        <v>83</v>
      </c>
      <c r="S394" s="20">
        <v>380.45499999999998</v>
      </c>
    </row>
    <row r="395" spans="1:19" x14ac:dyDescent="0.15">
      <c r="A395" s="90">
        <v>44432</v>
      </c>
      <c r="B395" s="90" t="str">
        <f t="shared" si="56"/>
        <v>août</v>
      </c>
      <c r="C395" s="90" t="str">
        <f t="shared" si="57"/>
        <v>2021</v>
      </c>
      <c r="D395" s="90" t="str">
        <f t="shared" si="58"/>
        <v>août2021</v>
      </c>
      <c r="E395" s="92" t="s">
        <v>311</v>
      </c>
      <c r="F395" s="91">
        <v>300</v>
      </c>
      <c r="G395" s="94">
        <f t="shared" si="59"/>
        <v>0.3</v>
      </c>
      <c r="H395" s="92" t="s">
        <v>45</v>
      </c>
      <c r="I395" s="96">
        <f t="shared" si="54"/>
        <v>0.3</v>
      </c>
      <c r="J395" s="96">
        <f t="shared" si="55"/>
        <v>0.7</v>
      </c>
      <c r="K395" s="92">
        <f>VLOOKUP(H395,'Taux émission CO2e'!$A$5:$D$16,4,FALSE)</f>
        <v>0.16</v>
      </c>
      <c r="L395" s="93">
        <f t="shared" si="60"/>
        <v>4.0103568000000003</v>
      </c>
      <c r="M395" s="92">
        <f>VLOOKUP(H395,'Taux émission CO2e'!$A$20:$D$31,4,FALSE)</f>
        <v>6.7400000000000002E-2</v>
      </c>
      <c r="N395" s="105">
        <f t="shared" si="61"/>
        <v>3.9418465380000001</v>
      </c>
      <c r="O395" s="93">
        <f t="shared" si="62"/>
        <v>7.9522033380000003</v>
      </c>
      <c r="P395" s="92">
        <v>158</v>
      </c>
      <c r="Q395" s="92" t="s">
        <v>90</v>
      </c>
      <c r="R395" s="92" t="s">
        <v>55</v>
      </c>
      <c r="S395" s="20">
        <v>278.49700000000001</v>
      </c>
    </row>
    <row r="396" spans="1:19" x14ac:dyDescent="0.15">
      <c r="A396" s="90">
        <v>44432</v>
      </c>
      <c r="B396" s="90" t="str">
        <f t="shared" si="56"/>
        <v>août</v>
      </c>
      <c r="C396" s="90" t="str">
        <f t="shared" si="57"/>
        <v>2021</v>
      </c>
      <c r="D396" s="90" t="str">
        <f t="shared" si="58"/>
        <v>août2021</v>
      </c>
      <c r="E396" s="92" t="s">
        <v>312</v>
      </c>
      <c r="F396" s="91">
        <v>300</v>
      </c>
      <c r="G396" s="94">
        <f t="shared" si="59"/>
        <v>0.3</v>
      </c>
      <c r="H396" s="92" t="s">
        <v>45</v>
      </c>
      <c r="I396" s="96">
        <f t="shared" si="54"/>
        <v>0.3</v>
      </c>
      <c r="J396" s="96">
        <f t="shared" si="55"/>
        <v>0.7</v>
      </c>
      <c r="K396" s="92">
        <f>VLOOKUP(H396,'Taux émission CO2e'!$A$5:$D$16,4,FALSE)</f>
        <v>0.16</v>
      </c>
      <c r="L396" s="93">
        <f t="shared" si="60"/>
        <v>4.0052879999999993</v>
      </c>
      <c r="M396" s="92">
        <f>VLOOKUP(H396,'Taux émission CO2e'!$A$20:$D$31,4,FALSE)</f>
        <v>6.7400000000000002E-2</v>
      </c>
      <c r="N396" s="105">
        <f t="shared" si="61"/>
        <v>3.9368643299999997</v>
      </c>
      <c r="O396" s="93">
        <f t="shared" si="62"/>
        <v>7.942152329999999</v>
      </c>
      <c r="P396" s="92">
        <v>158</v>
      </c>
      <c r="Q396" s="92" t="s">
        <v>74</v>
      </c>
      <c r="R396" s="92" t="s">
        <v>55</v>
      </c>
      <c r="S396" s="20">
        <v>278.14499999999998</v>
      </c>
    </row>
    <row r="397" spans="1:19" x14ac:dyDescent="0.15">
      <c r="A397" s="90">
        <v>44432</v>
      </c>
      <c r="B397" s="90" t="str">
        <f t="shared" si="56"/>
        <v>août</v>
      </c>
      <c r="C397" s="90" t="str">
        <f t="shared" si="57"/>
        <v>2021</v>
      </c>
      <c r="D397" s="90" t="str">
        <f t="shared" si="58"/>
        <v>août2021</v>
      </c>
      <c r="E397" s="92" t="s">
        <v>313</v>
      </c>
      <c r="F397" s="91">
        <v>300</v>
      </c>
      <c r="G397" s="94">
        <f t="shared" si="59"/>
        <v>0.3</v>
      </c>
      <c r="H397" s="92" t="s">
        <v>45</v>
      </c>
      <c r="I397" s="96">
        <f t="shared" si="54"/>
        <v>0.3</v>
      </c>
      <c r="J397" s="96">
        <f t="shared" si="55"/>
        <v>0.7</v>
      </c>
      <c r="K397" s="92">
        <f>VLOOKUP(H397,'Taux émission CO2e'!$A$5:$D$16,4,FALSE)</f>
        <v>0.16</v>
      </c>
      <c r="L397" s="93">
        <f t="shared" si="60"/>
        <v>3.6040031999999997</v>
      </c>
      <c r="M397" s="92">
        <f>VLOOKUP(H397,'Taux émission CO2e'!$A$20:$D$31,4,FALSE)</f>
        <v>6.7400000000000002E-2</v>
      </c>
      <c r="N397" s="105">
        <f t="shared" si="61"/>
        <v>3.5424348119999998</v>
      </c>
      <c r="O397" s="93">
        <f t="shared" si="62"/>
        <v>7.1464380119999991</v>
      </c>
      <c r="P397" s="92">
        <v>158</v>
      </c>
      <c r="Q397" s="92" t="s">
        <v>89</v>
      </c>
      <c r="R397" s="92" t="s">
        <v>55</v>
      </c>
      <c r="S397" s="20">
        <v>250.27799999999999</v>
      </c>
    </row>
    <row r="398" spans="1:19" x14ac:dyDescent="0.15">
      <c r="A398" s="90">
        <v>44433</v>
      </c>
      <c r="B398" s="90" t="str">
        <f t="shared" si="56"/>
        <v>août</v>
      </c>
      <c r="C398" s="90" t="str">
        <f t="shared" si="57"/>
        <v>2021</v>
      </c>
      <c r="D398" s="90" t="str">
        <f t="shared" si="58"/>
        <v>août2021</v>
      </c>
      <c r="E398" s="92" t="s">
        <v>314</v>
      </c>
      <c r="F398" s="91">
        <v>300</v>
      </c>
      <c r="G398" s="94">
        <f t="shared" si="59"/>
        <v>0.3</v>
      </c>
      <c r="H398" s="92" t="s">
        <v>45</v>
      </c>
      <c r="I398" s="96">
        <f t="shared" si="54"/>
        <v>0.3</v>
      </c>
      <c r="J398" s="96">
        <f t="shared" si="55"/>
        <v>0.7</v>
      </c>
      <c r="K398" s="92">
        <f>VLOOKUP(H398,'Taux émission CO2e'!$A$5:$D$16,4,FALSE)</f>
        <v>0.16</v>
      </c>
      <c r="L398" s="93">
        <f t="shared" si="60"/>
        <v>3.8354832000000001</v>
      </c>
      <c r="M398" s="92">
        <f>VLOOKUP(H398,'Taux émission CO2e'!$A$20:$D$31,4,FALSE)</f>
        <v>6.7400000000000002E-2</v>
      </c>
      <c r="N398" s="105">
        <f t="shared" si="61"/>
        <v>3.769960362</v>
      </c>
      <c r="O398" s="93">
        <f t="shared" si="62"/>
        <v>7.6054435619999996</v>
      </c>
      <c r="P398" s="92">
        <v>125</v>
      </c>
      <c r="Q398" s="92" t="s">
        <v>77</v>
      </c>
      <c r="R398" s="92" t="s">
        <v>55</v>
      </c>
      <c r="S398" s="20">
        <v>266.35300000000001</v>
      </c>
    </row>
    <row r="399" spans="1:19" x14ac:dyDescent="0.15">
      <c r="A399" s="90">
        <v>44434</v>
      </c>
      <c r="B399" s="90" t="str">
        <f t="shared" si="56"/>
        <v>août</v>
      </c>
      <c r="C399" s="90" t="str">
        <f t="shared" si="57"/>
        <v>2021</v>
      </c>
      <c r="D399" s="90" t="str">
        <f t="shared" si="58"/>
        <v>août2021</v>
      </c>
      <c r="E399" s="92" t="s">
        <v>315</v>
      </c>
      <c r="F399" s="91">
        <v>300</v>
      </c>
      <c r="G399" s="94">
        <f t="shared" si="59"/>
        <v>0.3</v>
      </c>
      <c r="H399" s="92" t="s">
        <v>46</v>
      </c>
      <c r="I399" s="96">
        <f t="shared" si="54"/>
        <v>0.3</v>
      </c>
      <c r="J399" s="96">
        <f t="shared" si="55"/>
        <v>0.7</v>
      </c>
      <c r="K399" s="92">
        <f>VLOOKUP(H399,'Taux émission CO2e'!$A$5:$D$16,4,FALSE)</f>
        <v>0.16</v>
      </c>
      <c r="L399" s="93">
        <f t="shared" si="60"/>
        <v>3.7158191999999999</v>
      </c>
      <c r="M399" s="92">
        <f>VLOOKUP(H399,'Taux émission CO2e'!$A$20:$D$31,4,FALSE)</f>
        <v>6.7400000000000002E-2</v>
      </c>
      <c r="N399" s="105">
        <f t="shared" si="61"/>
        <v>3.6523406220000001</v>
      </c>
      <c r="O399" s="93">
        <f t="shared" si="62"/>
        <v>7.368159822</v>
      </c>
      <c r="P399" s="92">
        <v>131</v>
      </c>
      <c r="Q399" s="92" t="s">
        <v>102</v>
      </c>
      <c r="R399" s="92" t="s">
        <v>55</v>
      </c>
      <c r="S399" s="20">
        <v>258.04300000000001</v>
      </c>
    </row>
    <row r="400" spans="1:19" x14ac:dyDescent="0.15">
      <c r="A400" s="90">
        <v>44434</v>
      </c>
      <c r="B400" s="90" t="str">
        <f t="shared" si="56"/>
        <v>août</v>
      </c>
      <c r="C400" s="90" t="str">
        <f t="shared" si="57"/>
        <v>2021</v>
      </c>
      <c r="D400" s="90" t="str">
        <f t="shared" si="58"/>
        <v>août2021</v>
      </c>
      <c r="E400" s="92" t="s">
        <v>316</v>
      </c>
      <c r="F400" s="91">
        <v>500</v>
      </c>
      <c r="G400" s="94">
        <f t="shared" si="59"/>
        <v>0.5</v>
      </c>
      <c r="H400" s="92" t="s">
        <v>46</v>
      </c>
      <c r="I400" s="96">
        <f t="shared" si="54"/>
        <v>0.3</v>
      </c>
      <c r="J400" s="96">
        <f t="shared" si="55"/>
        <v>0.7</v>
      </c>
      <c r="K400" s="92">
        <f>VLOOKUP(H400,'Taux émission CO2e'!$A$5:$D$16,4,FALSE)</f>
        <v>0.16</v>
      </c>
      <c r="L400" s="93">
        <f t="shared" si="60"/>
        <v>12.996623999999999</v>
      </c>
      <c r="M400" s="92">
        <f>VLOOKUP(H400,'Taux émission CO2e'!$A$20:$D$31,4,FALSE)</f>
        <v>6.7400000000000002E-2</v>
      </c>
      <c r="N400" s="105">
        <f t="shared" si="61"/>
        <v>12.774598339999999</v>
      </c>
      <c r="O400" s="93">
        <f t="shared" si="62"/>
        <v>25.771222339999998</v>
      </c>
      <c r="P400" s="92">
        <v>196</v>
      </c>
      <c r="Q400" s="92" t="s">
        <v>62</v>
      </c>
      <c r="R400" s="92" t="s">
        <v>55</v>
      </c>
      <c r="S400" s="20">
        <v>541.52599999999995</v>
      </c>
    </row>
    <row r="401" spans="1:19" x14ac:dyDescent="0.15">
      <c r="A401" s="90">
        <v>44434</v>
      </c>
      <c r="B401" s="90" t="str">
        <f t="shared" si="56"/>
        <v>août</v>
      </c>
      <c r="C401" s="90" t="str">
        <f t="shared" si="57"/>
        <v>2021</v>
      </c>
      <c r="D401" s="90" t="str">
        <f t="shared" si="58"/>
        <v>août2021</v>
      </c>
      <c r="E401" s="92" t="s">
        <v>317</v>
      </c>
      <c r="F401" s="91">
        <v>300</v>
      </c>
      <c r="G401" s="94">
        <f t="shared" si="59"/>
        <v>0.3</v>
      </c>
      <c r="H401" s="92" t="s">
        <v>45</v>
      </c>
      <c r="I401" s="96">
        <f t="shared" si="54"/>
        <v>0.3</v>
      </c>
      <c r="J401" s="96">
        <f t="shared" si="55"/>
        <v>0.7</v>
      </c>
      <c r="K401" s="92">
        <f>VLOOKUP(H401,'Taux émission CO2e'!$A$5:$D$16,4,FALSE)</f>
        <v>0.16</v>
      </c>
      <c r="L401" s="93">
        <f t="shared" si="60"/>
        <v>7.4372256000000005</v>
      </c>
      <c r="M401" s="92">
        <f>VLOOKUP(H401,'Taux émission CO2e'!$A$20:$D$31,4,FALSE)</f>
        <v>6.7400000000000002E-2</v>
      </c>
      <c r="N401" s="105">
        <f t="shared" si="61"/>
        <v>7.3101729960000004</v>
      </c>
      <c r="O401" s="93">
        <f t="shared" si="62"/>
        <v>14.747398596</v>
      </c>
      <c r="P401" s="92">
        <v>228</v>
      </c>
      <c r="Q401" s="92" t="s">
        <v>52</v>
      </c>
      <c r="R401" s="92" t="s">
        <v>55</v>
      </c>
      <c r="S401" s="20">
        <v>516.47400000000005</v>
      </c>
    </row>
    <row r="402" spans="1:19" x14ac:dyDescent="0.15">
      <c r="A402" s="90">
        <v>44438</v>
      </c>
      <c r="B402" s="90" t="str">
        <f t="shared" si="56"/>
        <v>août</v>
      </c>
      <c r="C402" s="90" t="str">
        <f t="shared" si="57"/>
        <v>2021</v>
      </c>
      <c r="D402" s="90" t="str">
        <f t="shared" si="58"/>
        <v>août2021</v>
      </c>
      <c r="E402" s="92" t="s">
        <v>318</v>
      </c>
      <c r="F402" s="91">
        <v>305</v>
      </c>
      <c r="G402" s="94">
        <f t="shared" si="59"/>
        <v>0.30499999999999999</v>
      </c>
      <c r="H402" s="92" t="s">
        <v>45</v>
      </c>
      <c r="I402" s="96">
        <f t="shared" si="54"/>
        <v>0.3</v>
      </c>
      <c r="J402" s="96">
        <f t="shared" si="55"/>
        <v>0.7</v>
      </c>
      <c r="K402" s="92">
        <f>VLOOKUP(H402,'Taux émission CO2e'!$A$5:$D$16,4,FALSE)</f>
        <v>0.16</v>
      </c>
      <c r="L402" s="93">
        <f t="shared" si="60"/>
        <v>3.6684765600000002</v>
      </c>
      <c r="M402" s="92">
        <f>VLOOKUP(H402,'Taux émission CO2e'!$A$20:$D$31,4,FALSE)</f>
        <v>6.7400000000000002E-2</v>
      </c>
      <c r="N402" s="105">
        <f t="shared" si="61"/>
        <v>3.6058067520999999</v>
      </c>
      <c r="O402" s="93">
        <f t="shared" si="62"/>
        <v>7.2742833120999997</v>
      </c>
      <c r="P402" s="92">
        <v>92</v>
      </c>
      <c r="Q402" s="92" t="s">
        <v>58</v>
      </c>
      <c r="R402" s="92" t="s">
        <v>79</v>
      </c>
      <c r="S402" s="20">
        <v>250.57900000000001</v>
      </c>
    </row>
    <row r="403" spans="1:19" x14ac:dyDescent="0.15">
      <c r="A403" s="90">
        <v>44438</v>
      </c>
      <c r="B403" s="90" t="str">
        <f t="shared" si="56"/>
        <v>août</v>
      </c>
      <c r="C403" s="90" t="str">
        <f t="shared" si="57"/>
        <v>2021</v>
      </c>
      <c r="D403" s="90" t="str">
        <f t="shared" si="58"/>
        <v>août2021</v>
      </c>
      <c r="E403" s="92" t="s">
        <v>319</v>
      </c>
      <c r="F403" s="91">
        <v>150</v>
      </c>
      <c r="G403" s="94">
        <f t="shared" si="59"/>
        <v>0.15</v>
      </c>
      <c r="H403" s="92" t="s">
        <v>45</v>
      </c>
      <c r="I403" s="96">
        <f t="shared" si="54"/>
        <v>0.3</v>
      </c>
      <c r="J403" s="96">
        <f t="shared" si="55"/>
        <v>0.7</v>
      </c>
      <c r="K403" s="92">
        <f>VLOOKUP(H403,'Taux émission CO2e'!$A$5:$D$16,4,FALSE)</f>
        <v>0.16</v>
      </c>
      <c r="L403" s="93">
        <f t="shared" si="60"/>
        <v>1.3688352000000001</v>
      </c>
      <c r="M403" s="92">
        <f>VLOOKUP(H403,'Taux émission CO2e'!$A$20:$D$31,4,FALSE)</f>
        <v>6.7400000000000002E-2</v>
      </c>
      <c r="N403" s="105">
        <f t="shared" si="61"/>
        <v>1.3454509320000001</v>
      </c>
      <c r="O403" s="93">
        <f t="shared" si="62"/>
        <v>2.7142861320000002</v>
      </c>
      <c r="P403" s="92">
        <v>100</v>
      </c>
      <c r="Q403" s="92" t="s">
        <v>58</v>
      </c>
      <c r="R403" s="92" t="s">
        <v>116</v>
      </c>
      <c r="S403" s="20">
        <v>190.11600000000001</v>
      </c>
    </row>
    <row r="404" spans="1:19" x14ac:dyDescent="0.15">
      <c r="A404" s="90">
        <v>44438</v>
      </c>
      <c r="B404" s="90" t="str">
        <f t="shared" si="56"/>
        <v>août</v>
      </c>
      <c r="C404" s="90" t="str">
        <f t="shared" si="57"/>
        <v>2021</v>
      </c>
      <c r="D404" s="90" t="str">
        <f t="shared" si="58"/>
        <v>août2021</v>
      </c>
      <c r="E404" s="92" t="s">
        <v>320</v>
      </c>
      <c r="F404" s="91">
        <v>305</v>
      </c>
      <c r="G404" s="94">
        <f t="shared" si="59"/>
        <v>0.30499999999999999</v>
      </c>
      <c r="H404" s="92" t="s">
        <v>45</v>
      </c>
      <c r="I404" s="96">
        <f t="shared" si="54"/>
        <v>0.3</v>
      </c>
      <c r="J404" s="96">
        <f t="shared" si="55"/>
        <v>0.7</v>
      </c>
      <c r="K404" s="92">
        <f>VLOOKUP(H404,'Taux émission CO2e'!$A$5:$D$16,4,FALSE)</f>
        <v>0.16</v>
      </c>
      <c r="L404" s="93">
        <f t="shared" si="60"/>
        <v>5.5698612000000001</v>
      </c>
      <c r="M404" s="92">
        <f>VLOOKUP(H404,'Taux émission CO2e'!$A$20:$D$31,4,FALSE)</f>
        <v>6.7400000000000002E-2</v>
      </c>
      <c r="N404" s="105">
        <f t="shared" si="61"/>
        <v>5.4747094044999995</v>
      </c>
      <c r="O404" s="93">
        <f t="shared" si="62"/>
        <v>11.044570604499999</v>
      </c>
      <c r="P404" s="92">
        <v>131</v>
      </c>
      <c r="Q404" s="92" t="s">
        <v>58</v>
      </c>
      <c r="R404" s="92" t="s">
        <v>83</v>
      </c>
      <c r="S404" s="20">
        <v>380.45499999999998</v>
      </c>
    </row>
    <row r="405" spans="1:19" x14ac:dyDescent="0.15">
      <c r="A405" s="90">
        <v>44438</v>
      </c>
      <c r="B405" s="90" t="str">
        <f t="shared" si="56"/>
        <v>août</v>
      </c>
      <c r="C405" s="90" t="str">
        <f t="shared" si="57"/>
        <v>2021</v>
      </c>
      <c r="D405" s="90" t="str">
        <f t="shared" si="58"/>
        <v>août2021</v>
      </c>
      <c r="E405" s="92" t="s">
        <v>321</v>
      </c>
      <c r="F405" s="91">
        <v>300</v>
      </c>
      <c r="G405" s="94">
        <f t="shared" si="59"/>
        <v>0.3</v>
      </c>
      <c r="H405" s="92" t="s">
        <v>46</v>
      </c>
      <c r="I405" s="96">
        <f t="shared" si="54"/>
        <v>0.3</v>
      </c>
      <c r="J405" s="96">
        <f t="shared" si="55"/>
        <v>0.7</v>
      </c>
      <c r="K405" s="92">
        <f>VLOOKUP(H405,'Taux émission CO2e'!$A$5:$D$16,4,FALSE)</f>
        <v>0.16</v>
      </c>
      <c r="L405" s="93">
        <f t="shared" si="60"/>
        <v>5.4804383999999997</v>
      </c>
      <c r="M405" s="92">
        <f>VLOOKUP(H405,'Taux émission CO2e'!$A$20:$D$31,4,FALSE)</f>
        <v>6.7400000000000002E-2</v>
      </c>
      <c r="N405" s="105">
        <f t="shared" si="61"/>
        <v>5.386814244</v>
      </c>
      <c r="O405" s="93">
        <f t="shared" si="62"/>
        <v>10.867252644000001</v>
      </c>
      <c r="P405" s="92">
        <v>166</v>
      </c>
      <c r="Q405" s="92" t="s">
        <v>91</v>
      </c>
      <c r="R405" s="92" t="s">
        <v>55</v>
      </c>
      <c r="S405" s="20">
        <v>380.58600000000001</v>
      </c>
    </row>
    <row r="406" spans="1:19" x14ac:dyDescent="0.15">
      <c r="A406" s="90">
        <v>44438</v>
      </c>
      <c r="B406" s="90" t="str">
        <f t="shared" si="56"/>
        <v>août</v>
      </c>
      <c r="C406" s="90" t="str">
        <f t="shared" si="57"/>
        <v>2021</v>
      </c>
      <c r="D406" s="90" t="str">
        <f t="shared" si="58"/>
        <v>août2021</v>
      </c>
      <c r="E406" s="92" t="s">
        <v>322</v>
      </c>
      <c r="F406" s="92">
        <v>1000</v>
      </c>
      <c r="G406" s="94">
        <f t="shared" si="59"/>
        <v>1</v>
      </c>
      <c r="H406" s="92" t="s">
        <v>32</v>
      </c>
      <c r="I406" s="96">
        <f t="shared" si="54"/>
        <v>1</v>
      </c>
      <c r="J406" s="96">
        <f t="shared" si="55"/>
        <v>0</v>
      </c>
      <c r="K406" s="92">
        <f>VLOOKUP(H406,'Taux émission CO2e'!$A$5:$D$16,4,FALSE)</f>
        <v>6.7400000000000002E-2</v>
      </c>
      <c r="L406" s="93">
        <f t="shared" si="60"/>
        <v>2.3459243999999999</v>
      </c>
      <c r="M406" s="92">
        <f>VLOOKUP(H406,'Taux émission CO2e'!$A$20:$D$31,4,FALSE)</f>
        <v>0</v>
      </c>
      <c r="N406" s="105">
        <f t="shared" si="61"/>
        <v>0</v>
      </c>
      <c r="O406" s="93">
        <f t="shared" si="62"/>
        <v>2.3459243999999999</v>
      </c>
      <c r="P406" s="92">
        <v>435.5</v>
      </c>
      <c r="Q406" s="92" t="s">
        <v>109</v>
      </c>
      <c r="R406" s="92" t="s">
        <v>82</v>
      </c>
      <c r="S406" s="20">
        <v>34.805999999999997</v>
      </c>
    </row>
    <row r="407" spans="1:19" x14ac:dyDescent="0.15">
      <c r="A407" s="90">
        <v>44439</v>
      </c>
      <c r="B407" s="90" t="str">
        <f t="shared" si="56"/>
        <v>août</v>
      </c>
      <c r="C407" s="90" t="str">
        <f t="shared" si="57"/>
        <v>2021</v>
      </c>
      <c r="D407" s="90" t="str">
        <f t="shared" si="58"/>
        <v>août2021</v>
      </c>
      <c r="E407" s="92" t="s">
        <v>323</v>
      </c>
      <c r="F407" s="91">
        <v>300</v>
      </c>
      <c r="G407" s="94">
        <f t="shared" si="59"/>
        <v>0.3</v>
      </c>
      <c r="H407" s="92" t="s">
        <v>46</v>
      </c>
      <c r="I407" s="96">
        <f t="shared" si="54"/>
        <v>0.3</v>
      </c>
      <c r="J407" s="96">
        <f t="shared" si="55"/>
        <v>0.7</v>
      </c>
      <c r="K407" s="92">
        <f>VLOOKUP(H407,'Taux émission CO2e'!$A$5:$D$16,4,FALSE)</f>
        <v>0.16</v>
      </c>
      <c r="L407" s="93">
        <f t="shared" si="60"/>
        <v>3.6276336000000002</v>
      </c>
      <c r="M407" s="92">
        <f>VLOOKUP(H407,'Taux émission CO2e'!$A$20:$D$31,4,FALSE)</f>
        <v>6.7400000000000002E-2</v>
      </c>
      <c r="N407" s="105">
        <f t="shared" si="61"/>
        <v>3.565661526</v>
      </c>
      <c r="O407" s="93">
        <f t="shared" si="62"/>
        <v>7.1932951260000006</v>
      </c>
      <c r="P407" s="92">
        <v>125</v>
      </c>
      <c r="Q407" s="92" t="s">
        <v>92</v>
      </c>
      <c r="R407" s="92" t="s">
        <v>55</v>
      </c>
      <c r="S407" s="20">
        <v>251.91900000000001</v>
      </c>
    </row>
    <row r="408" spans="1:19" x14ac:dyDescent="0.15">
      <c r="A408" s="90">
        <v>44439</v>
      </c>
      <c r="B408" s="90" t="str">
        <f t="shared" si="56"/>
        <v>août</v>
      </c>
      <c r="C408" s="90" t="str">
        <f t="shared" si="57"/>
        <v>2021</v>
      </c>
      <c r="D408" s="90" t="str">
        <f t="shared" si="58"/>
        <v>août2021</v>
      </c>
      <c r="E408" s="92" t="s">
        <v>324</v>
      </c>
      <c r="F408" s="91">
        <v>300</v>
      </c>
      <c r="G408" s="94">
        <f t="shared" si="59"/>
        <v>0.3</v>
      </c>
      <c r="H408" s="92" t="s">
        <v>45</v>
      </c>
      <c r="I408" s="96">
        <f t="shared" si="54"/>
        <v>0.3</v>
      </c>
      <c r="J408" s="96">
        <f t="shared" si="55"/>
        <v>0.7</v>
      </c>
      <c r="K408" s="92">
        <f>VLOOKUP(H408,'Taux émission CO2e'!$A$5:$D$16,4,FALSE)</f>
        <v>0.16</v>
      </c>
      <c r="L408" s="93">
        <f t="shared" si="60"/>
        <v>4.0103568000000003</v>
      </c>
      <c r="M408" s="92">
        <f>VLOOKUP(H408,'Taux émission CO2e'!$A$20:$D$31,4,FALSE)</f>
        <v>6.7400000000000002E-2</v>
      </c>
      <c r="N408" s="105">
        <f t="shared" si="61"/>
        <v>3.9418465380000001</v>
      </c>
      <c r="O408" s="93">
        <f t="shared" si="62"/>
        <v>7.9522033380000003</v>
      </c>
      <c r="P408" s="92">
        <v>158</v>
      </c>
      <c r="Q408" s="92" t="s">
        <v>90</v>
      </c>
      <c r="R408" s="92" t="s">
        <v>55</v>
      </c>
      <c r="S408" s="20">
        <v>278.49700000000001</v>
      </c>
    </row>
    <row r="409" spans="1:19" x14ac:dyDescent="0.15">
      <c r="A409" s="90">
        <v>44440</v>
      </c>
      <c r="B409" s="90" t="str">
        <f t="shared" si="56"/>
        <v>septembre</v>
      </c>
      <c r="C409" s="90" t="str">
        <f t="shared" si="57"/>
        <v>2021</v>
      </c>
      <c r="D409" s="90" t="str">
        <f t="shared" si="58"/>
        <v>septembre2021</v>
      </c>
      <c r="E409" s="92" t="s">
        <v>325</v>
      </c>
      <c r="F409" s="91">
        <v>300</v>
      </c>
      <c r="G409" s="94">
        <f t="shared" si="59"/>
        <v>0.3</v>
      </c>
      <c r="H409" s="92" t="s">
        <v>46</v>
      </c>
      <c r="I409" s="96">
        <f t="shared" si="54"/>
        <v>0.3</v>
      </c>
      <c r="J409" s="96">
        <f t="shared" si="55"/>
        <v>0.7</v>
      </c>
      <c r="K409" s="92">
        <f>VLOOKUP(H409,'Taux émission CO2e'!$A$5:$D$16,4,FALSE)</f>
        <v>0.16</v>
      </c>
      <c r="L409" s="93">
        <f t="shared" si="60"/>
        <v>3.7158191999999999</v>
      </c>
      <c r="M409" s="92">
        <f>VLOOKUP(H409,'Taux émission CO2e'!$A$20:$D$31,4,FALSE)</f>
        <v>6.7400000000000002E-2</v>
      </c>
      <c r="N409" s="105">
        <f t="shared" si="61"/>
        <v>3.6523406220000001</v>
      </c>
      <c r="O409" s="93">
        <f t="shared" si="62"/>
        <v>7.368159822</v>
      </c>
      <c r="P409" s="92">
        <v>131</v>
      </c>
      <c r="Q409" s="92" t="s">
        <v>102</v>
      </c>
      <c r="R409" s="92" t="s">
        <v>55</v>
      </c>
      <c r="S409" s="20">
        <v>258.04300000000001</v>
      </c>
    </row>
    <row r="410" spans="1:19" x14ac:dyDescent="0.15">
      <c r="A410" s="90">
        <v>44440</v>
      </c>
      <c r="B410" s="90" t="str">
        <f t="shared" si="56"/>
        <v>septembre</v>
      </c>
      <c r="C410" s="90" t="str">
        <f t="shared" si="57"/>
        <v>2021</v>
      </c>
      <c r="D410" s="90" t="str">
        <f t="shared" si="58"/>
        <v>septembre2021</v>
      </c>
      <c r="E410" s="92" t="s">
        <v>326</v>
      </c>
      <c r="F410" s="91">
        <v>300</v>
      </c>
      <c r="G410" s="94">
        <f t="shared" si="59"/>
        <v>0.3</v>
      </c>
      <c r="H410" s="92" t="s">
        <v>45</v>
      </c>
      <c r="I410" s="96">
        <f t="shared" si="54"/>
        <v>0.3</v>
      </c>
      <c r="J410" s="96">
        <f t="shared" si="55"/>
        <v>0.7</v>
      </c>
      <c r="K410" s="92">
        <f>VLOOKUP(H410,'Taux émission CO2e'!$A$5:$D$16,4,FALSE)</f>
        <v>0.16</v>
      </c>
      <c r="L410" s="93">
        <f t="shared" si="60"/>
        <v>3.6040031999999997</v>
      </c>
      <c r="M410" s="92">
        <f>VLOOKUP(H410,'Taux émission CO2e'!$A$20:$D$31,4,FALSE)</f>
        <v>6.7400000000000002E-2</v>
      </c>
      <c r="N410" s="105">
        <f t="shared" si="61"/>
        <v>3.5424348119999998</v>
      </c>
      <c r="O410" s="93">
        <f t="shared" si="62"/>
        <v>7.1464380119999991</v>
      </c>
      <c r="P410" s="92">
        <v>158</v>
      </c>
      <c r="Q410" s="92" t="s">
        <v>89</v>
      </c>
      <c r="R410" s="92" t="s">
        <v>55</v>
      </c>
      <c r="S410" s="20">
        <v>250.27799999999999</v>
      </c>
    </row>
    <row r="411" spans="1:19" x14ac:dyDescent="0.15">
      <c r="A411" s="90">
        <v>44440</v>
      </c>
      <c r="B411" s="90" t="str">
        <f t="shared" si="56"/>
        <v>septembre</v>
      </c>
      <c r="C411" s="90" t="str">
        <f t="shared" si="57"/>
        <v>2021</v>
      </c>
      <c r="D411" s="90" t="str">
        <f t="shared" si="58"/>
        <v>septembre2021</v>
      </c>
      <c r="E411" s="92" t="s">
        <v>327</v>
      </c>
      <c r="F411" s="91">
        <v>300</v>
      </c>
      <c r="G411" s="94">
        <f t="shared" si="59"/>
        <v>0.3</v>
      </c>
      <c r="H411" s="92" t="s">
        <v>45</v>
      </c>
      <c r="I411" s="96">
        <f t="shared" si="54"/>
        <v>0.3</v>
      </c>
      <c r="J411" s="96">
        <f t="shared" si="55"/>
        <v>0.7</v>
      </c>
      <c r="K411" s="92">
        <f>VLOOKUP(H411,'Taux émission CO2e'!$A$5:$D$16,4,FALSE)</f>
        <v>0.16</v>
      </c>
      <c r="L411" s="93">
        <f t="shared" si="60"/>
        <v>4.0052879999999993</v>
      </c>
      <c r="M411" s="92">
        <f>VLOOKUP(H411,'Taux émission CO2e'!$A$20:$D$31,4,FALSE)</f>
        <v>6.7400000000000002E-2</v>
      </c>
      <c r="N411" s="105">
        <f t="shared" si="61"/>
        <v>3.9368643299999997</v>
      </c>
      <c r="O411" s="93">
        <f t="shared" si="62"/>
        <v>7.942152329999999</v>
      </c>
      <c r="P411" s="92">
        <v>158</v>
      </c>
      <c r="Q411" s="92" t="s">
        <v>74</v>
      </c>
      <c r="R411" s="92" t="s">
        <v>55</v>
      </c>
      <c r="S411" s="20">
        <v>278.14499999999998</v>
      </c>
    </row>
    <row r="412" spans="1:19" x14ac:dyDescent="0.15">
      <c r="A412" s="90">
        <v>44440</v>
      </c>
      <c r="B412" s="90" t="str">
        <f t="shared" si="56"/>
        <v>septembre</v>
      </c>
      <c r="C412" s="90" t="str">
        <f t="shared" si="57"/>
        <v>2021</v>
      </c>
      <c r="D412" s="90" t="str">
        <f t="shared" si="58"/>
        <v>septembre2021</v>
      </c>
      <c r="E412" s="92" t="s">
        <v>328</v>
      </c>
      <c r="F412" s="91">
        <v>300</v>
      </c>
      <c r="G412" s="94">
        <f t="shared" si="59"/>
        <v>0.3</v>
      </c>
      <c r="H412" s="92" t="s">
        <v>45</v>
      </c>
      <c r="I412" s="96">
        <f t="shared" si="54"/>
        <v>0.3</v>
      </c>
      <c r="J412" s="96">
        <f t="shared" si="55"/>
        <v>0.7</v>
      </c>
      <c r="K412" s="92">
        <f>VLOOKUP(H412,'Taux émission CO2e'!$A$5:$D$16,4,FALSE)</f>
        <v>0.16</v>
      </c>
      <c r="L412" s="93">
        <f t="shared" si="60"/>
        <v>3.8354832000000001</v>
      </c>
      <c r="M412" s="92">
        <f>VLOOKUP(H412,'Taux émission CO2e'!$A$20:$D$31,4,FALSE)</f>
        <v>6.7400000000000002E-2</v>
      </c>
      <c r="N412" s="105">
        <f t="shared" si="61"/>
        <v>3.769960362</v>
      </c>
      <c r="O412" s="93">
        <f t="shared" si="62"/>
        <v>7.6054435619999996</v>
      </c>
      <c r="P412" s="92">
        <v>158</v>
      </c>
      <c r="Q412" s="92" t="s">
        <v>77</v>
      </c>
      <c r="R412" s="92" t="s">
        <v>55</v>
      </c>
      <c r="S412" s="20">
        <v>266.35300000000001</v>
      </c>
    </row>
    <row r="413" spans="1:19" x14ac:dyDescent="0.15">
      <c r="A413" s="90">
        <v>44440</v>
      </c>
      <c r="B413" s="90" t="str">
        <f t="shared" si="56"/>
        <v>septembre</v>
      </c>
      <c r="C413" s="90" t="str">
        <f t="shared" si="57"/>
        <v>2021</v>
      </c>
      <c r="D413" s="90" t="str">
        <f t="shared" si="58"/>
        <v>septembre2021</v>
      </c>
      <c r="E413" s="92" t="s">
        <v>329</v>
      </c>
      <c r="F413" s="91">
        <v>500</v>
      </c>
      <c r="G413" s="94">
        <f t="shared" si="59"/>
        <v>0.5</v>
      </c>
      <c r="H413" s="92" t="s">
        <v>46</v>
      </c>
      <c r="I413" s="96">
        <f t="shared" si="54"/>
        <v>0.3</v>
      </c>
      <c r="J413" s="96">
        <f t="shared" si="55"/>
        <v>0.7</v>
      </c>
      <c r="K413" s="92">
        <f>VLOOKUP(H413,'Taux émission CO2e'!$A$5:$D$16,4,FALSE)</f>
        <v>0.16</v>
      </c>
      <c r="L413" s="93">
        <f t="shared" si="60"/>
        <v>11.945640000000001</v>
      </c>
      <c r="M413" s="92">
        <f>VLOOKUP(H413,'Taux émission CO2e'!$A$20:$D$31,4,FALSE)</f>
        <v>6.7400000000000002E-2</v>
      </c>
      <c r="N413" s="105">
        <f t="shared" si="61"/>
        <v>11.74156865</v>
      </c>
      <c r="O413" s="93">
        <f t="shared" si="62"/>
        <v>23.687208650000002</v>
      </c>
      <c r="P413" s="92">
        <v>280</v>
      </c>
      <c r="Q413" s="92" t="s">
        <v>109</v>
      </c>
      <c r="R413" s="92" t="s">
        <v>70</v>
      </c>
      <c r="S413" s="20">
        <v>497.73500000000001</v>
      </c>
    </row>
    <row r="414" spans="1:19" x14ac:dyDescent="0.15">
      <c r="A414" s="90">
        <v>44441</v>
      </c>
      <c r="B414" s="90" t="str">
        <f t="shared" si="56"/>
        <v>septembre</v>
      </c>
      <c r="C414" s="90" t="str">
        <f t="shared" si="57"/>
        <v>2021</v>
      </c>
      <c r="D414" s="90" t="str">
        <f t="shared" si="58"/>
        <v>septembre2021</v>
      </c>
      <c r="E414" s="92" t="s">
        <v>330</v>
      </c>
      <c r="F414" s="91">
        <v>300</v>
      </c>
      <c r="G414" s="94">
        <f t="shared" si="59"/>
        <v>0.3</v>
      </c>
      <c r="H414" s="92" t="s">
        <v>46</v>
      </c>
      <c r="I414" s="96">
        <f t="shared" si="54"/>
        <v>0.3</v>
      </c>
      <c r="J414" s="96">
        <f t="shared" si="55"/>
        <v>0.7</v>
      </c>
      <c r="K414" s="92">
        <f>VLOOKUP(H414,'Taux émission CO2e'!$A$5:$D$16,4,FALSE)</f>
        <v>0.16</v>
      </c>
      <c r="L414" s="93">
        <f t="shared" si="60"/>
        <v>7.7979743999999993</v>
      </c>
      <c r="M414" s="92">
        <f>VLOOKUP(H414,'Taux émission CO2e'!$A$20:$D$31,4,FALSE)</f>
        <v>6.7400000000000002E-2</v>
      </c>
      <c r="N414" s="105">
        <f t="shared" si="61"/>
        <v>7.6647590039999995</v>
      </c>
      <c r="O414" s="93">
        <f t="shared" si="62"/>
        <v>15.462733403999998</v>
      </c>
      <c r="P414" s="92">
        <v>196</v>
      </c>
      <c r="Q414" s="92" t="s">
        <v>62</v>
      </c>
      <c r="R414" s="92" t="s">
        <v>55</v>
      </c>
      <c r="S414" s="20">
        <v>541.52599999999995</v>
      </c>
    </row>
    <row r="415" spans="1:19" x14ac:dyDescent="0.15">
      <c r="A415" s="90">
        <v>44441</v>
      </c>
      <c r="B415" s="90" t="str">
        <f t="shared" si="56"/>
        <v>septembre</v>
      </c>
      <c r="C415" s="90" t="str">
        <f t="shared" si="57"/>
        <v>2021</v>
      </c>
      <c r="D415" s="90" t="str">
        <f t="shared" si="58"/>
        <v>septembre2021</v>
      </c>
      <c r="E415" s="92" t="s">
        <v>331</v>
      </c>
      <c r="F415" s="91">
        <v>300</v>
      </c>
      <c r="G415" s="94">
        <f t="shared" si="59"/>
        <v>0.3</v>
      </c>
      <c r="H415" s="92" t="s">
        <v>45</v>
      </c>
      <c r="I415" s="96">
        <f t="shared" si="54"/>
        <v>0.3</v>
      </c>
      <c r="J415" s="96">
        <f t="shared" si="55"/>
        <v>0.7</v>
      </c>
      <c r="K415" s="92">
        <f>VLOOKUP(H415,'Taux émission CO2e'!$A$5:$D$16,4,FALSE)</f>
        <v>0.16</v>
      </c>
      <c r="L415" s="93">
        <f t="shared" si="60"/>
        <v>7.4372256000000005</v>
      </c>
      <c r="M415" s="92">
        <f>VLOOKUP(H415,'Taux émission CO2e'!$A$20:$D$31,4,FALSE)</f>
        <v>6.7400000000000002E-2</v>
      </c>
      <c r="N415" s="105">
        <f t="shared" si="61"/>
        <v>7.3101729960000004</v>
      </c>
      <c r="O415" s="93">
        <f t="shared" si="62"/>
        <v>14.747398596</v>
      </c>
      <c r="P415" s="92">
        <v>228</v>
      </c>
      <c r="Q415" s="92" t="s">
        <v>52</v>
      </c>
      <c r="R415" s="92" t="s">
        <v>55</v>
      </c>
      <c r="S415" s="20">
        <v>516.47400000000005</v>
      </c>
    </row>
    <row r="416" spans="1:19" x14ac:dyDescent="0.15">
      <c r="A416" s="90">
        <v>44442</v>
      </c>
      <c r="B416" s="90" t="str">
        <f t="shared" si="56"/>
        <v>septembre</v>
      </c>
      <c r="C416" s="90" t="str">
        <f t="shared" si="57"/>
        <v>2021</v>
      </c>
      <c r="D416" s="90" t="str">
        <f t="shared" si="58"/>
        <v>septembre2021</v>
      </c>
      <c r="E416" s="92" t="s">
        <v>332</v>
      </c>
      <c r="F416" s="91">
        <v>200</v>
      </c>
      <c r="G416" s="94">
        <f t="shared" si="59"/>
        <v>0.2</v>
      </c>
      <c r="H416" s="92" t="s">
        <v>38</v>
      </c>
      <c r="I416" s="96">
        <f t="shared" si="54"/>
        <v>1</v>
      </c>
      <c r="J416" s="96">
        <f t="shared" si="55"/>
        <v>0</v>
      </c>
      <c r="K416" s="92">
        <f>VLOOKUP(H416,'Taux émission CO2e'!$A$5:$D$16,4,FALSE)</f>
        <v>0.24099999999999999</v>
      </c>
      <c r="L416" s="93">
        <f t="shared" si="60"/>
        <v>2.5184017999999999</v>
      </c>
      <c r="M416" s="92">
        <f>VLOOKUP(H416,'Taux émission CO2e'!$A$20:$D$31,4,FALSE)</f>
        <v>0</v>
      </c>
      <c r="N416" s="105">
        <f t="shared" si="61"/>
        <v>0</v>
      </c>
      <c r="O416" s="93">
        <f t="shared" si="62"/>
        <v>2.5184017999999999</v>
      </c>
      <c r="P416" s="92">
        <v>110</v>
      </c>
      <c r="Q416" s="92" t="s">
        <v>153</v>
      </c>
      <c r="R416" s="92" t="s">
        <v>55</v>
      </c>
      <c r="S416" s="20">
        <v>52.249000000000002</v>
      </c>
    </row>
    <row r="417" spans="1:19" x14ac:dyDescent="0.15">
      <c r="A417" s="90">
        <v>44445</v>
      </c>
      <c r="B417" s="90" t="str">
        <f t="shared" si="56"/>
        <v>septembre</v>
      </c>
      <c r="C417" s="90" t="str">
        <f t="shared" si="57"/>
        <v>2021</v>
      </c>
      <c r="D417" s="90" t="str">
        <f t="shared" si="58"/>
        <v>septembre2021</v>
      </c>
      <c r="E417" s="92" t="s">
        <v>333</v>
      </c>
      <c r="F417" s="91">
        <v>150</v>
      </c>
      <c r="G417" s="94">
        <f t="shared" si="59"/>
        <v>0.15</v>
      </c>
      <c r="H417" s="92" t="s">
        <v>45</v>
      </c>
      <c r="I417" s="96">
        <f t="shared" si="54"/>
        <v>0.3</v>
      </c>
      <c r="J417" s="96">
        <f t="shared" si="55"/>
        <v>0.7</v>
      </c>
      <c r="K417" s="92">
        <f>VLOOKUP(H417,'Taux émission CO2e'!$A$5:$D$16,4,FALSE)</f>
        <v>0.16</v>
      </c>
      <c r="L417" s="93">
        <f t="shared" si="60"/>
        <v>2.0145527999999997</v>
      </c>
      <c r="M417" s="92">
        <f>VLOOKUP(H417,'Taux émission CO2e'!$A$20:$D$31,4,FALSE)</f>
        <v>6.7400000000000002E-2</v>
      </c>
      <c r="N417" s="105">
        <f t="shared" si="61"/>
        <v>1.9801375229999998</v>
      </c>
      <c r="O417" s="93">
        <f t="shared" si="62"/>
        <v>3.9946903229999995</v>
      </c>
      <c r="P417" s="92">
        <v>105</v>
      </c>
      <c r="Q417" s="92" t="s">
        <v>58</v>
      </c>
      <c r="R417" s="92" t="s">
        <v>70</v>
      </c>
      <c r="S417" s="20">
        <v>279.79899999999998</v>
      </c>
    </row>
    <row r="418" spans="1:19" x14ac:dyDescent="0.15">
      <c r="A418" s="90">
        <v>44445</v>
      </c>
      <c r="B418" s="90" t="str">
        <f t="shared" si="56"/>
        <v>septembre</v>
      </c>
      <c r="C418" s="90" t="str">
        <f t="shared" si="57"/>
        <v>2021</v>
      </c>
      <c r="D418" s="90" t="str">
        <f t="shared" si="58"/>
        <v>septembre2021</v>
      </c>
      <c r="E418" s="92" t="s">
        <v>334</v>
      </c>
      <c r="F418" s="91">
        <v>220</v>
      </c>
      <c r="G418" s="94">
        <f t="shared" si="59"/>
        <v>0.22</v>
      </c>
      <c r="H418" s="92" t="s">
        <v>45</v>
      </c>
      <c r="I418" s="96">
        <f t="shared" si="54"/>
        <v>0.3</v>
      </c>
      <c r="J418" s="96">
        <f t="shared" si="55"/>
        <v>0.7</v>
      </c>
      <c r="K418" s="92">
        <f>VLOOKUP(H418,'Taux émission CO2e'!$A$5:$D$16,4,FALSE)</f>
        <v>0.16</v>
      </c>
      <c r="L418" s="93">
        <f t="shared" si="60"/>
        <v>1.1545247999999999</v>
      </c>
      <c r="M418" s="92">
        <f>VLOOKUP(H418,'Taux émission CO2e'!$A$20:$D$31,4,FALSE)</f>
        <v>6.7400000000000002E-2</v>
      </c>
      <c r="N418" s="105">
        <f t="shared" si="61"/>
        <v>1.1348016679999999</v>
      </c>
      <c r="O418" s="93">
        <f t="shared" si="62"/>
        <v>2.2893264679999996</v>
      </c>
      <c r="P418" s="92">
        <v>120</v>
      </c>
      <c r="Q418" s="92" t="s">
        <v>109</v>
      </c>
      <c r="R418" s="92" t="s">
        <v>80</v>
      </c>
      <c r="S418" s="20">
        <v>109.33</v>
      </c>
    </row>
    <row r="419" spans="1:19" x14ac:dyDescent="0.15">
      <c r="A419" s="90">
        <v>44446</v>
      </c>
      <c r="B419" s="90" t="str">
        <f t="shared" si="56"/>
        <v>septembre</v>
      </c>
      <c r="C419" s="90" t="str">
        <f t="shared" si="57"/>
        <v>2021</v>
      </c>
      <c r="D419" s="90" t="str">
        <f t="shared" si="58"/>
        <v>septembre2021</v>
      </c>
      <c r="E419" s="92" t="s">
        <v>335</v>
      </c>
      <c r="F419" s="91">
        <v>300</v>
      </c>
      <c r="G419" s="94">
        <f t="shared" si="59"/>
        <v>0.3</v>
      </c>
      <c r="H419" s="92" t="s">
        <v>46</v>
      </c>
      <c r="I419" s="96">
        <f t="shared" si="54"/>
        <v>0.3</v>
      </c>
      <c r="J419" s="96">
        <f t="shared" si="55"/>
        <v>0.7</v>
      </c>
      <c r="K419" s="92">
        <f>VLOOKUP(H419,'Taux émission CO2e'!$A$5:$D$16,4,FALSE)</f>
        <v>0.16</v>
      </c>
      <c r="L419" s="93">
        <f t="shared" si="60"/>
        <v>3.6276336000000002</v>
      </c>
      <c r="M419" s="92">
        <f>VLOOKUP(H419,'Taux émission CO2e'!$A$20:$D$31,4,FALSE)</f>
        <v>6.7400000000000002E-2</v>
      </c>
      <c r="N419" s="105">
        <f t="shared" si="61"/>
        <v>3.565661526</v>
      </c>
      <c r="O419" s="93">
        <f t="shared" si="62"/>
        <v>7.1932951260000006</v>
      </c>
      <c r="P419" s="92">
        <v>125</v>
      </c>
      <c r="Q419" s="92" t="s">
        <v>92</v>
      </c>
      <c r="R419" s="92" t="s">
        <v>55</v>
      </c>
      <c r="S419" s="20">
        <v>251.91900000000001</v>
      </c>
    </row>
    <row r="420" spans="1:19" x14ac:dyDescent="0.15">
      <c r="A420" s="90">
        <v>44446</v>
      </c>
      <c r="B420" s="90" t="str">
        <f t="shared" si="56"/>
        <v>septembre</v>
      </c>
      <c r="C420" s="90" t="str">
        <f t="shared" si="57"/>
        <v>2021</v>
      </c>
      <c r="D420" s="90" t="str">
        <f t="shared" si="58"/>
        <v>septembre2021</v>
      </c>
      <c r="E420" s="92" t="s">
        <v>336</v>
      </c>
      <c r="F420" s="91">
        <v>300</v>
      </c>
      <c r="G420" s="94">
        <f t="shared" si="59"/>
        <v>0.3</v>
      </c>
      <c r="H420" s="92" t="s">
        <v>45</v>
      </c>
      <c r="I420" s="96">
        <f t="shared" si="54"/>
        <v>0.3</v>
      </c>
      <c r="J420" s="96">
        <f t="shared" si="55"/>
        <v>0.7</v>
      </c>
      <c r="K420" s="92">
        <f>VLOOKUP(H420,'Taux émission CO2e'!$A$5:$D$16,4,FALSE)</f>
        <v>0.16</v>
      </c>
      <c r="L420" s="93">
        <f t="shared" si="60"/>
        <v>4.0052879999999993</v>
      </c>
      <c r="M420" s="92">
        <f>VLOOKUP(H420,'Taux émission CO2e'!$A$20:$D$31,4,FALSE)</f>
        <v>6.7400000000000002E-2</v>
      </c>
      <c r="N420" s="105">
        <f t="shared" si="61"/>
        <v>3.9368643299999997</v>
      </c>
      <c r="O420" s="93">
        <f t="shared" si="62"/>
        <v>7.942152329999999</v>
      </c>
      <c r="P420" s="92">
        <v>158</v>
      </c>
      <c r="Q420" s="92" t="s">
        <v>74</v>
      </c>
      <c r="R420" s="92" t="s">
        <v>55</v>
      </c>
      <c r="S420" s="20">
        <v>278.14499999999998</v>
      </c>
    </row>
    <row r="421" spans="1:19" x14ac:dyDescent="0.15">
      <c r="A421" s="90">
        <v>44446</v>
      </c>
      <c r="B421" s="90" t="str">
        <f t="shared" si="56"/>
        <v>septembre</v>
      </c>
      <c r="C421" s="90" t="str">
        <f t="shared" si="57"/>
        <v>2021</v>
      </c>
      <c r="D421" s="90" t="str">
        <f t="shared" si="58"/>
        <v>septembre2021</v>
      </c>
      <c r="E421" s="92" t="s">
        <v>337</v>
      </c>
      <c r="F421" s="91">
        <v>300</v>
      </c>
      <c r="G421" s="94">
        <f t="shared" si="59"/>
        <v>0.3</v>
      </c>
      <c r="H421" s="92" t="s">
        <v>46</v>
      </c>
      <c r="I421" s="96">
        <f t="shared" si="54"/>
        <v>0.3</v>
      </c>
      <c r="J421" s="96">
        <f t="shared" si="55"/>
        <v>0.7</v>
      </c>
      <c r="K421" s="92">
        <f>VLOOKUP(H421,'Taux émission CO2e'!$A$5:$D$16,4,FALSE)</f>
        <v>0.16</v>
      </c>
      <c r="L421" s="93">
        <f t="shared" si="60"/>
        <v>5.4804383999999997</v>
      </c>
      <c r="M421" s="92">
        <f>VLOOKUP(H421,'Taux émission CO2e'!$A$20:$D$31,4,FALSE)</f>
        <v>6.7400000000000002E-2</v>
      </c>
      <c r="N421" s="105">
        <f t="shared" si="61"/>
        <v>5.386814244</v>
      </c>
      <c r="O421" s="93">
        <f t="shared" si="62"/>
        <v>10.867252644000001</v>
      </c>
      <c r="P421" s="92">
        <v>166</v>
      </c>
      <c r="Q421" s="92" t="s">
        <v>91</v>
      </c>
      <c r="R421" s="92" t="s">
        <v>55</v>
      </c>
      <c r="S421" s="20">
        <v>380.58600000000001</v>
      </c>
    </row>
    <row r="422" spans="1:19" x14ac:dyDescent="0.15">
      <c r="A422" s="90">
        <v>44447</v>
      </c>
      <c r="B422" s="90" t="str">
        <f t="shared" si="56"/>
        <v>septembre</v>
      </c>
      <c r="C422" s="90" t="str">
        <f t="shared" si="57"/>
        <v>2021</v>
      </c>
      <c r="D422" s="90" t="str">
        <f t="shared" si="58"/>
        <v>septembre2021</v>
      </c>
      <c r="E422" s="92" t="s">
        <v>338</v>
      </c>
      <c r="F422" s="91">
        <v>300</v>
      </c>
      <c r="G422" s="94">
        <f t="shared" si="59"/>
        <v>0.3</v>
      </c>
      <c r="H422" s="92" t="s">
        <v>45</v>
      </c>
      <c r="I422" s="96">
        <f t="shared" si="54"/>
        <v>0.3</v>
      </c>
      <c r="J422" s="96">
        <f t="shared" si="55"/>
        <v>0.7</v>
      </c>
      <c r="K422" s="92">
        <f>VLOOKUP(H422,'Taux émission CO2e'!$A$5:$D$16,4,FALSE)</f>
        <v>0.16</v>
      </c>
      <c r="L422" s="93">
        <f t="shared" si="60"/>
        <v>3.8354832000000001</v>
      </c>
      <c r="M422" s="92">
        <f>VLOOKUP(H422,'Taux émission CO2e'!$A$20:$D$31,4,FALSE)</f>
        <v>6.7400000000000002E-2</v>
      </c>
      <c r="N422" s="105">
        <f t="shared" si="61"/>
        <v>3.769960362</v>
      </c>
      <c r="O422" s="93">
        <f t="shared" si="62"/>
        <v>7.6054435619999996</v>
      </c>
      <c r="P422" s="92">
        <v>125</v>
      </c>
      <c r="Q422" s="92" t="s">
        <v>77</v>
      </c>
      <c r="R422" s="92" t="s">
        <v>55</v>
      </c>
      <c r="S422" s="20">
        <v>266.35300000000001</v>
      </c>
    </row>
    <row r="423" spans="1:19" x14ac:dyDescent="0.15">
      <c r="A423" s="90">
        <v>44447</v>
      </c>
      <c r="B423" s="90" t="str">
        <f t="shared" si="56"/>
        <v>septembre</v>
      </c>
      <c r="C423" s="90" t="str">
        <f t="shared" si="57"/>
        <v>2021</v>
      </c>
      <c r="D423" s="90" t="str">
        <f t="shared" si="58"/>
        <v>septembre2021</v>
      </c>
      <c r="E423" s="92" t="s">
        <v>339</v>
      </c>
      <c r="F423" s="91">
        <v>300</v>
      </c>
      <c r="G423" s="94">
        <f t="shared" si="59"/>
        <v>0.3</v>
      </c>
      <c r="H423" s="92" t="s">
        <v>46</v>
      </c>
      <c r="I423" s="96">
        <f t="shared" si="54"/>
        <v>0.3</v>
      </c>
      <c r="J423" s="96">
        <f t="shared" si="55"/>
        <v>0.7</v>
      </c>
      <c r="K423" s="92">
        <f>VLOOKUP(H423,'Taux émission CO2e'!$A$5:$D$16,4,FALSE)</f>
        <v>0.16</v>
      </c>
      <c r="L423" s="93">
        <f t="shared" si="60"/>
        <v>3.7158191999999999</v>
      </c>
      <c r="M423" s="92">
        <f>VLOOKUP(H423,'Taux émission CO2e'!$A$20:$D$31,4,FALSE)</f>
        <v>6.7400000000000002E-2</v>
      </c>
      <c r="N423" s="105">
        <f t="shared" si="61"/>
        <v>3.6523406220000001</v>
      </c>
      <c r="O423" s="93">
        <f t="shared" si="62"/>
        <v>7.368159822</v>
      </c>
      <c r="P423" s="92">
        <v>131</v>
      </c>
      <c r="Q423" s="92" t="s">
        <v>102</v>
      </c>
      <c r="R423" s="92" t="s">
        <v>55</v>
      </c>
      <c r="S423" s="20">
        <v>258.04300000000001</v>
      </c>
    </row>
    <row r="424" spans="1:19" x14ac:dyDescent="0.15">
      <c r="A424" s="90">
        <v>44447</v>
      </c>
      <c r="B424" s="90" t="str">
        <f t="shared" si="56"/>
        <v>septembre</v>
      </c>
      <c r="C424" s="90" t="str">
        <f t="shared" si="57"/>
        <v>2021</v>
      </c>
      <c r="D424" s="90" t="str">
        <f t="shared" si="58"/>
        <v>septembre2021</v>
      </c>
      <c r="E424" s="92" t="s">
        <v>340</v>
      </c>
      <c r="F424" s="91">
        <v>250</v>
      </c>
      <c r="G424" s="94">
        <f t="shared" si="59"/>
        <v>0.25</v>
      </c>
      <c r="H424" s="92" t="s">
        <v>46</v>
      </c>
      <c r="I424" s="96">
        <f t="shared" si="54"/>
        <v>0.3</v>
      </c>
      <c r="J424" s="96">
        <f t="shared" si="55"/>
        <v>0.7</v>
      </c>
      <c r="K424" s="92">
        <f>VLOOKUP(H424,'Taux émission CO2e'!$A$5:$D$16,4,FALSE)</f>
        <v>0.16</v>
      </c>
      <c r="L424" s="93">
        <f t="shared" si="60"/>
        <v>6.5999400000000001</v>
      </c>
      <c r="M424" s="92">
        <f>VLOOKUP(H424,'Taux émission CO2e'!$A$20:$D$31,4,FALSE)</f>
        <v>6.7400000000000002E-2</v>
      </c>
      <c r="N424" s="105">
        <f t="shared" si="61"/>
        <v>6.4871910250000004</v>
      </c>
      <c r="O424" s="93">
        <f t="shared" si="62"/>
        <v>13.087131025000001</v>
      </c>
      <c r="P424" s="92">
        <v>155</v>
      </c>
      <c r="Q424" s="92" t="s">
        <v>109</v>
      </c>
      <c r="R424" s="92" t="s">
        <v>57</v>
      </c>
      <c r="S424" s="20">
        <v>549.995</v>
      </c>
    </row>
    <row r="425" spans="1:19" x14ac:dyDescent="0.15">
      <c r="A425" s="90">
        <v>44447</v>
      </c>
      <c r="B425" s="90" t="str">
        <f t="shared" si="56"/>
        <v>septembre</v>
      </c>
      <c r="C425" s="90" t="str">
        <f t="shared" si="57"/>
        <v>2021</v>
      </c>
      <c r="D425" s="90" t="str">
        <f t="shared" si="58"/>
        <v>septembre2021</v>
      </c>
      <c r="E425" s="92" t="s">
        <v>341</v>
      </c>
      <c r="F425" s="91">
        <v>300</v>
      </c>
      <c r="G425" s="94">
        <f t="shared" si="59"/>
        <v>0.3</v>
      </c>
      <c r="H425" s="92" t="s">
        <v>46</v>
      </c>
      <c r="I425" s="96">
        <f t="shared" si="54"/>
        <v>0.3</v>
      </c>
      <c r="J425" s="96">
        <f t="shared" si="55"/>
        <v>0.7</v>
      </c>
      <c r="K425" s="92">
        <f>VLOOKUP(H425,'Taux émission CO2e'!$A$5:$D$16,4,FALSE)</f>
        <v>0.16</v>
      </c>
      <c r="L425" s="93">
        <f t="shared" si="60"/>
        <v>3.6040031999999997</v>
      </c>
      <c r="M425" s="92">
        <f>VLOOKUP(H425,'Taux émission CO2e'!$A$20:$D$31,4,FALSE)</f>
        <v>6.7400000000000002E-2</v>
      </c>
      <c r="N425" s="105">
        <f t="shared" si="61"/>
        <v>3.5424348119999998</v>
      </c>
      <c r="O425" s="93">
        <f t="shared" si="62"/>
        <v>7.1464380119999991</v>
      </c>
      <c r="P425" s="92">
        <v>158</v>
      </c>
      <c r="Q425" s="92" t="s">
        <v>89</v>
      </c>
      <c r="R425" s="92" t="s">
        <v>55</v>
      </c>
      <c r="S425" s="20">
        <v>250.27799999999999</v>
      </c>
    </row>
    <row r="426" spans="1:19" x14ac:dyDescent="0.15">
      <c r="A426" s="90">
        <v>44448</v>
      </c>
      <c r="B426" s="90" t="str">
        <f t="shared" si="56"/>
        <v>septembre</v>
      </c>
      <c r="C426" s="90" t="str">
        <f t="shared" si="57"/>
        <v>2021</v>
      </c>
      <c r="D426" s="90" t="str">
        <f t="shared" si="58"/>
        <v>septembre2021</v>
      </c>
      <c r="E426" s="92" t="s">
        <v>342</v>
      </c>
      <c r="F426" s="91">
        <v>180</v>
      </c>
      <c r="G426" s="94">
        <f t="shared" si="59"/>
        <v>0.18</v>
      </c>
      <c r="H426" s="92" t="s">
        <v>45</v>
      </c>
      <c r="I426" s="96">
        <f t="shared" si="54"/>
        <v>0.3</v>
      </c>
      <c r="J426" s="96">
        <f t="shared" si="55"/>
        <v>0.7</v>
      </c>
      <c r="K426" s="92">
        <f>VLOOKUP(H426,'Taux émission CO2e'!$A$5:$D$16,4,FALSE)</f>
        <v>0.16</v>
      </c>
      <c r="L426" s="93">
        <f t="shared" si="60"/>
        <v>1.76168736</v>
      </c>
      <c r="M426" s="92">
        <f>VLOOKUP(H426,'Taux émission CO2e'!$A$20:$D$31,4,FALSE)</f>
        <v>6.7400000000000002E-2</v>
      </c>
      <c r="N426" s="105">
        <f t="shared" si="61"/>
        <v>1.7315918675999997</v>
      </c>
      <c r="O426" s="93">
        <f t="shared" si="62"/>
        <v>3.4932792275999995</v>
      </c>
      <c r="P426" s="92">
        <v>111</v>
      </c>
      <c r="Q426" s="92" t="s">
        <v>58</v>
      </c>
      <c r="R426" s="92" t="s">
        <v>343</v>
      </c>
      <c r="S426" s="20">
        <v>203.899</v>
      </c>
    </row>
    <row r="427" spans="1:19" x14ac:dyDescent="0.15">
      <c r="A427" s="90">
        <v>44448</v>
      </c>
      <c r="B427" s="90" t="str">
        <f t="shared" si="56"/>
        <v>septembre</v>
      </c>
      <c r="C427" s="90" t="str">
        <f t="shared" si="57"/>
        <v>2021</v>
      </c>
      <c r="D427" s="90" t="str">
        <f t="shared" si="58"/>
        <v>septembre2021</v>
      </c>
      <c r="E427" s="92" t="s">
        <v>344</v>
      </c>
      <c r="F427" s="91">
        <v>300</v>
      </c>
      <c r="G427" s="94">
        <f t="shared" si="59"/>
        <v>0.3</v>
      </c>
      <c r="H427" s="92" t="s">
        <v>45</v>
      </c>
      <c r="I427" s="96">
        <f t="shared" si="54"/>
        <v>0.3</v>
      </c>
      <c r="J427" s="96">
        <f t="shared" si="55"/>
        <v>0.7</v>
      </c>
      <c r="K427" s="92">
        <f>VLOOKUP(H427,'Taux émission CO2e'!$A$5:$D$16,4,FALSE)</f>
        <v>0.16</v>
      </c>
      <c r="L427" s="93">
        <f t="shared" si="60"/>
        <v>7.4372256000000005</v>
      </c>
      <c r="M427" s="92">
        <f>VLOOKUP(H427,'Taux émission CO2e'!$A$20:$D$31,4,FALSE)</f>
        <v>6.7400000000000002E-2</v>
      </c>
      <c r="N427" s="105">
        <f t="shared" si="61"/>
        <v>7.3101729960000004</v>
      </c>
      <c r="O427" s="93">
        <f t="shared" si="62"/>
        <v>14.747398596</v>
      </c>
      <c r="P427" s="92">
        <v>228</v>
      </c>
      <c r="Q427" s="92" t="s">
        <v>52</v>
      </c>
      <c r="R427" s="92" t="s">
        <v>55</v>
      </c>
      <c r="S427" s="20">
        <v>516.47400000000005</v>
      </c>
    </row>
    <row r="428" spans="1:19" x14ac:dyDescent="0.15">
      <c r="A428" s="90">
        <v>44452</v>
      </c>
      <c r="B428" s="90" t="str">
        <f t="shared" si="56"/>
        <v>septembre</v>
      </c>
      <c r="C428" s="90" t="str">
        <f t="shared" si="57"/>
        <v>2021</v>
      </c>
      <c r="D428" s="90" t="str">
        <f t="shared" si="58"/>
        <v>septembre2021</v>
      </c>
      <c r="E428" s="92" t="s">
        <v>345</v>
      </c>
      <c r="F428" s="91">
        <v>185</v>
      </c>
      <c r="G428" s="94">
        <f t="shared" si="59"/>
        <v>0.185</v>
      </c>
      <c r="H428" s="92" t="s">
        <v>46</v>
      </c>
      <c r="I428" s="96">
        <f t="shared" si="54"/>
        <v>0.3</v>
      </c>
      <c r="J428" s="96">
        <f t="shared" si="55"/>
        <v>0.7</v>
      </c>
      <c r="K428" s="92">
        <f>VLOOKUP(H428,'Taux émission CO2e'!$A$5:$D$16,4,FALSE)</f>
        <v>0.16</v>
      </c>
      <c r="L428" s="93">
        <f t="shared" si="60"/>
        <v>2.4716236800000004</v>
      </c>
      <c r="M428" s="92">
        <f>VLOOKUP(H428,'Taux émission CO2e'!$A$20:$D$31,4,FALSE)</f>
        <v>6.7400000000000002E-2</v>
      </c>
      <c r="N428" s="105">
        <f t="shared" si="61"/>
        <v>2.4294001087999999</v>
      </c>
      <c r="O428" s="93">
        <f t="shared" si="62"/>
        <v>4.9010237887999999</v>
      </c>
      <c r="P428" s="92">
        <v>105</v>
      </c>
      <c r="Q428" s="92" t="s">
        <v>58</v>
      </c>
      <c r="R428" s="92" t="s">
        <v>346</v>
      </c>
      <c r="S428" s="20">
        <v>278.33600000000001</v>
      </c>
    </row>
    <row r="429" spans="1:19" x14ac:dyDescent="0.15">
      <c r="A429" s="90">
        <v>44452</v>
      </c>
      <c r="B429" s="90" t="str">
        <f t="shared" si="56"/>
        <v>septembre</v>
      </c>
      <c r="C429" s="90" t="str">
        <f t="shared" si="57"/>
        <v>2021</v>
      </c>
      <c r="D429" s="90" t="str">
        <f t="shared" si="58"/>
        <v>septembre2021</v>
      </c>
      <c r="E429" s="92" t="s">
        <v>347</v>
      </c>
      <c r="F429" s="91">
        <v>440</v>
      </c>
      <c r="G429" s="94">
        <f t="shared" si="59"/>
        <v>0.44</v>
      </c>
      <c r="H429" s="92" t="s">
        <v>45</v>
      </c>
      <c r="I429" s="96">
        <f t="shared" si="54"/>
        <v>0.3</v>
      </c>
      <c r="J429" s="96">
        <f t="shared" si="55"/>
        <v>0.7</v>
      </c>
      <c r="K429" s="92">
        <f>VLOOKUP(H429,'Taux émission CO2e'!$A$5:$D$16,4,FALSE)</f>
        <v>0.16</v>
      </c>
      <c r="L429" s="93">
        <f t="shared" si="60"/>
        <v>5.9283417599999995</v>
      </c>
      <c r="M429" s="92">
        <f>VLOOKUP(H429,'Taux émission CO2e'!$A$20:$D$31,4,FALSE)</f>
        <v>6.7400000000000002E-2</v>
      </c>
      <c r="N429" s="105">
        <f t="shared" si="61"/>
        <v>5.8270659215999991</v>
      </c>
      <c r="O429" s="93">
        <f t="shared" si="62"/>
        <v>11.755407681599998</v>
      </c>
      <c r="P429" s="92">
        <v>132</v>
      </c>
      <c r="Q429" s="92" t="s">
        <v>58</v>
      </c>
      <c r="R429" s="92" t="s">
        <v>80</v>
      </c>
      <c r="S429" s="20">
        <v>280.69799999999998</v>
      </c>
    </row>
    <row r="430" spans="1:19" x14ac:dyDescent="0.15">
      <c r="A430" s="90">
        <v>44453</v>
      </c>
      <c r="B430" s="90" t="str">
        <f t="shared" si="56"/>
        <v>septembre</v>
      </c>
      <c r="C430" s="90" t="str">
        <f t="shared" si="57"/>
        <v>2021</v>
      </c>
      <c r="D430" s="90" t="str">
        <f t="shared" si="58"/>
        <v>septembre2021</v>
      </c>
      <c r="E430" s="92" t="s">
        <v>348</v>
      </c>
      <c r="F430" s="91">
        <v>300</v>
      </c>
      <c r="G430" s="94">
        <f t="shared" si="59"/>
        <v>0.3</v>
      </c>
      <c r="H430" s="92" t="s">
        <v>46</v>
      </c>
      <c r="I430" s="96">
        <f t="shared" si="54"/>
        <v>0.3</v>
      </c>
      <c r="J430" s="96">
        <f t="shared" si="55"/>
        <v>0.7</v>
      </c>
      <c r="K430" s="92">
        <f>VLOOKUP(H430,'Taux émission CO2e'!$A$5:$D$16,4,FALSE)</f>
        <v>0.16</v>
      </c>
      <c r="L430" s="93">
        <f t="shared" si="60"/>
        <v>3.6276336000000002</v>
      </c>
      <c r="M430" s="92">
        <f>VLOOKUP(H430,'Taux émission CO2e'!$A$20:$D$31,4,FALSE)</f>
        <v>6.7400000000000002E-2</v>
      </c>
      <c r="N430" s="105">
        <f t="shared" si="61"/>
        <v>3.565661526</v>
      </c>
      <c r="O430" s="93">
        <f t="shared" si="62"/>
        <v>7.1932951260000006</v>
      </c>
      <c r="P430" s="92">
        <v>125</v>
      </c>
      <c r="Q430" s="92" t="s">
        <v>92</v>
      </c>
      <c r="R430" s="92" t="s">
        <v>55</v>
      </c>
      <c r="S430" s="20">
        <v>251.91900000000001</v>
      </c>
    </row>
    <row r="431" spans="1:19" x14ac:dyDescent="0.15">
      <c r="A431" s="90">
        <v>44453</v>
      </c>
      <c r="B431" s="90" t="str">
        <f t="shared" si="56"/>
        <v>septembre</v>
      </c>
      <c r="C431" s="90" t="str">
        <f t="shared" si="57"/>
        <v>2021</v>
      </c>
      <c r="D431" s="90" t="str">
        <f t="shared" si="58"/>
        <v>septembre2021</v>
      </c>
      <c r="E431" s="92" t="s">
        <v>349</v>
      </c>
      <c r="F431" s="91">
        <v>300</v>
      </c>
      <c r="G431" s="94">
        <f t="shared" si="59"/>
        <v>0.3</v>
      </c>
      <c r="H431" s="92" t="s">
        <v>45</v>
      </c>
      <c r="I431" s="96">
        <f t="shared" si="54"/>
        <v>0.3</v>
      </c>
      <c r="J431" s="96">
        <f t="shared" si="55"/>
        <v>0.7</v>
      </c>
      <c r="K431" s="92">
        <f>VLOOKUP(H431,'Taux émission CO2e'!$A$5:$D$16,4,FALSE)</f>
        <v>0.16</v>
      </c>
      <c r="L431" s="93">
        <f t="shared" si="60"/>
        <v>4.0052879999999993</v>
      </c>
      <c r="M431" s="92">
        <f>VLOOKUP(H431,'Taux émission CO2e'!$A$20:$D$31,4,FALSE)</f>
        <v>6.7400000000000002E-2</v>
      </c>
      <c r="N431" s="105">
        <f t="shared" si="61"/>
        <v>3.9368643299999997</v>
      </c>
      <c r="O431" s="93">
        <f t="shared" si="62"/>
        <v>7.942152329999999</v>
      </c>
      <c r="P431" s="92">
        <v>158</v>
      </c>
      <c r="Q431" s="92" t="s">
        <v>74</v>
      </c>
      <c r="R431" s="92" t="s">
        <v>55</v>
      </c>
      <c r="S431" s="20">
        <v>278.14499999999998</v>
      </c>
    </row>
    <row r="432" spans="1:19" x14ac:dyDescent="0.15">
      <c r="A432" s="90">
        <v>44454</v>
      </c>
      <c r="B432" s="90" t="str">
        <f t="shared" si="56"/>
        <v>septembre</v>
      </c>
      <c r="C432" s="90" t="str">
        <f t="shared" si="57"/>
        <v>2021</v>
      </c>
      <c r="D432" s="90" t="str">
        <f t="shared" si="58"/>
        <v>septembre2021</v>
      </c>
      <c r="E432" s="92" t="s">
        <v>350</v>
      </c>
      <c r="F432" s="91">
        <v>300</v>
      </c>
      <c r="G432" s="94">
        <f t="shared" si="59"/>
        <v>0.3</v>
      </c>
      <c r="H432" s="92" t="s">
        <v>45</v>
      </c>
      <c r="I432" s="96">
        <f t="shared" si="54"/>
        <v>0.3</v>
      </c>
      <c r="J432" s="96">
        <f t="shared" si="55"/>
        <v>0.7</v>
      </c>
      <c r="K432" s="92">
        <f>VLOOKUP(H432,'Taux émission CO2e'!$A$5:$D$16,4,FALSE)</f>
        <v>0.16</v>
      </c>
      <c r="L432" s="93">
        <f t="shared" si="60"/>
        <v>3.8354832000000001</v>
      </c>
      <c r="M432" s="92">
        <f>VLOOKUP(H432,'Taux émission CO2e'!$A$20:$D$31,4,FALSE)</f>
        <v>6.7400000000000002E-2</v>
      </c>
      <c r="N432" s="105">
        <f t="shared" si="61"/>
        <v>3.769960362</v>
      </c>
      <c r="O432" s="93">
        <f t="shared" si="62"/>
        <v>7.6054435619999996</v>
      </c>
      <c r="P432" s="92">
        <v>125</v>
      </c>
      <c r="Q432" s="92" t="s">
        <v>77</v>
      </c>
      <c r="R432" s="92" t="s">
        <v>55</v>
      </c>
      <c r="S432" s="20">
        <v>266.35300000000001</v>
      </c>
    </row>
    <row r="433" spans="1:19" x14ac:dyDescent="0.15">
      <c r="A433" s="90">
        <v>44454</v>
      </c>
      <c r="B433" s="90" t="str">
        <f t="shared" si="56"/>
        <v>septembre</v>
      </c>
      <c r="C433" s="90" t="str">
        <f t="shared" si="57"/>
        <v>2021</v>
      </c>
      <c r="D433" s="90" t="str">
        <f t="shared" si="58"/>
        <v>septembre2021</v>
      </c>
      <c r="E433" s="92" t="s">
        <v>351</v>
      </c>
      <c r="F433" s="91">
        <v>300</v>
      </c>
      <c r="G433" s="94">
        <f t="shared" si="59"/>
        <v>0.3</v>
      </c>
      <c r="H433" s="92" t="s">
        <v>46</v>
      </c>
      <c r="I433" s="96">
        <f t="shared" si="54"/>
        <v>0.3</v>
      </c>
      <c r="J433" s="96">
        <f t="shared" si="55"/>
        <v>0.7</v>
      </c>
      <c r="K433" s="92">
        <f>VLOOKUP(H433,'Taux émission CO2e'!$A$5:$D$16,4,FALSE)</f>
        <v>0.16</v>
      </c>
      <c r="L433" s="93">
        <f t="shared" si="60"/>
        <v>3.7158191999999999</v>
      </c>
      <c r="M433" s="92">
        <f>VLOOKUP(H433,'Taux émission CO2e'!$A$20:$D$31,4,FALSE)</f>
        <v>6.7400000000000002E-2</v>
      </c>
      <c r="N433" s="105">
        <f t="shared" si="61"/>
        <v>3.6523406220000001</v>
      </c>
      <c r="O433" s="93">
        <f t="shared" si="62"/>
        <v>7.368159822</v>
      </c>
      <c r="P433" s="92">
        <v>131</v>
      </c>
      <c r="Q433" s="92" t="s">
        <v>102</v>
      </c>
      <c r="R433" s="92" t="s">
        <v>55</v>
      </c>
      <c r="S433" s="20">
        <v>258.04300000000001</v>
      </c>
    </row>
    <row r="434" spans="1:19" x14ac:dyDescent="0.15">
      <c r="A434" s="90">
        <v>44454</v>
      </c>
      <c r="B434" s="90" t="str">
        <f t="shared" si="56"/>
        <v>septembre</v>
      </c>
      <c r="C434" s="90" t="str">
        <f t="shared" si="57"/>
        <v>2021</v>
      </c>
      <c r="D434" s="90" t="str">
        <f t="shared" si="58"/>
        <v>septembre2021</v>
      </c>
      <c r="E434" s="92" t="s">
        <v>352</v>
      </c>
      <c r="F434" s="91">
        <v>300</v>
      </c>
      <c r="G434" s="94">
        <f t="shared" si="59"/>
        <v>0.3</v>
      </c>
      <c r="H434" s="92" t="s">
        <v>46</v>
      </c>
      <c r="I434" s="96">
        <f t="shared" si="54"/>
        <v>0.3</v>
      </c>
      <c r="J434" s="96">
        <f t="shared" si="55"/>
        <v>0.7</v>
      </c>
      <c r="K434" s="92">
        <f>VLOOKUP(H434,'Taux émission CO2e'!$A$5:$D$16,4,FALSE)</f>
        <v>0.16</v>
      </c>
      <c r="L434" s="93">
        <f t="shared" si="60"/>
        <v>3.6040031999999997</v>
      </c>
      <c r="M434" s="92">
        <f>VLOOKUP(H434,'Taux émission CO2e'!$A$20:$D$31,4,FALSE)</f>
        <v>6.7400000000000002E-2</v>
      </c>
      <c r="N434" s="105">
        <f t="shared" si="61"/>
        <v>3.5424348119999998</v>
      </c>
      <c r="O434" s="93">
        <f t="shared" si="62"/>
        <v>7.1464380119999991</v>
      </c>
      <c r="P434" s="92">
        <v>158</v>
      </c>
      <c r="Q434" s="92" t="s">
        <v>89</v>
      </c>
      <c r="R434" s="92" t="s">
        <v>55</v>
      </c>
      <c r="S434" s="20">
        <v>250.27799999999999</v>
      </c>
    </row>
    <row r="435" spans="1:19" x14ac:dyDescent="0.15">
      <c r="A435" s="90">
        <v>44455</v>
      </c>
      <c r="B435" s="90" t="str">
        <f t="shared" si="56"/>
        <v>septembre</v>
      </c>
      <c r="C435" s="90" t="str">
        <f t="shared" si="57"/>
        <v>2021</v>
      </c>
      <c r="D435" s="90" t="str">
        <f t="shared" si="58"/>
        <v>septembre2021</v>
      </c>
      <c r="E435" s="92" t="s">
        <v>353</v>
      </c>
      <c r="F435" s="91">
        <v>300</v>
      </c>
      <c r="G435" s="94">
        <f t="shared" si="59"/>
        <v>0.3</v>
      </c>
      <c r="H435" s="92" t="s">
        <v>45</v>
      </c>
      <c r="I435" s="96">
        <f t="shared" si="54"/>
        <v>0.3</v>
      </c>
      <c r="J435" s="96">
        <f t="shared" si="55"/>
        <v>0.7</v>
      </c>
      <c r="K435" s="92">
        <f>VLOOKUP(H435,'Taux émission CO2e'!$A$5:$D$16,4,FALSE)</f>
        <v>0.16</v>
      </c>
      <c r="L435" s="93">
        <f t="shared" si="60"/>
        <v>4.0103568000000003</v>
      </c>
      <c r="M435" s="92">
        <f>VLOOKUP(H435,'Taux émission CO2e'!$A$20:$D$31,4,FALSE)</f>
        <v>6.7400000000000002E-2</v>
      </c>
      <c r="N435" s="105">
        <f t="shared" si="61"/>
        <v>3.9418465380000001</v>
      </c>
      <c r="O435" s="93">
        <f t="shared" si="62"/>
        <v>7.9522033380000003</v>
      </c>
      <c r="P435" s="92">
        <v>206</v>
      </c>
      <c r="Q435" s="92" t="s">
        <v>90</v>
      </c>
      <c r="R435" s="92" t="s">
        <v>55</v>
      </c>
      <c r="S435" s="20">
        <v>278.49700000000001</v>
      </c>
    </row>
    <row r="436" spans="1:19" x14ac:dyDescent="0.15">
      <c r="A436" s="90">
        <v>44455</v>
      </c>
      <c r="B436" s="90" t="str">
        <f t="shared" si="56"/>
        <v>septembre</v>
      </c>
      <c r="C436" s="90" t="str">
        <f t="shared" si="57"/>
        <v>2021</v>
      </c>
      <c r="D436" s="90" t="str">
        <f t="shared" si="58"/>
        <v>septembre2021</v>
      </c>
      <c r="E436" s="92" t="s">
        <v>354</v>
      </c>
      <c r="F436" s="91">
        <v>300</v>
      </c>
      <c r="G436" s="94">
        <f t="shared" si="59"/>
        <v>0.3</v>
      </c>
      <c r="H436" s="92" t="s">
        <v>46</v>
      </c>
      <c r="I436" s="96">
        <f t="shared" si="54"/>
        <v>0.3</v>
      </c>
      <c r="J436" s="96">
        <f t="shared" si="55"/>
        <v>0.7</v>
      </c>
      <c r="K436" s="92">
        <f>VLOOKUP(H436,'Taux émission CO2e'!$A$5:$D$16,4,FALSE)</f>
        <v>0.16</v>
      </c>
      <c r="L436" s="93">
        <f t="shared" si="60"/>
        <v>7.7979743999999993</v>
      </c>
      <c r="M436" s="92">
        <f>VLOOKUP(H436,'Taux émission CO2e'!$A$20:$D$31,4,FALSE)</f>
        <v>6.7400000000000002E-2</v>
      </c>
      <c r="N436" s="105">
        <f t="shared" si="61"/>
        <v>7.6647590039999995</v>
      </c>
      <c r="O436" s="93">
        <f t="shared" si="62"/>
        <v>15.462733403999998</v>
      </c>
      <c r="P436" s="92">
        <v>239</v>
      </c>
      <c r="Q436" s="92" t="s">
        <v>62</v>
      </c>
      <c r="R436" s="92" t="s">
        <v>55</v>
      </c>
      <c r="S436" s="20">
        <v>541.52599999999995</v>
      </c>
    </row>
    <row r="437" spans="1:19" x14ac:dyDescent="0.15">
      <c r="A437" s="90">
        <v>44455</v>
      </c>
      <c r="B437" s="90" t="str">
        <f t="shared" si="56"/>
        <v>septembre</v>
      </c>
      <c r="C437" s="90" t="str">
        <f t="shared" si="57"/>
        <v>2021</v>
      </c>
      <c r="D437" s="90" t="str">
        <f t="shared" si="58"/>
        <v>septembre2021</v>
      </c>
      <c r="E437" s="92" t="s">
        <v>355</v>
      </c>
      <c r="F437" s="91">
        <v>600</v>
      </c>
      <c r="G437" s="94">
        <f t="shared" si="59"/>
        <v>0.6</v>
      </c>
      <c r="H437" s="92" t="s">
        <v>45</v>
      </c>
      <c r="I437" s="96">
        <f t="shared" si="54"/>
        <v>0.3</v>
      </c>
      <c r="J437" s="96">
        <f t="shared" si="55"/>
        <v>0.7</v>
      </c>
      <c r="K437" s="92">
        <f>VLOOKUP(H437,'Taux émission CO2e'!$A$5:$D$16,4,FALSE)</f>
        <v>0.16</v>
      </c>
      <c r="L437" s="93">
        <f t="shared" si="60"/>
        <v>14.874451200000001</v>
      </c>
      <c r="M437" s="92">
        <f>VLOOKUP(H437,'Taux émission CO2e'!$A$20:$D$31,4,FALSE)</f>
        <v>6.7400000000000002E-2</v>
      </c>
      <c r="N437" s="105">
        <f t="shared" si="61"/>
        <v>14.620345992000001</v>
      </c>
      <c r="O437" s="93">
        <f t="shared" si="62"/>
        <v>29.494797192</v>
      </c>
      <c r="P437" s="92">
        <v>253</v>
      </c>
      <c r="Q437" s="92" t="s">
        <v>52</v>
      </c>
      <c r="R437" s="92" t="s">
        <v>55</v>
      </c>
      <c r="S437" s="20">
        <v>516.47400000000005</v>
      </c>
    </row>
    <row r="438" spans="1:19" x14ac:dyDescent="0.15">
      <c r="A438" s="90">
        <v>44459</v>
      </c>
      <c r="B438" s="90" t="str">
        <f t="shared" si="56"/>
        <v>septembre</v>
      </c>
      <c r="C438" s="90" t="str">
        <f t="shared" si="57"/>
        <v>2021</v>
      </c>
      <c r="D438" s="90" t="str">
        <f t="shared" si="58"/>
        <v>septembre2021</v>
      </c>
      <c r="E438" s="92" t="s">
        <v>356</v>
      </c>
      <c r="F438" s="91">
        <v>800</v>
      </c>
      <c r="G438" s="94">
        <f t="shared" si="59"/>
        <v>0.8</v>
      </c>
      <c r="H438" s="92" t="s">
        <v>45</v>
      </c>
      <c r="I438" s="96">
        <f t="shared" si="54"/>
        <v>0.3</v>
      </c>
      <c r="J438" s="96">
        <f t="shared" si="55"/>
        <v>0.7</v>
      </c>
      <c r="K438" s="92">
        <f>VLOOKUP(H438,'Taux émission CO2e'!$A$5:$D$16,4,FALSE)</f>
        <v>0.16</v>
      </c>
      <c r="L438" s="93">
        <f t="shared" si="60"/>
        <v>10.220774400000002</v>
      </c>
      <c r="M438" s="92">
        <f>VLOOKUP(H438,'Taux émission CO2e'!$A$20:$D$31,4,FALSE)</f>
        <v>6.7400000000000002E-2</v>
      </c>
      <c r="N438" s="105">
        <f t="shared" si="61"/>
        <v>10.046169504</v>
      </c>
      <c r="O438" s="93">
        <f t="shared" si="62"/>
        <v>20.266943904000001</v>
      </c>
      <c r="P438" s="92">
        <v>132</v>
      </c>
      <c r="Q438" s="92" t="s">
        <v>58</v>
      </c>
      <c r="R438" s="92" t="s">
        <v>53</v>
      </c>
      <c r="S438" s="20">
        <v>266.166</v>
      </c>
    </row>
    <row r="439" spans="1:19" x14ac:dyDescent="0.15">
      <c r="A439" s="90">
        <v>44459</v>
      </c>
      <c r="B439" s="90" t="str">
        <f t="shared" si="56"/>
        <v>septembre</v>
      </c>
      <c r="C439" s="90" t="str">
        <f t="shared" si="57"/>
        <v>2021</v>
      </c>
      <c r="D439" s="90" t="str">
        <f t="shared" si="58"/>
        <v>septembre2021</v>
      </c>
      <c r="E439" s="92" t="s">
        <v>357</v>
      </c>
      <c r="F439" s="91">
        <v>600</v>
      </c>
      <c r="G439" s="94">
        <f t="shared" si="59"/>
        <v>0.6</v>
      </c>
      <c r="H439" s="92" t="s">
        <v>46</v>
      </c>
      <c r="I439" s="96">
        <f t="shared" si="54"/>
        <v>0.3</v>
      </c>
      <c r="J439" s="96">
        <f t="shared" si="55"/>
        <v>0.7</v>
      </c>
      <c r="K439" s="92">
        <f>VLOOKUP(H439,'Taux émission CO2e'!$A$5:$D$16,4,FALSE)</f>
        <v>0.16</v>
      </c>
      <c r="L439" s="93">
        <f t="shared" si="60"/>
        <v>10.960876799999999</v>
      </c>
      <c r="M439" s="92">
        <f>VLOOKUP(H439,'Taux émission CO2e'!$A$20:$D$31,4,FALSE)</f>
        <v>6.7400000000000002E-2</v>
      </c>
      <c r="N439" s="105">
        <f t="shared" si="61"/>
        <v>10.773628488</v>
      </c>
      <c r="O439" s="93">
        <f t="shared" si="62"/>
        <v>21.734505288000001</v>
      </c>
      <c r="P439" s="92">
        <v>200</v>
      </c>
      <c r="Q439" s="92" t="s">
        <v>91</v>
      </c>
      <c r="R439" s="92" t="s">
        <v>55</v>
      </c>
      <c r="S439" s="20">
        <v>380.58600000000001</v>
      </c>
    </row>
    <row r="440" spans="1:19" x14ac:dyDescent="0.15">
      <c r="A440" s="90">
        <v>44460</v>
      </c>
      <c r="B440" s="90" t="str">
        <f t="shared" si="56"/>
        <v>septembre</v>
      </c>
      <c r="C440" s="90" t="str">
        <f t="shared" si="57"/>
        <v>2021</v>
      </c>
      <c r="D440" s="90" t="str">
        <f t="shared" si="58"/>
        <v>septembre2021</v>
      </c>
      <c r="E440" s="92" t="s">
        <v>358</v>
      </c>
      <c r="F440" s="91">
        <v>300</v>
      </c>
      <c r="G440" s="94">
        <f t="shared" si="59"/>
        <v>0.3</v>
      </c>
      <c r="H440" s="92" t="s">
        <v>46</v>
      </c>
      <c r="I440" s="96">
        <f t="shared" si="54"/>
        <v>0.3</v>
      </c>
      <c r="J440" s="96">
        <f t="shared" si="55"/>
        <v>0.7</v>
      </c>
      <c r="K440" s="92">
        <f>VLOOKUP(H440,'Taux émission CO2e'!$A$5:$D$16,4,FALSE)</f>
        <v>0.16</v>
      </c>
      <c r="L440" s="93">
        <f t="shared" si="60"/>
        <v>3.7158191999999999</v>
      </c>
      <c r="M440" s="92">
        <f>VLOOKUP(H440,'Taux émission CO2e'!$A$20:$D$31,4,FALSE)</f>
        <v>6.7400000000000002E-2</v>
      </c>
      <c r="N440" s="105">
        <f t="shared" si="61"/>
        <v>3.6523406220000001</v>
      </c>
      <c r="O440" s="93">
        <f t="shared" si="62"/>
        <v>7.368159822</v>
      </c>
      <c r="P440" s="92">
        <v>131</v>
      </c>
      <c r="Q440" s="92" t="s">
        <v>102</v>
      </c>
      <c r="R440" s="92" t="s">
        <v>55</v>
      </c>
      <c r="S440" s="20">
        <v>258.04300000000001</v>
      </c>
    </row>
    <row r="441" spans="1:19" x14ac:dyDescent="0.15">
      <c r="A441" s="90">
        <v>44460</v>
      </c>
      <c r="B441" s="90" t="str">
        <f t="shared" si="56"/>
        <v>septembre</v>
      </c>
      <c r="C441" s="90" t="str">
        <f t="shared" si="57"/>
        <v>2021</v>
      </c>
      <c r="D441" s="90" t="str">
        <f t="shared" si="58"/>
        <v>septembre2021</v>
      </c>
      <c r="E441" s="92" t="s">
        <v>359</v>
      </c>
      <c r="F441" s="91">
        <v>300</v>
      </c>
      <c r="G441" s="94">
        <f t="shared" si="59"/>
        <v>0.3</v>
      </c>
      <c r="H441" s="92" t="s">
        <v>45</v>
      </c>
      <c r="I441" s="96">
        <f t="shared" si="54"/>
        <v>0.3</v>
      </c>
      <c r="J441" s="96">
        <f t="shared" si="55"/>
        <v>0.7</v>
      </c>
      <c r="K441" s="92">
        <f>VLOOKUP(H441,'Taux émission CO2e'!$A$5:$D$16,4,FALSE)</f>
        <v>0.16</v>
      </c>
      <c r="L441" s="93">
        <f t="shared" si="60"/>
        <v>4.0052879999999993</v>
      </c>
      <c r="M441" s="92">
        <f>VLOOKUP(H441,'Taux émission CO2e'!$A$20:$D$31,4,FALSE)</f>
        <v>6.7400000000000002E-2</v>
      </c>
      <c r="N441" s="105">
        <f t="shared" si="61"/>
        <v>3.9368643299999997</v>
      </c>
      <c r="O441" s="93">
        <f t="shared" si="62"/>
        <v>7.942152329999999</v>
      </c>
      <c r="P441" s="92">
        <v>158</v>
      </c>
      <c r="Q441" s="92" t="s">
        <v>74</v>
      </c>
      <c r="R441" s="92" t="s">
        <v>55</v>
      </c>
      <c r="S441" s="20">
        <v>278.14499999999998</v>
      </c>
    </row>
    <row r="442" spans="1:19" x14ac:dyDescent="0.15">
      <c r="A442" s="90">
        <v>44460</v>
      </c>
      <c r="B442" s="90" t="str">
        <f t="shared" si="56"/>
        <v>septembre</v>
      </c>
      <c r="C442" s="90" t="str">
        <f t="shared" si="57"/>
        <v>2021</v>
      </c>
      <c r="D442" s="90" t="str">
        <f t="shared" si="58"/>
        <v>septembre2021</v>
      </c>
      <c r="E442" s="92" t="s">
        <v>360</v>
      </c>
      <c r="F442" s="91">
        <v>300</v>
      </c>
      <c r="G442" s="94">
        <f t="shared" si="59"/>
        <v>0.3</v>
      </c>
      <c r="H442" s="92" t="s">
        <v>45</v>
      </c>
      <c r="I442" s="96">
        <f t="shared" si="54"/>
        <v>0.3</v>
      </c>
      <c r="J442" s="96">
        <f t="shared" si="55"/>
        <v>0.7</v>
      </c>
      <c r="K442" s="92">
        <f>VLOOKUP(H442,'Taux émission CO2e'!$A$5:$D$16,4,FALSE)</f>
        <v>0.16</v>
      </c>
      <c r="L442" s="93">
        <f t="shared" si="60"/>
        <v>3.6040031999999997</v>
      </c>
      <c r="M442" s="92">
        <f>VLOOKUP(H442,'Taux émission CO2e'!$A$20:$D$31,4,FALSE)</f>
        <v>6.7400000000000002E-2</v>
      </c>
      <c r="N442" s="105">
        <f t="shared" si="61"/>
        <v>3.5424348119999998</v>
      </c>
      <c r="O442" s="93">
        <f t="shared" si="62"/>
        <v>7.1464380119999991</v>
      </c>
      <c r="P442" s="92">
        <v>158</v>
      </c>
      <c r="Q442" s="92" t="s">
        <v>89</v>
      </c>
      <c r="R442" s="92" t="s">
        <v>55</v>
      </c>
      <c r="S442" s="20">
        <v>250.27799999999999</v>
      </c>
    </row>
    <row r="443" spans="1:19" x14ac:dyDescent="0.15">
      <c r="A443" s="90">
        <v>44460</v>
      </c>
      <c r="B443" s="90" t="str">
        <f t="shared" si="56"/>
        <v>septembre</v>
      </c>
      <c r="C443" s="90" t="str">
        <f t="shared" si="57"/>
        <v>2021</v>
      </c>
      <c r="D443" s="90" t="str">
        <f t="shared" si="58"/>
        <v>septembre2021</v>
      </c>
      <c r="E443" s="92" t="s">
        <v>361</v>
      </c>
      <c r="F443" s="91">
        <v>150</v>
      </c>
      <c r="G443" s="94">
        <f t="shared" si="59"/>
        <v>0.15</v>
      </c>
      <c r="H443" s="92" t="s">
        <v>45</v>
      </c>
      <c r="I443" s="96">
        <f t="shared" si="54"/>
        <v>0.3</v>
      </c>
      <c r="J443" s="96">
        <f t="shared" si="55"/>
        <v>0.7</v>
      </c>
      <c r="K443" s="92">
        <f>VLOOKUP(H443,'Taux émission CO2e'!$A$5:$D$16,4,FALSE)</f>
        <v>0.16</v>
      </c>
      <c r="L443" s="93">
        <f t="shared" si="60"/>
        <v>5.4150624000000001</v>
      </c>
      <c r="M443" s="92">
        <f>VLOOKUP(H443,'Taux émission CO2e'!$A$20:$D$31,4,FALSE)</f>
        <v>6.7400000000000002E-2</v>
      </c>
      <c r="N443" s="105">
        <f t="shared" si="61"/>
        <v>5.3225550840000002</v>
      </c>
      <c r="O443" s="93">
        <f t="shared" si="62"/>
        <v>10.737617484000001</v>
      </c>
      <c r="P443" s="92">
        <v>175</v>
      </c>
      <c r="Q443" s="92" t="s">
        <v>73</v>
      </c>
      <c r="R443" s="92" t="s">
        <v>55</v>
      </c>
      <c r="S443" s="20">
        <v>752.09199999999998</v>
      </c>
    </row>
    <row r="444" spans="1:19" x14ac:dyDescent="0.15">
      <c r="A444" s="90">
        <v>44461</v>
      </c>
      <c r="B444" s="90" t="str">
        <f t="shared" si="56"/>
        <v>septembre</v>
      </c>
      <c r="C444" s="90" t="str">
        <f t="shared" si="57"/>
        <v>2021</v>
      </c>
      <c r="D444" s="90" t="str">
        <f t="shared" si="58"/>
        <v>septembre2021</v>
      </c>
      <c r="E444" s="92" t="s">
        <v>362</v>
      </c>
      <c r="F444" s="91">
        <v>150</v>
      </c>
      <c r="G444" s="94">
        <f t="shared" si="59"/>
        <v>0.15</v>
      </c>
      <c r="H444" s="92" t="s">
        <v>38</v>
      </c>
      <c r="I444" s="96">
        <f t="shared" si="54"/>
        <v>1</v>
      </c>
      <c r="J444" s="96">
        <f t="shared" si="55"/>
        <v>0</v>
      </c>
      <c r="K444" s="92">
        <f>VLOOKUP(H444,'Taux émission CO2e'!$A$5:$D$16,4,FALSE)</f>
        <v>0.24099999999999999</v>
      </c>
      <c r="L444" s="93">
        <f t="shared" si="60"/>
        <v>0.67459514999999992</v>
      </c>
      <c r="M444" s="92">
        <f>VLOOKUP(H444,'Taux émission CO2e'!$A$20:$D$31,4,FALSE)</f>
        <v>0</v>
      </c>
      <c r="N444" s="105">
        <f t="shared" si="61"/>
        <v>0</v>
      </c>
      <c r="O444" s="93">
        <f t="shared" si="62"/>
        <v>0.67459514999999992</v>
      </c>
      <c r="P444" s="92">
        <v>60</v>
      </c>
      <c r="Q444" s="92" t="s">
        <v>58</v>
      </c>
      <c r="R444" s="92" t="s">
        <v>363</v>
      </c>
      <c r="S444" s="20">
        <v>18.661000000000001</v>
      </c>
    </row>
    <row r="445" spans="1:19" x14ac:dyDescent="0.15">
      <c r="A445" s="90">
        <v>44461</v>
      </c>
      <c r="B445" s="90" t="str">
        <f t="shared" si="56"/>
        <v>septembre</v>
      </c>
      <c r="C445" s="90" t="str">
        <f t="shared" si="57"/>
        <v>2021</v>
      </c>
      <c r="D445" s="90" t="str">
        <f t="shared" si="58"/>
        <v>septembre2021</v>
      </c>
      <c r="E445" s="92" t="s">
        <v>364</v>
      </c>
      <c r="F445" s="92">
        <v>3200</v>
      </c>
      <c r="G445" s="94">
        <f t="shared" si="59"/>
        <v>3.2</v>
      </c>
      <c r="H445" s="92" t="s">
        <v>32</v>
      </c>
      <c r="I445" s="96">
        <f t="shared" si="54"/>
        <v>1</v>
      </c>
      <c r="J445" s="96">
        <f t="shared" si="55"/>
        <v>0</v>
      </c>
      <c r="K445" s="92">
        <f>VLOOKUP(H445,'Taux émission CO2e'!$A$5:$D$16,4,FALSE)</f>
        <v>6.7400000000000002E-2</v>
      </c>
      <c r="L445" s="93">
        <f t="shared" si="60"/>
        <v>57.447015040000004</v>
      </c>
      <c r="M445" s="92">
        <f>VLOOKUP(H445,'Taux émission CO2e'!$A$20:$D$31,4,FALSE)</f>
        <v>0</v>
      </c>
      <c r="N445" s="105">
        <f t="shared" si="61"/>
        <v>0</v>
      </c>
      <c r="O445" s="93">
        <f t="shared" si="62"/>
        <v>57.447015040000004</v>
      </c>
      <c r="P445" s="92">
        <v>410</v>
      </c>
      <c r="Q445" s="92" t="s">
        <v>77</v>
      </c>
      <c r="R445" s="92" t="s">
        <v>55</v>
      </c>
      <c r="S445" s="20">
        <v>266.35300000000001</v>
      </c>
    </row>
    <row r="446" spans="1:19" x14ac:dyDescent="0.15">
      <c r="A446" s="90">
        <v>44462</v>
      </c>
      <c r="B446" s="90" t="str">
        <f t="shared" si="56"/>
        <v>septembre</v>
      </c>
      <c r="C446" s="90" t="str">
        <f t="shared" si="57"/>
        <v>2021</v>
      </c>
      <c r="D446" s="90" t="str">
        <f t="shared" si="58"/>
        <v>septembre2021</v>
      </c>
      <c r="E446" s="92" t="s">
        <v>365</v>
      </c>
      <c r="F446" s="91">
        <v>200</v>
      </c>
      <c r="G446" s="94">
        <f t="shared" si="59"/>
        <v>0.2</v>
      </c>
      <c r="H446" s="92" t="s">
        <v>45</v>
      </c>
      <c r="I446" s="96">
        <f t="shared" si="54"/>
        <v>0.3</v>
      </c>
      <c r="J446" s="96">
        <f t="shared" si="55"/>
        <v>0.7</v>
      </c>
      <c r="K446" s="92">
        <f>VLOOKUP(H446,'Taux émission CO2e'!$A$5:$D$16,4,FALSE)</f>
        <v>0.16</v>
      </c>
      <c r="L446" s="93">
        <f t="shared" si="60"/>
        <v>2.5569888000000005</v>
      </c>
      <c r="M446" s="92">
        <f>VLOOKUP(H446,'Taux émission CO2e'!$A$20:$D$31,4,FALSE)</f>
        <v>6.7400000000000002E-2</v>
      </c>
      <c r="N446" s="105">
        <f t="shared" si="61"/>
        <v>2.5133069080000001</v>
      </c>
      <c r="O446" s="93">
        <f t="shared" si="62"/>
        <v>5.0702957080000006</v>
      </c>
      <c r="P446" s="92">
        <v>125</v>
      </c>
      <c r="Q446" s="92" t="s">
        <v>77</v>
      </c>
      <c r="R446" s="92" t="s">
        <v>55</v>
      </c>
      <c r="S446" s="20">
        <v>266.35300000000001</v>
      </c>
    </row>
    <row r="447" spans="1:19" x14ac:dyDescent="0.15">
      <c r="A447" s="90">
        <v>44462</v>
      </c>
      <c r="B447" s="90" t="str">
        <f t="shared" si="56"/>
        <v>septembre</v>
      </c>
      <c r="C447" s="90" t="str">
        <f t="shared" si="57"/>
        <v>2021</v>
      </c>
      <c r="D447" s="90" t="str">
        <f t="shared" si="58"/>
        <v>septembre2021</v>
      </c>
      <c r="E447" s="92" t="s">
        <v>366</v>
      </c>
      <c r="F447" s="91">
        <v>300</v>
      </c>
      <c r="G447" s="94">
        <f t="shared" si="59"/>
        <v>0.3</v>
      </c>
      <c r="H447" s="92" t="s">
        <v>45</v>
      </c>
      <c r="I447" s="96">
        <f t="shared" si="54"/>
        <v>0.3</v>
      </c>
      <c r="J447" s="96">
        <f t="shared" si="55"/>
        <v>0.7</v>
      </c>
      <c r="K447" s="92">
        <f>VLOOKUP(H447,'Taux émission CO2e'!$A$5:$D$16,4,FALSE)</f>
        <v>0.16</v>
      </c>
      <c r="L447" s="93">
        <f t="shared" si="60"/>
        <v>7.4372256000000005</v>
      </c>
      <c r="M447" s="92">
        <f>VLOOKUP(H447,'Taux émission CO2e'!$A$20:$D$31,4,FALSE)</f>
        <v>6.7400000000000002E-2</v>
      </c>
      <c r="N447" s="105">
        <f t="shared" si="61"/>
        <v>7.3101729960000004</v>
      </c>
      <c r="O447" s="93">
        <f t="shared" si="62"/>
        <v>14.747398596</v>
      </c>
      <c r="P447" s="92">
        <v>165</v>
      </c>
      <c r="Q447" s="92" t="s">
        <v>52</v>
      </c>
      <c r="R447" s="92" t="s">
        <v>55</v>
      </c>
      <c r="S447" s="20">
        <v>516.47400000000005</v>
      </c>
    </row>
    <row r="448" spans="1:19" x14ac:dyDescent="0.15">
      <c r="A448" s="90">
        <v>44466</v>
      </c>
      <c r="B448" s="90" t="str">
        <f t="shared" si="56"/>
        <v>septembre</v>
      </c>
      <c r="C448" s="90" t="str">
        <f t="shared" si="57"/>
        <v>2021</v>
      </c>
      <c r="D448" s="90" t="str">
        <f t="shared" si="58"/>
        <v>septembre2021</v>
      </c>
      <c r="E448" s="92" t="s">
        <v>367</v>
      </c>
      <c r="F448" s="91">
        <v>200</v>
      </c>
      <c r="G448" s="94">
        <f t="shared" si="59"/>
        <v>0.2</v>
      </c>
      <c r="H448" s="92" t="s">
        <v>38</v>
      </c>
      <c r="I448" s="96">
        <f t="shared" si="54"/>
        <v>1</v>
      </c>
      <c r="J448" s="96">
        <f t="shared" si="55"/>
        <v>0</v>
      </c>
      <c r="K448" s="92">
        <f>VLOOKUP(H448,'Taux émission CO2e'!$A$5:$D$16,4,FALSE)</f>
        <v>0.24099999999999999</v>
      </c>
      <c r="L448" s="93">
        <f t="shared" si="60"/>
        <v>2.1666382</v>
      </c>
      <c r="M448" s="92">
        <f>VLOOKUP(H448,'Taux émission CO2e'!$A$20:$D$31,4,FALSE)</f>
        <v>0</v>
      </c>
      <c r="N448" s="105">
        <f t="shared" si="61"/>
        <v>0</v>
      </c>
      <c r="O448" s="93">
        <f t="shared" si="62"/>
        <v>2.1666382</v>
      </c>
      <c r="P448" s="92">
        <v>80</v>
      </c>
      <c r="Q448" s="92" t="s">
        <v>58</v>
      </c>
      <c r="R448" s="92" t="s">
        <v>78</v>
      </c>
      <c r="S448" s="20">
        <v>44.951000000000001</v>
      </c>
    </row>
    <row r="449" spans="1:19" x14ac:dyDescent="0.15">
      <c r="A449" s="90">
        <v>44466</v>
      </c>
      <c r="B449" s="90" t="str">
        <f t="shared" si="56"/>
        <v>septembre</v>
      </c>
      <c r="C449" s="90" t="str">
        <f t="shared" si="57"/>
        <v>2021</v>
      </c>
      <c r="D449" s="90" t="str">
        <f t="shared" si="58"/>
        <v>septembre2021</v>
      </c>
      <c r="E449" s="92" t="s">
        <v>368</v>
      </c>
      <c r="F449" s="91">
        <v>200</v>
      </c>
      <c r="G449" s="94">
        <f t="shared" si="59"/>
        <v>0.2</v>
      </c>
      <c r="H449" s="92" t="s">
        <v>45</v>
      </c>
      <c r="I449" s="96">
        <f t="shared" si="54"/>
        <v>0.3</v>
      </c>
      <c r="J449" s="96">
        <f t="shared" si="55"/>
        <v>0.7</v>
      </c>
      <c r="K449" s="92">
        <f>VLOOKUP(H449,'Taux émission CO2e'!$A$5:$D$16,4,FALSE)</f>
        <v>0.16</v>
      </c>
      <c r="L449" s="93">
        <f t="shared" si="60"/>
        <v>2.2507392000000004</v>
      </c>
      <c r="M449" s="92">
        <f>VLOOKUP(H449,'Taux émission CO2e'!$A$20:$D$31,4,FALSE)</f>
        <v>6.7400000000000002E-2</v>
      </c>
      <c r="N449" s="105">
        <f t="shared" si="61"/>
        <v>2.2122890719999999</v>
      </c>
      <c r="O449" s="93">
        <f t="shared" si="62"/>
        <v>4.4630282720000007</v>
      </c>
      <c r="P449" s="92">
        <v>125</v>
      </c>
      <c r="Q449" s="92" t="s">
        <v>58</v>
      </c>
      <c r="R449" s="92" t="s">
        <v>369</v>
      </c>
      <c r="S449" s="20">
        <v>234.452</v>
      </c>
    </row>
    <row r="450" spans="1:19" x14ac:dyDescent="0.15">
      <c r="A450" s="90">
        <v>44466</v>
      </c>
      <c r="B450" s="90" t="str">
        <f t="shared" si="56"/>
        <v>septembre</v>
      </c>
      <c r="C450" s="90" t="str">
        <f t="shared" si="57"/>
        <v>2021</v>
      </c>
      <c r="D450" s="90" t="str">
        <f t="shared" si="58"/>
        <v>septembre2021</v>
      </c>
      <c r="E450" s="92" t="s">
        <v>370</v>
      </c>
      <c r="F450" s="91">
        <v>200</v>
      </c>
      <c r="G450" s="94">
        <f t="shared" si="59"/>
        <v>0.2</v>
      </c>
      <c r="H450" s="92" t="s">
        <v>45</v>
      </c>
      <c r="I450" s="96">
        <f t="shared" ref="I450:I513" si="63">VLOOKUP(H450,Segment1,2,FALSE)</f>
        <v>0.3</v>
      </c>
      <c r="J450" s="96">
        <f t="shared" ref="J450:J513" si="64">VLOOKUP(H450,Segment2,2,FALSE)</f>
        <v>0.7</v>
      </c>
      <c r="K450" s="92">
        <f>VLOOKUP(H450,'Taux émission CO2e'!$A$5:$D$16,4,FALSE)</f>
        <v>0.16</v>
      </c>
      <c r="L450" s="93">
        <f t="shared" si="60"/>
        <v>5.5854912000000008</v>
      </c>
      <c r="M450" s="92">
        <f>VLOOKUP(H450,'Taux émission CO2e'!$A$20:$D$31,4,FALSE)</f>
        <v>6.7400000000000002E-2</v>
      </c>
      <c r="N450" s="105">
        <f t="shared" si="61"/>
        <v>5.4900723920000001</v>
      </c>
      <c r="O450" s="93">
        <f t="shared" si="62"/>
        <v>11.075563592000002</v>
      </c>
      <c r="P450" s="92">
        <v>145</v>
      </c>
      <c r="Q450" s="92" t="s">
        <v>58</v>
      </c>
      <c r="R450" s="92" t="s">
        <v>371</v>
      </c>
      <c r="S450" s="20">
        <v>581.822</v>
      </c>
    </row>
    <row r="451" spans="1:19" x14ac:dyDescent="0.15">
      <c r="A451" s="90">
        <v>44467</v>
      </c>
      <c r="B451" s="90" t="str">
        <f t="shared" ref="B451:B514" si="65">TEXT(A451,"mmmm")</f>
        <v>septembre</v>
      </c>
      <c r="C451" s="90" t="str">
        <f t="shared" ref="C451:C514" si="66">TEXT(A451,"aaaa")</f>
        <v>2021</v>
      </c>
      <c r="D451" s="90" t="str">
        <f t="shared" ref="D451:D514" si="67">B451&amp;C451</f>
        <v>septembre2021</v>
      </c>
      <c r="E451" s="92" t="s">
        <v>372</v>
      </c>
      <c r="F451" s="91">
        <v>800</v>
      </c>
      <c r="G451" s="94">
        <f t="shared" ref="G451:G514" si="68">F451/1000</f>
        <v>0.8</v>
      </c>
      <c r="H451" s="92" t="s">
        <v>38</v>
      </c>
      <c r="I451" s="96">
        <f t="shared" si="63"/>
        <v>1</v>
      </c>
      <c r="J451" s="96">
        <f t="shared" si="64"/>
        <v>0</v>
      </c>
      <c r="K451" s="92">
        <f>VLOOKUP(H451,'Taux émission CO2e'!$A$5:$D$16,4,FALSE)</f>
        <v>0.24099999999999999</v>
      </c>
      <c r="L451" s="93">
        <f t="shared" ref="L451:L514" si="69">IFERROR(I451*K451*G451*S451,"0")</f>
        <v>14.411607199999999</v>
      </c>
      <c r="M451" s="92">
        <f>VLOOKUP(H451,'Taux émission CO2e'!$A$20:$D$31,4,FALSE)</f>
        <v>0</v>
      </c>
      <c r="N451" s="105">
        <f t="shared" ref="N451:N514" si="70">IFERROR(J451*M451*G451*S451,"0")</f>
        <v>0</v>
      </c>
      <c r="O451" s="93">
        <f t="shared" ref="O451:O514" si="71">L451+N451</f>
        <v>14.411607199999999</v>
      </c>
      <c r="P451" s="92">
        <v>154</v>
      </c>
      <c r="Q451" s="92" t="s">
        <v>58</v>
      </c>
      <c r="R451" s="92" t="s">
        <v>84</v>
      </c>
      <c r="S451" s="20">
        <v>74.748999999999995</v>
      </c>
    </row>
    <row r="452" spans="1:19" x14ac:dyDescent="0.15">
      <c r="A452" s="90">
        <v>44467</v>
      </c>
      <c r="B452" s="90" t="str">
        <f t="shared" si="65"/>
        <v>septembre</v>
      </c>
      <c r="C452" s="90" t="str">
        <f t="shared" si="66"/>
        <v>2021</v>
      </c>
      <c r="D452" s="90" t="str">
        <f t="shared" si="67"/>
        <v>septembre2021</v>
      </c>
      <c r="E452" s="92" t="s">
        <v>373</v>
      </c>
      <c r="F452" s="91">
        <v>500</v>
      </c>
      <c r="G452" s="94">
        <f t="shared" si="68"/>
        <v>0.5</v>
      </c>
      <c r="H452" s="92" t="s">
        <v>38</v>
      </c>
      <c r="I452" s="96">
        <f t="shared" si="63"/>
        <v>1</v>
      </c>
      <c r="J452" s="96">
        <f t="shared" si="64"/>
        <v>0</v>
      </c>
      <c r="K452" s="92">
        <f>VLOOKUP(H452,'Taux émission CO2e'!$A$5:$D$16,4,FALSE)</f>
        <v>0.24099999999999999</v>
      </c>
      <c r="L452" s="93">
        <f t="shared" si="69"/>
        <v>9.0072544999999984</v>
      </c>
      <c r="M452" s="92">
        <f>VLOOKUP(H452,'Taux émission CO2e'!$A$20:$D$31,4,FALSE)</f>
        <v>0</v>
      </c>
      <c r="N452" s="105">
        <f t="shared" si="70"/>
        <v>0</v>
      </c>
      <c r="O452" s="93">
        <f t="shared" si="71"/>
        <v>9.0072544999999984</v>
      </c>
      <c r="P452" s="92">
        <v>154</v>
      </c>
      <c r="Q452" s="92" t="s">
        <v>58</v>
      </c>
      <c r="R452" s="92" t="s">
        <v>84</v>
      </c>
      <c r="S452" s="20">
        <v>74.748999999999995</v>
      </c>
    </row>
    <row r="453" spans="1:19" x14ac:dyDescent="0.15">
      <c r="A453" s="90">
        <v>44467</v>
      </c>
      <c r="B453" s="90" t="str">
        <f t="shared" si="65"/>
        <v>septembre</v>
      </c>
      <c r="C453" s="90" t="str">
        <f t="shared" si="66"/>
        <v>2021</v>
      </c>
      <c r="D453" s="90" t="str">
        <f t="shared" si="67"/>
        <v>septembre2021</v>
      </c>
      <c r="E453" s="92" t="s">
        <v>374</v>
      </c>
      <c r="F453" s="91">
        <v>300</v>
      </c>
      <c r="G453" s="94">
        <f t="shared" si="68"/>
        <v>0.3</v>
      </c>
      <c r="H453" s="92" t="s">
        <v>46</v>
      </c>
      <c r="I453" s="96">
        <f t="shared" si="63"/>
        <v>0.3</v>
      </c>
      <c r="J453" s="96">
        <f t="shared" si="64"/>
        <v>0.7</v>
      </c>
      <c r="K453" s="92">
        <f>VLOOKUP(H453,'Taux émission CO2e'!$A$5:$D$16,4,FALSE)</f>
        <v>0.16</v>
      </c>
      <c r="L453" s="93">
        <f t="shared" si="69"/>
        <v>3.6276336000000002</v>
      </c>
      <c r="M453" s="92">
        <f>VLOOKUP(H453,'Taux émission CO2e'!$A$20:$D$31,4,FALSE)</f>
        <v>6.7400000000000002E-2</v>
      </c>
      <c r="N453" s="105">
        <f t="shared" si="70"/>
        <v>3.565661526</v>
      </c>
      <c r="O453" s="93">
        <f t="shared" si="71"/>
        <v>7.1932951260000006</v>
      </c>
      <c r="P453" s="92">
        <v>158</v>
      </c>
      <c r="Q453" s="92" t="s">
        <v>92</v>
      </c>
      <c r="R453" s="92" t="s">
        <v>55</v>
      </c>
      <c r="S453" s="20">
        <v>251.91900000000001</v>
      </c>
    </row>
    <row r="454" spans="1:19" x14ac:dyDescent="0.15">
      <c r="A454" s="90">
        <v>44467</v>
      </c>
      <c r="B454" s="90" t="str">
        <f t="shared" si="65"/>
        <v>septembre</v>
      </c>
      <c r="C454" s="90" t="str">
        <f t="shared" si="66"/>
        <v>2021</v>
      </c>
      <c r="D454" s="90" t="str">
        <f t="shared" si="67"/>
        <v>septembre2021</v>
      </c>
      <c r="E454" s="92" t="s">
        <v>375</v>
      </c>
      <c r="F454" s="91">
        <v>500</v>
      </c>
      <c r="G454" s="94">
        <f t="shared" si="68"/>
        <v>0.5</v>
      </c>
      <c r="H454" s="92" t="s">
        <v>38</v>
      </c>
      <c r="I454" s="96">
        <f t="shared" si="63"/>
        <v>1</v>
      </c>
      <c r="J454" s="96">
        <f t="shared" si="64"/>
        <v>0</v>
      </c>
      <c r="K454" s="92">
        <f>VLOOKUP(H454,'Taux émission CO2e'!$A$5:$D$16,4,FALSE)</f>
        <v>0.24099999999999999</v>
      </c>
      <c r="L454" s="93">
        <f t="shared" si="69"/>
        <v>9.0072544999999984</v>
      </c>
      <c r="M454" s="92">
        <f>VLOOKUP(H454,'Taux émission CO2e'!$A$20:$D$31,4,FALSE)</f>
        <v>0</v>
      </c>
      <c r="N454" s="105">
        <f t="shared" si="70"/>
        <v>0</v>
      </c>
      <c r="O454" s="93">
        <f t="shared" si="71"/>
        <v>9.0072544999999984</v>
      </c>
      <c r="P454" s="92">
        <v>174</v>
      </c>
      <c r="Q454" s="92" t="s">
        <v>58</v>
      </c>
      <c r="R454" s="92" t="s">
        <v>84</v>
      </c>
      <c r="S454" s="20">
        <v>74.748999999999995</v>
      </c>
    </row>
    <row r="455" spans="1:19" x14ac:dyDescent="0.15">
      <c r="A455" s="90">
        <v>44469</v>
      </c>
      <c r="B455" s="90" t="str">
        <f t="shared" si="65"/>
        <v>septembre</v>
      </c>
      <c r="C455" s="90" t="str">
        <f t="shared" si="66"/>
        <v>2021</v>
      </c>
      <c r="D455" s="90" t="str">
        <f t="shared" si="67"/>
        <v>septembre2021</v>
      </c>
      <c r="E455" s="92" t="s">
        <v>376</v>
      </c>
      <c r="F455" s="91">
        <v>300</v>
      </c>
      <c r="G455" s="94">
        <f t="shared" si="68"/>
        <v>0.3</v>
      </c>
      <c r="H455" s="92" t="s">
        <v>45</v>
      </c>
      <c r="I455" s="96">
        <f t="shared" si="63"/>
        <v>0.3</v>
      </c>
      <c r="J455" s="96">
        <f t="shared" si="64"/>
        <v>0.7</v>
      </c>
      <c r="K455" s="92">
        <f>VLOOKUP(H455,'Taux émission CO2e'!$A$5:$D$16,4,FALSE)</f>
        <v>0.16</v>
      </c>
      <c r="L455" s="93">
        <f t="shared" si="69"/>
        <v>3.8354832000000001</v>
      </c>
      <c r="M455" s="92">
        <f>VLOOKUP(H455,'Taux émission CO2e'!$A$20:$D$31,4,FALSE)</f>
        <v>6.7400000000000002E-2</v>
      </c>
      <c r="N455" s="105">
        <f t="shared" si="70"/>
        <v>3.769960362</v>
      </c>
      <c r="O455" s="93">
        <f t="shared" si="71"/>
        <v>7.6054435619999996</v>
      </c>
      <c r="P455" s="92">
        <v>125</v>
      </c>
      <c r="Q455" s="92" t="s">
        <v>77</v>
      </c>
      <c r="R455" s="92" t="s">
        <v>55</v>
      </c>
      <c r="S455" s="20">
        <v>266.35300000000001</v>
      </c>
    </row>
    <row r="456" spans="1:19" x14ac:dyDescent="0.15">
      <c r="A456" s="90">
        <v>44469</v>
      </c>
      <c r="B456" s="90" t="str">
        <f t="shared" si="65"/>
        <v>septembre</v>
      </c>
      <c r="C456" s="90" t="str">
        <f t="shared" si="66"/>
        <v>2021</v>
      </c>
      <c r="D456" s="90" t="str">
        <f t="shared" si="67"/>
        <v>septembre2021</v>
      </c>
      <c r="E456" s="92" t="s">
        <v>377</v>
      </c>
      <c r="F456" s="91">
        <v>300</v>
      </c>
      <c r="G456" s="94">
        <f t="shared" si="68"/>
        <v>0.3</v>
      </c>
      <c r="H456" s="92" t="s">
        <v>45</v>
      </c>
      <c r="I456" s="96">
        <f t="shared" si="63"/>
        <v>0.3</v>
      </c>
      <c r="J456" s="96">
        <f t="shared" si="64"/>
        <v>0.7</v>
      </c>
      <c r="K456" s="92">
        <f>VLOOKUP(H456,'Taux émission CO2e'!$A$5:$D$16,4,FALSE)</f>
        <v>0.16</v>
      </c>
      <c r="L456" s="93">
        <f t="shared" si="69"/>
        <v>7.4372256000000005</v>
      </c>
      <c r="M456" s="92">
        <f>VLOOKUP(H456,'Taux émission CO2e'!$A$20:$D$31,4,FALSE)</f>
        <v>6.7400000000000002E-2</v>
      </c>
      <c r="N456" s="105">
        <f t="shared" si="70"/>
        <v>7.3101729960000004</v>
      </c>
      <c r="O456" s="93">
        <f t="shared" si="71"/>
        <v>14.747398596</v>
      </c>
      <c r="P456" s="92">
        <v>228</v>
      </c>
      <c r="Q456" s="92" t="s">
        <v>52</v>
      </c>
      <c r="R456" s="92" t="s">
        <v>55</v>
      </c>
      <c r="S456" s="20">
        <v>516.47400000000005</v>
      </c>
    </row>
    <row r="457" spans="1:19" x14ac:dyDescent="0.15">
      <c r="A457" s="90">
        <v>44564</v>
      </c>
      <c r="B457" s="90" t="str">
        <f t="shared" si="65"/>
        <v>janvier</v>
      </c>
      <c r="C457" s="90" t="str">
        <f t="shared" si="66"/>
        <v>2022</v>
      </c>
      <c r="D457" s="90" t="str">
        <f t="shared" si="67"/>
        <v>janvier2022</v>
      </c>
      <c r="E457" s="91" t="s">
        <v>378</v>
      </c>
      <c r="F457" s="91">
        <v>300</v>
      </c>
      <c r="G457" s="94">
        <f t="shared" si="68"/>
        <v>0.3</v>
      </c>
      <c r="H457" s="92" t="s">
        <v>45</v>
      </c>
      <c r="I457" s="96">
        <f t="shared" si="63"/>
        <v>0.3</v>
      </c>
      <c r="J457" s="96">
        <f t="shared" si="64"/>
        <v>0.7</v>
      </c>
      <c r="K457" s="92">
        <f>VLOOKUP(H457,'Taux émission CO2e'!$A$5:$D$16,4,FALSE)</f>
        <v>0.16</v>
      </c>
      <c r="L457" s="93">
        <f t="shared" si="69"/>
        <v>3.5826767999999998</v>
      </c>
      <c r="M457" s="92">
        <f>VLOOKUP(H457,'Taux émission CO2e'!$A$20:$D$31,4,FALSE)</f>
        <v>6.7400000000000002E-2</v>
      </c>
      <c r="N457" s="105">
        <f t="shared" si="70"/>
        <v>3.5214727379999999</v>
      </c>
      <c r="O457" s="93">
        <f t="shared" si="71"/>
        <v>7.1041495379999997</v>
      </c>
      <c r="P457" s="92">
        <v>90</v>
      </c>
      <c r="Q457" s="92" t="s">
        <v>58</v>
      </c>
      <c r="R457" s="92" t="s">
        <v>82</v>
      </c>
      <c r="S457" s="20">
        <v>248.797</v>
      </c>
    </row>
    <row r="458" spans="1:19" x14ac:dyDescent="0.15">
      <c r="A458" s="90">
        <v>44564</v>
      </c>
      <c r="B458" s="90" t="str">
        <f t="shared" si="65"/>
        <v>janvier</v>
      </c>
      <c r="C458" s="90" t="str">
        <f t="shared" si="66"/>
        <v>2022</v>
      </c>
      <c r="D458" s="90" t="str">
        <f t="shared" si="67"/>
        <v>janvier2022</v>
      </c>
      <c r="E458" s="91" t="s">
        <v>379</v>
      </c>
      <c r="F458" s="91">
        <v>225</v>
      </c>
      <c r="G458" s="94">
        <f t="shared" si="68"/>
        <v>0.22500000000000001</v>
      </c>
      <c r="H458" s="92" t="s">
        <v>45</v>
      </c>
      <c r="I458" s="96">
        <f t="shared" si="63"/>
        <v>0.3</v>
      </c>
      <c r="J458" s="96">
        <f t="shared" si="64"/>
        <v>0.7</v>
      </c>
      <c r="K458" s="92">
        <f>VLOOKUP(H458,'Taux émission CO2e'!$A$5:$D$16,4,FALSE)</f>
        <v>0.16</v>
      </c>
      <c r="L458" s="93">
        <f t="shared" si="69"/>
        <v>5.6226095999999997</v>
      </c>
      <c r="M458" s="92">
        <f>VLOOKUP(H458,'Taux émission CO2e'!$A$20:$D$31,4,FALSE)</f>
        <v>6.7400000000000002E-2</v>
      </c>
      <c r="N458" s="105">
        <f t="shared" si="70"/>
        <v>5.5265566859999993</v>
      </c>
      <c r="O458" s="93">
        <f t="shared" si="71"/>
        <v>11.149166286</v>
      </c>
      <c r="P458" s="92">
        <v>110</v>
      </c>
      <c r="Q458" s="92" t="s">
        <v>74</v>
      </c>
      <c r="R458" s="92" t="s">
        <v>53</v>
      </c>
      <c r="S458" s="20">
        <v>520.61199999999997</v>
      </c>
    </row>
    <row r="459" spans="1:19" x14ac:dyDescent="0.15">
      <c r="A459" s="90">
        <v>44564</v>
      </c>
      <c r="B459" s="90" t="str">
        <f t="shared" si="65"/>
        <v>janvier</v>
      </c>
      <c r="C459" s="90" t="str">
        <f t="shared" si="66"/>
        <v>2022</v>
      </c>
      <c r="D459" s="90" t="str">
        <f t="shared" si="67"/>
        <v>janvier2022</v>
      </c>
      <c r="E459" s="91" t="s">
        <v>380</v>
      </c>
      <c r="F459" s="91">
        <v>500</v>
      </c>
      <c r="G459" s="94">
        <f t="shared" si="68"/>
        <v>0.5</v>
      </c>
      <c r="H459" s="92" t="s">
        <v>45</v>
      </c>
      <c r="I459" s="96">
        <f t="shared" si="63"/>
        <v>0.3</v>
      </c>
      <c r="J459" s="96">
        <f t="shared" si="64"/>
        <v>0.7</v>
      </c>
      <c r="K459" s="92">
        <f>VLOOKUP(H459,'Taux émission CO2e'!$A$5:$D$16,4,FALSE)</f>
        <v>0.16</v>
      </c>
      <c r="L459" s="93">
        <f t="shared" si="69"/>
        <v>6.7151759999999996</v>
      </c>
      <c r="M459" s="92">
        <f>VLOOKUP(H459,'Taux émission CO2e'!$A$20:$D$31,4,FALSE)</f>
        <v>6.7400000000000002E-2</v>
      </c>
      <c r="N459" s="105">
        <f t="shared" si="70"/>
        <v>6.6004584099999999</v>
      </c>
      <c r="O459" s="93">
        <f t="shared" si="71"/>
        <v>13.315634409999999</v>
      </c>
      <c r="P459" s="92">
        <v>155</v>
      </c>
      <c r="Q459" s="92" t="s">
        <v>58</v>
      </c>
      <c r="R459" s="92" t="s">
        <v>70</v>
      </c>
      <c r="S459" s="20">
        <v>279.79899999999998</v>
      </c>
    </row>
    <row r="460" spans="1:19" x14ac:dyDescent="0.15">
      <c r="A460" s="90">
        <v>44566</v>
      </c>
      <c r="B460" s="90" t="str">
        <f t="shared" si="65"/>
        <v>janvier</v>
      </c>
      <c r="C460" s="90" t="str">
        <f t="shared" si="66"/>
        <v>2022</v>
      </c>
      <c r="D460" s="90" t="str">
        <f t="shared" si="67"/>
        <v>janvier2022</v>
      </c>
      <c r="E460" s="91" t="s">
        <v>381</v>
      </c>
      <c r="F460" s="91">
        <v>594</v>
      </c>
      <c r="G460" s="94">
        <f t="shared" si="68"/>
        <v>0.59399999999999997</v>
      </c>
      <c r="H460" s="92" t="s">
        <v>46</v>
      </c>
      <c r="I460" s="96">
        <f t="shared" si="63"/>
        <v>0.3</v>
      </c>
      <c r="J460" s="96">
        <f t="shared" si="64"/>
        <v>0.7</v>
      </c>
      <c r="K460" s="92">
        <f>VLOOKUP(H460,'Taux émission CO2e'!$A$5:$D$16,4,FALSE)</f>
        <v>0.16</v>
      </c>
      <c r="L460" s="93">
        <f t="shared" si="69"/>
        <v>15.430124159999998</v>
      </c>
      <c r="M460" s="92">
        <f>VLOOKUP(H460,'Taux émission CO2e'!$A$20:$D$31,4,FALSE)</f>
        <v>6.7400000000000002E-2</v>
      </c>
      <c r="N460" s="105">
        <f t="shared" si="70"/>
        <v>15.166526205599999</v>
      </c>
      <c r="O460" s="93">
        <f t="shared" si="71"/>
        <v>30.596650365599999</v>
      </c>
      <c r="P460" s="92">
        <v>190</v>
      </c>
      <c r="Q460" s="92" t="s">
        <v>58</v>
      </c>
      <c r="R460" s="92" t="s">
        <v>65</v>
      </c>
      <c r="S460" s="20">
        <v>541.17999999999995</v>
      </c>
    </row>
    <row r="461" spans="1:19" x14ac:dyDescent="0.15">
      <c r="A461" s="90">
        <v>44568</v>
      </c>
      <c r="B461" s="90" t="str">
        <f t="shared" si="65"/>
        <v>janvier</v>
      </c>
      <c r="C461" s="90" t="str">
        <f t="shared" si="66"/>
        <v>2022</v>
      </c>
      <c r="D461" s="90" t="str">
        <f t="shared" si="67"/>
        <v>janvier2022</v>
      </c>
      <c r="E461" s="91" t="s">
        <v>382</v>
      </c>
      <c r="F461" s="91">
        <v>200</v>
      </c>
      <c r="G461" s="94">
        <f t="shared" si="68"/>
        <v>0.2</v>
      </c>
      <c r="H461" s="92" t="s">
        <v>45</v>
      </c>
      <c r="I461" s="96">
        <f t="shared" si="63"/>
        <v>0.3</v>
      </c>
      <c r="J461" s="96">
        <f t="shared" si="64"/>
        <v>0.7</v>
      </c>
      <c r="K461" s="92">
        <f>VLOOKUP(H461,'Taux émission CO2e'!$A$5:$D$16,4,FALSE)</f>
        <v>0.16</v>
      </c>
      <c r="L461" s="93">
        <f t="shared" si="69"/>
        <v>4.958150400000001</v>
      </c>
      <c r="M461" s="92">
        <f>VLOOKUP(H461,'Taux émission CO2e'!$A$20:$D$31,4,FALSE)</f>
        <v>6.7400000000000002E-2</v>
      </c>
      <c r="N461" s="105">
        <f t="shared" si="70"/>
        <v>4.8734486640000005</v>
      </c>
      <c r="O461" s="93">
        <f t="shared" si="71"/>
        <v>9.8315990640000024</v>
      </c>
      <c r="P461" s="92">
        <v>165</v>
      </c>
      <c r="Q461" s="92" t="s">
        <v>52</v>
      </c>
      <c r="R461" s="92" t="s">
        <v>55</v>
      </c>
      <c r="S461" s="20">
        <v>516.47400000000005</v>
      </c>
    </row>
    <row r="462" spans="1:19" x14ac:dyDescent="0.15">
      <c r="A462" s="90">
        <v>44571</v>
      </c>
      <c r="B462" s="90" t="str">
        <f t="shared" si="65"/>
        <v>janvier</v>
      </c>
      <c r="C462" s="90" t="str">
        <f t="shared" si="66"/>
        <v>2022</v>
      </c>
      <c r="D462" s="90" t="str">
        <f t="shared" si="67"/>
        <v>janvier2022</v>
      </c>
      <c r="E462" s="91" t="s">
        <v>383</v>
      </c>
      <c r="F462" s="91">
        <v>62</v>
      </c>
      <c r="G462" s="94">
        <f t="shared" si="68"/>
        <v>6.2E-2</v>
      </c>
      <c r="H462" s="92" t="s">
        <v>45</v>
      </c>
      <c r="I462" s="96">
        <f t="shared" si="63"/>
        <v>0.3</v>
      </c>
      <c r="J462" s="96">
        <f t="shared" si="64"/>
        <v>0.7</v>
      </c>
      <c r="K462" s="92">
        <f>VLOOKUP(H462,'Taux émission CO2e'!$A$5:$D$16,4,FALSE)</f>
        <v>0.16</v>
      </c>
      <c r="L462" s="93">
        <f t="shared" si="69"/>
        <v>0.56578521599999998</v>
      </c>
      <c r="M462" s="92">
        <f>VLOOKUP(H462,'Taux émission CO2e'!$A$20:$D$31,4,FALSE)</f>
        <v>6.7400000000000002E-2</v>
      </c>
      <c r="N462" s="105">
        <f t="shared" si="70"/>
        <v>0.55611971856000009</v>
      </c>
      <c r="O462" s="93">
        <f t="shared" si="71"/>
        <v>1.1219049345600001</v>
      </c>
      <c r="P462" s="92">
        <v>100</v>
      </c>
      <c r="Q462" s="92" t="s">
        <v>58</v>
      </c>
      <c r="R462" s="92" t="s">
        <v>116</v>
      </c>
      <c r="S462" s="20">
        <v>190.11600000000001</v>
      </c>
    </row>
    <row r="463" spans="1:19" x14ac:dyDescent="0.15">
      <c r="A463" s="90">
        <v>44571</v>
      </c>
      <c r="B463" s="90" t="str">
        <f t="shared" si="65"/>
        <v>janvier</v>
      </c>
      <c r="C463" s="90" t="str">
        <f t="shared" si="66"/>
        <v>2022</v>
      </c>
      <c r="D463" s="90" t="str">
        <f t="shared" si="67"/>
        <v>janvier2022</v>
      </c>
      <c r="E463" s="91" t="s">
        <v>384</v>
      </c>
      <c r="F463" s="91">
        <v>800</v>
      </c>
      <c r="G463" s="94">
        <f t="shared" si="68"/>
        <v>0.8</v>
      </c>
      <c r="H463" s="92" t="s">
        <v>45</v>
      </c>
      <c r="I463" s="96">
        <f t="shared" si="63"/>
        <v>0.3</v>
      </c>
      <c r="J463" s="96">
        <f t="shared" si="64"/>
        <v>0.7</v>
      </c>
      <c r="K463" s="92">
        <f>VLOOKUP(H463,'Taux émission CO2e'!$A$5:$D$16,4,FALSE)</f>
        <v>0.16</v>
      </c>
      <c r="L463" s="93">
        <f t="shared" si="69"/>
        <v>29.086771200000001</v>
      </c>
      <c r="M463" s="92">
        <f>VLOOKUP(H463,'Taux émission CO2e'!$A$20:$D$31,4,FALSE)</f>
        <v>6.7400000000000002E-2</v>
      </c>
      <c r="N463" s="105">
        <f t="shared" si="70"/>
        <v>28.589872191999998</v>
      </c>
      <c r="O463" s="93">
        <f t="shared" si="71"/>
        <v>57.676643392000003</v>
      </c>
      <c r="P463" s="92">
        <v>360</v>
      </c>
      <c r="Q463" s="92" t="s">
        <v>77</v>
      </c>
      <c r="R463" s="92" t="s">
        <v>385</v>
      </c>
      <c r="S463" s="20">
        <v>757.46799999999996</v>
      </c>
    </row>
    <row r="464" spans="1:19" x14ac:dyDescent="0.15">
      <c r="A464" s="90">
        <v>44572</v>
      </c>
      <c r="B464" s="90" t="str">
        <f t="shared" si="65"/>
        <v>janvier</v>
      </c>
      <c r="C464" s="90" t="str">
        <f t="shared" si="66"/>
        <v>2022</v>
      </c>
      <c r="D464" s="90" t="str">
        <f t="shared" si="67"/>
        <v>janvier2022</v>
      </c>
      <c r="E464" s="91" t="s">
        <v>386</v>
      </c>
      <c r="F464" s="91">
        <v>450</v>
      </c>
      <c r="G464" s="94">
        <f t="shared" si="68"/>
        <v>0.45</v>
      </c>
      <c r="H464" s="92" t="s">
        <v>41</v>
      </c>
      <c r="I464" s="96">
        <f t="shared" si="63"/>
        <v>1</v>
      </c>
      <c r="J464" s="96">
        <f t="shared" si="64"/>
        <v>0</v>
      </c>
      <c r="K464" s="92">
        <f>VLOOKUP(H464,'Taux émission CO2e'!$A$5:$D$16,4,FALSE)</f>
        <v>0.16</v>
      </c>
      <c r="L464" s="93">
        <f t="shared" si="69"/>
        <v>3.9427920000000007</v>
      </c>
      <c r="M464" s="92">
        <f>VLOOKUP(H464,'Taux émission CO2e'!$A$20:$D$31,4,FALSE)</f>
        <v>0</v>
      </c>
      <c r="N464" s="105">
        <f t="shared" si="70"/>
        <v>0</v>
      </c>
      <c r="O464" s="93">
        <f t="shared" si="71"/>
        <v>3.9427920000000007</v>
      </c>
      <c r="P464" s="92">
        <v>123</v>
      </c>
      <c r="Q464" s="92" t="s">
        <v>56</v>
      </c>
      <c r="R464" s="92" t="s">
        <v>55</v>
      </c>
      <c r="S464" s="20">
        <v>54.761000000000003</v>
      </c>
    </row>
    <row r="465" spans="1:19" x14ac:dyDescent="0.15">
      <c r="A465" s="90">
        <v>44572</v>
      </c>
      <c r="B465" s="90" t="str">
        <f t="shared" si="65"/>
        <v>janvier</v>
      </c>
      <c r="C465" s="90" t="str">
        <f t="shared" si="66"/>
        <v>2022</v>
      </c>
      <c r="D465" s="90" t="str">
        <f t="shared" si="67"/>
        <v>janvier2022</v>
      </c>
      <c r="E465" s="91" t="s">
        <v>387</v>
      </c>
      <c r="F465" s="91">
        <v>148</v>
      </c>
      <c r="G465" s="94">
        <f t="shared" si="68"/>
        <v>0.14799999999999999</v>
      </c>
      <c r="H465" s="92" t="s">
        <v>45</v>
      </c>
      <c r="I465" s="96">
        <f t="shared" si="63"/>
        <v>0.3</v>
      </c>
      <c r="J465" s="96">
        <f t="shared" si="64"/>
        <v>0.7</v>
      </c>
      <c r="K465" s="92">
        <f>VLOOKUP(H465,'Taux émission CO2e'!$A$5:$D$16,4,FALSE)</f>
        <v>0.16</v>
      </c>
      <c r="L465" s="93">
        <f t="shared" si="69"/>
        <v>2.7027523200000001</v>
      </c>
      <c r="M465" s="92">
        <f>VLOOKUP(H465,'Taux émission CO2e'!$A$20:$D$31,4,FALSE)</f>
        <v>6.7400000000000002E-2</v>
      </c>
      <c r="N465" s="105">
        <f t="shared" si="70"/>
        <v>2.6565803012</v>
      </c>
      <c r="O465" s="93">
        <f t="shared" si="71"/>
        <v>5.3593326212000001</v>
      </c>
      <c r="P465" s="92">
        <v>131</v>
      </c>
      <c r="Q465" s="92" t="s">
        <v>58</v>
      </c>
      <c r="R465" s="92" t="s">
        <v>83</v>
      </c>
      <c r="S465" s="20">
        <v>380.45499999999998</v>
      </c>
    </row>
    <row r="466" spans="1:19" x14ac:dyDescent="0.15">
      <c r="A466" s="90">
        <v>44572</v>
      </c>
      <c r="B466" s="90" t="str">
        <f t="shared" si="65"/>
        <v>janvier</v>
      </c>
      <c r="C466" s="90" t="str">
        <f t="shared" si="66"/>
        <v>2022</v>
      </c>
      <c r="D466" s="90" t="str">
        <f t="shared" si="67"/>
        <v>janvier2022</v>
      </c>
      <c r="E466" s="91" t="s">
        <v>388</v>
      </c>
      <c r="F466" s="91">
        <v>311</v>
      </c>
      <c r="G466" s="94">
        <f t="shared" si="68"/>
        <v>0.311</v>
      </c>
      <c r="H466" s="92" t="s">
        <v>45</v>
      </c>
      <c r="I466" s="96">
        <f t="shared" si="63"/>
        <v>0.3</v>
      </c>
      <c r="J466" s="96">
        <f t="shared" si="64"/>
        <v>0.7</v>
      </c>
      <c r="K466" s="92">
        <f>VLOOKUP(H466,'Taux émission CO2e'!$A$5:$D$16,4,FALSE)</f>
        <v>0.16</v>
      </c>
      <c r="L466" s="93">
        <f t="shared" si="69"/>
        <v>4.1902597439999996</v>
      </c>
      <c r="M466" s="92">
        <f>VLOOKUP(H466,'Taux émission CO2e'!$A$20:$D$31,4,FALSE)</f>
        <v>6.7400000000000002E-2</v>
      </c>
      <c r="N466" s="105">
        <f t="shared" si="70"/>
        <v>4.1186761400399998</v>
      </c>
      <c r="O466" s="93">
        <f t="shared" si="71"/>
        <v>8.3089358840400003</v>
      </c>
      <c r="P466" s="92">
        <v>132</v>
      </c>
      <c r="Q466" s="92" t="s">
        <v>58</v>
      </c>
      <c r="R466" s="92" t="s">
        <v>80</v>
      </c>
      <c r="S466" s="20">
        <v>280.69799999999998</v>
      </c>
    </row>
    <row r="467" spans="1:19" x14ac:dyDescent="0.15">
      <c r="A467" s="90">
        <v>44572</v>
      </c>
      <c r="B467" s="90" t="str">
        <f t="shared" si="65"/>
        <v>janvier</v>
      </c>
      <c r="C467" s="90" t="str">
        <f t="shared" si="66"/>
        <v>2022</v>
      </c>
      <c r="D467" s="90" t="str">
        <f t="shared" si="67"/>
        <v>janvier2022</v>
      </c>
      <c r="E467" s="91" t="s">
        <v>389</v>
      </c>
      <c r="F467" s="91">
        <v>57</v>
      </c>
      <c r="G467" s="94">
        <f t="shared" si="68"/>
        <v>5.7000000000000002E-2</v>
      </c>
      <c r="H467" s="92" t="s">
        <v>45</v>
      </c>
      <c r="I467" s="96">
        <f t="shared" si="63"/>
        <v>0.3</v>
      </c>
      <c r="J467" s="96">
        <f t="shared" si="64"/>
        <v>0.7</v>
      </c>
      <c r="K467" s="92">
        <f>VLOOKUP(H467,'Taux émission CO2e'!$A$5:$D$16,4,FALSE)</f>
        <v>0.16</v>
      </c>
      <c r="L467" s="93">
        <f t="shared" si="69"/>
        <v>1.4112233280000002</v>
      </c>
      <c r="M467" s="92">
        <f>VLOOKUP(H467,'Taux émission CO2e'!$A$20:$D$31,4,FALSE)</f>
        <v>6.7400000000000002E-2</v>
      </c>
      <c r="N467" s="105">
        <f t="shared" si="70"/>
        <v>1.38711492948</v>
      </c>
      <c r="O467" s="93">
        <f t="shared" si="71"/>
        <v>2.7983382574800002</v>
      </c>
      <c r="P467" s="92">
        <v>140</v>
      </c>
      <c r="Q467" s="92" t="s">
        <v>58</v>
      </c>
      <c r="R467" s="92" t="s">
        <v>57</v>
      </c>
      <c r="S467" s="20">
        <v>515.798</v>
      </c>
    </row>
    <row r="468" spans="1:19" x14ac:dyDescent="0.15">
      <c r="A468" s="90">
        <v>44574</v>
      </c>
      <c r="B468" s="90" t="str">
        <f t="shared" si="65"/>
        <v>janvier</v>
      </c>
      <c r="C468" s="90" t="str">
        <f t="shared" si="66"/>
        <v>2022</v>
      </c>
      <c r="D468" s="90" t="str">
        <f t="shared" si="67"/>
        <v>janvier2022</v>
      </c>
      <c r="E468" s="91" t="s">
        <v>390</v>
      </c>
      <c r="F468" s="91">
        <v>300</v>
      </c>
      <c r="G468" s="94">
        <f t="shared" si="68"/>
        <v>0.3</v>
      </c>
      <c r="H468" s="92" t="s">
        <v>45</v>
      </c>
      <c r="I468" s="96">
        <f t="shared" si="63"/>
        <v>0.3</v>
      </c>
      <c r="J468" s="96">
        <f t="shared" si="64"/>
        <v>0.7</v>
      </c>
      <c r="K468" s="92">
        <f>VLOOKUP(H468,'Taux émission CO2e'!$A$5:$D$16,4,FALSE)</f>
        <v>0.16</v>
      </c>
      <c r="L468" s="93">
        <f t="shared" si="69"/>
        <v>3.5493840000000003</v>
      </c>
      <c r="M468" s="92">
        <f>VLOOKUP(H468,'Taux émission CO2e'!$A$20:$D$31,4,FALSE)</f>
        <v>6.7400000000000002E-2</v>
      </c>
      <c r="N468" s="105">
        <f t="shared" si="70"/>
        <v>3.48874869</v>
      </c>
      <c r="O468" s="93">
        <f t="shared" si="71"/>
        <v>7.0381326900000003</v>
      </c>
      <c r="P468" s="92">
        <v>100</v>
      </c>
      <c r="Q468" s="92" t="s">
        <v>58</v>
      </c>
      <c r="R468" s="92" t="s">
        <v>127</v>
      </c>
      <c r="S468" s="20">
        <v>246.48500000000001</v>
      </c>
    </row>
    <row r="469" spans="1:19" x14ac:dyDescent="0.15">
      <c r="A469" s="90">
        <v>44575</v>
      </c>
      <c r="B469" s="90" t="str">
        <f t="shared" si="65"/>
        <v>janvier</v>
      </c>
      <c r="C469" s="90" t="str">
        <f t="shared" si="66"/>
        <v>2022</v>
      </c>
      <c r="D469" s="90" t="str">
        <f t="shared" si="67"/>
        <v>janvier2022</v>
      </c>
      <c r="E469" s="91" t="s">
        <v>391</v>
      </c>
      <c r="F469" s="91">
        <v>200</v>
      </c>
      <c r="G469" s="94">
        <f t="shared" si="68"/>
        <v>0.2</v>
      </c>
      <c r="H469" s="92" t="s">
        <v>45</v>
      </c>
      <c r="I469" s="96">
        <f t="shared" si="63"/>
        <v>0.3</v>
      </c>
      <c r="J469" s="96">
        <f t="shared" si="64"/>
        <v>0.7</v>
      </c>
      <c r="K469" s="92">
        <f>VLOOKUP(H469,'Taux émission CO2e'!$A$5:$D$16,4,FALSE)</f>
        <v>0.16</v>
      </c>
      <c r="L469" s="93">
        <f t="shared" si="69"/>
        <v>1.9824672000000003</v>
      </c>
      <c r="M469" s="92">
        <f>VLOOKUP(H469,'Taux émission CO2e'!$A$20:$D$31,4,FALSE)</f>
        <v>6.7400000000000002E-2</v>
      </c>
      <c r="N469" s="105">
        <f t="shared" si="70"/>
        <v>1.948600052</v>
      </c>
      <c r="O469" s="93">
        <f t="shared" si="71"/>
        <v>3.9310672520000001</v>
      </c>
      <c r="P469" s="92">
        <v>118</v>
      </c>
      <c r="Q469" s="92" t="s">
        <v>113</v>
      </c>
      <c r="R469" s="92" t="s">
        <v>53</v>
      </c>
      <c r="S469" s="20">
        <v>206.50700000000001</v>
      </c>
    </row>
    <row r="470" spans="1:19" x14ac:dyDescent="0.15">
      <c r="A470" s="90">
        <v>44578</v>
      </c>
      <c r="B470" s="90" t="str">
        <f t="shared" si="65"/>
        <v>janvier</v>
      </c>
      <c r="C470" s="90" t="str">
        <f t="shared" si="66"/>
        <v>2022</v>
      </c>
      <c r="D470" s="90" t="str">
        <f t="shared" si="67"/>
        <v>janvier2022</v>
      </c>
      <c r="E470" s="91" t="s">
        <v>392</v>
      </c>
      <c r="F470" s="91">
        <v>225</v>
      </c>
      <c r="G470" s="94">
        <f t="shared" si="68"/>
        <v>0.22500000000000001</v>
      </c>
      <c r="H470" s="92" t="s">
        <v>45</v>
      </c>
      <c r="I470" s="96">
        <f t="shared" si="63"/>
        <v>0.3</v>
      </c>
      <c r="J470" s="96">
        <f t="shared" si="64"/>
        <v>0.7</v>
      </c>
      <c r="K470" s="92">
        <f>VLOOKUP(H470,'Taux émission CO2e'!$A$5:$D$16,4,FALSE)</f>
        <v>0.16</v>
      </c>
      <c r="L470" s="93">
        <f t="shared" si="69"/>
        <v>5.6226095999999997</v>
      </c>
      <c r="M470" s="92">
        <f>VLOOKUP(H470,'Taux émission CO2e'!$A$20:$D$31,4,FALSE)</f>
        <v>6.7400000000000002E-2</v>
      </c>
      <c r="N470" s="105">
        <f t="shared" si="70"/>
        <v>5.5265566859999993</v>
      </c>
      <c r="O470" s="93">
        <f t="shared" si="71"/>
        <v>11.149166286</v>
      </c>
      <c r="P470" s="92">
        <v>110</v>
      </c>
      <c r="Q470" s="92" t="s">
        <v>74</v>
      </c>
      <c r="R470" s="92" t="s">
        <v>53</v>
      </c>
      <c r="S470" s="20">
        <v>520.61199999999997</v>
      </c>
    </row>
    <row r="471" spans="1:19" x14ac:dyDescent="0.15">
      <c r="A471" s="90">
        <v>44578</v>
      </c>
      <c r="B471" s="90" t="str">
        <f t="shared" si="65"/>
        <v>janvier</v>
      </c>
      <c r="C471" s="90" t="str">
        <f t="shared" si="66"/>
        <v>2022</v>
      </c>
      <c r="D471" s="90" t="str">
        <f t="shared" si="67"/>
        <v>janvier2022</v>
      </c>
      <c r="E471" s="91" t="s">
        <v>393</v>
      </c>
      <c r="F471" s="91">
        <v>500</v>
      </c>
      <c r="G471" s="94">
        <f t="shared" si="68"/>
        <v>0.5</v>
      </c>
      <c r="H471" s="92" t="s">
        <v>46</v>
      </c>
      <c r="I471" s="96">
        <f t="shared" si="63"/>
        <v>0.3</v>
      </c>
      <c r="J471" s="96">
        <f t="shared" si="64"/>
        <v>0.7</v>
      </c>
      <c r="K471" s="92">
        <f>VLOOKUP(H471,'Taux émission CO2e'!$A$5:$D$16,4,FALSE)</f>
        <v>0.16</v>
      </c>
      <c r="L471" s="93">
        <f t="shared" si="69"/>
        <v>6.1930320000000005</v>
      </c>
      <c r="M471" s="92">
        <f>VLOOKUP(H471,'Taux émission CO2e'!$A$20:$D$31,4,FALSE)</f>
        <v>6.7400000000000002E-2</v>
      </c>
      <c r="N471" s="105">
        <f t="shared" si="70"/>
        <v>6.08723437</v>
      </c>
      <c r="O471" s="93">
        <f t="shared" si="71"/>
        <v>12.28026637</v>
      </c>
      <c r="P471" s="92">
        <v>158</v>
      </c>
      <c r="Q471" s="92" t="s">
        <v>102</v>
      </c>
      <c r="R471" s="92" t="s">
        <v>55</v>
      </c>
      <c r="S471" s="20">
        <v>258.04300000000001</v>
      </c>
    </row>
    <row r="472" spans="1:19" x14ac:dyDescent="0.15">
      <c r="A472" s="90">
        <v>44578</v>
      </c>
      <c r="B472" s="90" t="str">
        <f t="shared" si="65"/>
        <v>janvier</v>
      </c>
      <c r="C472" s="90" t="str">
        <f t="shared" si="66"/>
        <v>2022</v>
      </c>
      <c r="D472" s="90" t="str">
        <f t="shared" si="67"/>
        <v>janvier2022</v>
      </c>
      <c r="E472" s="91" t="s">
        <v>394</v>
      </c>
      <c r="F472" s="91">
        <v>300</v>
      </c>
      <c r="G472" s="94">
        <f t="shared" si="68"/>
        <v>0.3</v>
      </c>
      <c r="H472" s="92" t="s">
        <v>45</v>
      </c>
      <c r="I472" s="96">
        <f t="shared" si="63"/>
        <v>0.3</v>
      </c>
      <c r="J472" s="96">
        <f t="shared" si="64"/>
        <v>0.7</v>
      </c>
      <c r="K472" s="92">
        <f>VLOOKUP(H472,'Taux émission CO2e'!$A$5:$D$16,4,FALSE)</f>
        <v>0.16</v>
      </c>
      <c r="L472" s="93">
        <f t="shared" si="69"/>
        <v>7.4372256000000005</v>
      </c>
      <c r="M472" s="92">
        <f>VLOOKUP(H472,'Taux émission CO2e'!$A$20:$D$31,4,FALSE)</f>
        <v>6.7400000000000002E-2</v>
      </c>
      <c r="N472" s="105">
        <f t="shared" si="70"/>
        <v>7.3101729960000004</v>
      </c>
      <c r="O472" s="93">
        <f t="shared" si="71"/>
        <v>14.747398596</v>
      </c>
      <c r="P472" s="92">
        <v>228</v>
      </c>
      <c r="Q472" s="92" t="s">
        <v>52</v>
      </c>
      <c r="R472" s="92" t="s">
        <v>55</v>
      </c>
      <c r="S472" s="20">
        <v>516.47400000000005</v>
      </c>
    </row>
    <row r="473" spans="1:19" x14ac:dyDescent="0.15">
      <c r="A473" s="90">
        <v>44579</v>
      </c>
      <c r="B473" s="90" t="str">
        <f t="shared" si="65"/>
        <v>janvier</v>
      </c>
      <c r="C473" s="90" t="str">
        <f t="shared" si="66"/>
        <v>2022</v>
      </c>
      <c r="D473" s="90" t="str">
        <f t="shared" si="67"/>
        <v>janvier2022</v>
      </c>
      <c r="E473" s="91" t="s">
        <v>395</v>
      </c>
      <c r="F473" s="91">
        <v>600</v>
      </c>
      <c r="G473" s="94">
        <f t="shared" si="68"/>
        <v>0.6</v>
      </c>
      <c r="H473" s="92" t="s">
        <v>45</v>
      </c>
      <c r="I473" s="96">
        <f t="shared" si="63"/>
        <v>0.3</v>
      </c>
      <c r="J473" s="96">
        <f t="shared" si="64"/>
        <v>0.7</v>
      </c>
      <c r="K473" s="92">
        <f>VLOOKUP(H473,'Taux émission CO2e'!$A$5:$D$16,4,FALSE)</f>
        <v>0.16</v>
      </c>
      <c r="L473" s="93">
        <f t="shared" si="69"/>
        <v>21.6602496</v>
      </c>
      <c r="M473" s="92">
        <f>VLOOKUP(H473,'Taux émission CO2e'!$A$20:$D$31,4,FALSE)</f>
        <v>6.7400000000000002E-2</v>
      </c>
      <c r="N473" s="105">
        <f t="shared" si="70"/>
        <v>21.290220336000001</v>
      </c>
      <c r="O473" s="93">
        <f t="shared" si="71"/>
        <v>42.950469936000005</v>
      </c>
      <c r="P473" s="92">
        <v>358</v>
      </c>
      <c r="Q473" s="92" t="s">
        <v>73</v>
      </c>
      <c r="R473" s="92" t="s">
        <v>55</v>
      </c>
      <c r="S473" s="20">
        <v>752.09199999999998</v>
      </c>
    </row>
    <row r="474" spans="1:19" x14ac:dyDescent="0.15">
      <c r="A474" s="90">
        <v>44580</v>
      </c>
      <c r="B474" s="90" t="str">
        <f t="shared" si="65"/>
        <v>janvier</v>
      </c>
      <c r="C474" s="90" t="str">
        <f t="shared" si="66"/>
        <v>2022</v>
      </c>
      <c r="D474" s="90" t="str">
        <f t="shared" si="67"/>
        <v>janvier2022</v>
      </c>
      <c r="E474" s="91" t="s">
        <v>396</v>
      </c>
      <c r="F474" s="91">
        <v>189</v>
      </c>
      <c r="G474" s="94">
        <f t="shared" si="68"/>
        <v>0.189</v>
      </c>
      <c r="H474" s="92" t="s">
        <v>45</v>
      </c>
      <c r="I474" s="96">
        <f t="shared" si="63"/>
        <v>0.3</v>
      </c>
      <c r="J474" s="96">
        <f t="shared" si="64"/>
        <v>0.7</v>
      </c>
      <c r="K474" s="92">
        <f>VLOOKUP(H474,'Taux émission CO2e'!$A$5:$D$16,4,FALSE)</f>
        <v>0.16</v>
      </c>
      <c r="L474" s="93">
        <f t="shared" si="69"/>
        <v>2.5464922560000001</v>
      </c>
      <c r="M474" s="92">
        <f>VLOOKUP(H474,'Taux émission CO2e'!$A$20:$D$31,4,FALSE)</f>
        <v>6.7400000000000002E-2</v>
      </c>
      <c r="N474" s="105">
        <f t="shared" si="70"/>
        <v>2.5029896799599998</v>
      </c>
      <c r="O474" s="93">
        <f t="shared" si="71"/>
        <v>5.0494819359599994</v>
      </c>
      <c r="P474" s="92">
        <v>100</v>
      </c>
      <c r="Q474" s="92" t="s">
        <v>58</v>
      </c>
      <c r="R474" s="92" t="s">
        <v>80</v>
      </c>
      <c r="S474" s="20">
        <v>280.69799999999998</v>
      </c>
    </row>
    <row r="475" spans="1:19" x14ac:dyDescent="0.15">
      <c r="A475" s="90">
        <v>44581</v>
      </c>
      <c r="B475" s="90" t="str">
        <f t="shared" si="65"/>
        <v>janvier</v>
      </c>
      <c r="C475" s="90" t="str">
        <f t="shared" si="66"/>
        <v>2022</v>
      </c>
      <c r="D475" s="90" t="str">
        <f t="shared" si="67"/>
        <v>janvier2022</v>
      </c>
      <c r="E475" s="91" t="s">
        <v>397</v>
      </c>
      <c r="F475" s="91">
        <v>100</v>
      </c>
      <c r="G475" s="94">
        <f t="shared" si="68"/>
        <v>0.1</v>
      </c>
      <c r="H475" s="92" t="s">
        <v>45</v>
      </c>
      <c r="I475" s="96">
        <f t="shared" si="63"/>
        <v>0.3</v>
      </c>
      <c r="J475" s="96">
        <f t="shared" si="64"/>
        <v>0.7</v>
      </c>
      <c r="K475" s="92">
        <f>VLOOKUP(H475,'Taux émission CO2e'!$A$5:$D$16,4,FALSE)</f>
        <v>0.16</v>
      </c>
      <c r="L475" s="93">
        <f t="shared" si="69"/>
        <v>1.2775968000000002</v>
      </c>
      <c r="M475" s="92">
        <f>VLOOKUP(H475,'Taux émission CO2e'!$A$20:$D$31,4,FALSE)</f>
        <v>6.7400000000000002E-2</v>
      </c>
      <c r="N475" s="105">
        <f t="shared" si="70"/>
        <v>1.255771188</v>
      </c>
      <c r="O475" s="93">
        <f t="shared" si="71"/>
        <v>2.5333679880000002</v>
      </c>
      <c r="P475" s="92">
        <v>100</v>
      </c>
      <c r="Q475" s="92" t="s">
        <v>58</v>
      </c>
      <c r="R475" s="92" t="s">
        <v>53</v>
      </c>
      <c r="S475" s="20">
        <v>266.166</v>
      </c>
    </row>
    <row r="476" spans="1:19" x14ac:dyDescent="0.15">
      <c r="A476" s="90">
        <v>44581</v>
      </c>
      <c r="B476" s="90" t="str">
        <f t="shared" si="65"/>
        <v>janvier</v>
      </c>
      <c r="C476" s="90" t="str">
        <f t="shared" si="66"/>
        <v>2022</v>
      </c>
      <c r="D476" s="90" t="str">
        <f t="shared" si="67"/>
        <v>janvier2022</v>
      </c>
      <c r="E476" s="91" t="s">
        <v>398</v>
      </c>
      <c r="F476" s="91">
        <v>300</v>
      </c>
      <c r="G476" s="94">
        <f t="shared" si="68"/>
        <v>0.3</v>
      </c>
      <c r="H476" s="92" t="s">
        <v>45</v>
      </c>
      <c r="I476" s="96">
        <f t="shared" si="63"/>
        <v>0.3</v>
      </c>
      <c r="J476" s="96">
        <f t="shared" si="64"/>
        <v>0.7</v>
      </c>
      <c r="K476" s="92">
        <f>VLOOKUP(H476,'Taux émission CO2e'!$A$5:$D$16,4,FALSE)</f>
        <v>0.16</v>
      </c>
      <c r="L476" s="93">
        <f t="shared" si="69"/>
        <v>4.0052879999999993</v>
      </c>
      <c r="M476" s="92">
        <f>VLOOKUP(H476,'Taux émission CO2e'!$A$20:$D$31,4,FALSE)</f>
        <v>6.7400000000000002E-2</v>
      </c>
      <c r="N476" s="105">
        <f t="shared" si="70"/>
        <v>3.9368643299999997</v>
      </c>
      <c r="O476" s="93">
        <f t="shared" si="71"/>
        <v>7.942152329999999</v>
      </c>
      <c r="P476" s="92">
        <v>166</v>
      </c>
      <c r="Q476" s="92" t="s">
        <v>74</v>
      </c>
      <c r="R476" s="92" t="s">
        <v>55</v>
      </c>
      <c r="S476" s="20">
        <v>278.14499999999998</v>
      </c>
    </row>
    <row r="477" spans="1:19" x14ac:dyDescent="0.15">
      <c r="A477" s="90">
        <v>44581</v>
      </c>
      <c r="B477" s="90" t="str">
        <f t="shared" si="65"/>
        <v>janvier</v>
      </c>
      <c r="C477" s="90" t="str">
        <f t="shared" si="66"/>
        <v>2022</v>
      </c>
      <c r="D477" s="90" t="str">
        <f t="shared" si="67"/>
        <v>janvier2022</v>
      </c>
      <c r="E477" s="91" t="s">
        <v>399</v>
      </c>
      <c r="F477" s="91">
        <v>450</v>
      </c>
      <c r="G477" s="94">
        <f t="shared" si="68"/>
        <v>0.45</v>
      </c>
      <c r="H477" s="92" t="s">
        <v>45</v>
      </c>
      <c r="I477" s="96">
        <f t="shared" si="63"/>
        <v>0.3</v>
      </c>
      <c r="J477" s="96">
        <f t="shared" si="64"/>
        <v>0.7</v>
      </c>
      <c r="K477" s="92">
        <f>VLOOKUP(H477,'Taux émission CO2e'!$A$5:$D$16,4,FALSE)</f>
        <v>0.16</v>
      </c>
      <c r="L477" s="93">
        <f t="shared" si="69"/>
        <v>5.3468856000000002</v>
      </c>
      <c r="M477" s="92">
        <f>VLOOKUP(H477,'Taux émission CO2e'!$A$20:$D$31,4,FALSE)</f>
        <v>6.7400000000000002E-2</v>
      </c>
      <c r="N477" s="105">
        <f t="shared" si="70"/>
        <v>5.2555429709999997</v>
      </c>
      <c r="O477" s="93">
        <f t="shared" si="71"/>
        <v>10.602428571000001</v>
      </c>
      <c r="P477" s="92">
        <v>250</v>
      </c>
      <c r="Q477" s="92" t="s">
        <v>109</v>
      </c>
      <c r="R477" s="92" t="s">
        <v>55</v>
      </c>
      <c r="S477" s="20">
        <v>247.541</v>
      </c>
    </row>
    <row r="478" spans="1:19" x14ac:dyDescent="0.15">
      <c r="A478" s="90">
        <v>44582</v>
      </c>
      <c r="B478" s="90" t="str">
        <f t="shared" si="65"/>
        <v>janvier</v>
      </c>
      <c r="C478" s="90" t="str">
        <f t="shared" si="66"/>
        <v>2022</v>
      </c>
      <c r="D478" s="90" t="str">
        <f t="shared" si="67"/>
        <v>janvier2022</v>
      </c>
      <c r="E478" s="91" t="s">
        <v>400</v>
      </c>
      <c r="F478" s="91">
        <v>150</v>
      </c>
      <c r="G478" s="94">
        <f t="shared" si="68"/>
        <v>0.15</v>
      </c>
      <c r="H478" s="92" t="s">
        <v>45</v>
      </c>
      <c r="I478" s="96">
        <f t="shared" si="63"/>
        <v>0.3</v>
      </c>
      <c r="J478" s="96">
        <f t="shared" si="64"/>
        <v>0.7</v>
      </c>
      <c r="K478" s="92">
        <f>VLOOKUP(H478,'Taux émission CO2e'!$A$5:$D$16,4,FALSE)</f>
        <v>0.16</v>
      </c>
      <c r="L478" s="93">
        <f t="shared" si="69"/>
        <v>3.7186128000000003</v>
      </c>
      <c r="M478" s="92">
        <f>VLOOKUP(H478,'Taux émission CO2e'!$A$20:$D$31,4,FALSE)</f>
        <v>6.7400000000000002E-2</v>
      </c>
      <c r="N478" s="105">
        <f t="shared" si="70"/>
        <v>3.6550864980000002</v>
      </c>
      <c r="O478" s="93">
        <f t="shared" si="71"/>
        <v>7.373699298</v>
      </c>
      <c r="P478" s="92">
        <v>165</v>
      </c>
      <c r="Q478" s="92" t="s">
        <v>52</v>
      </c>
      <c r="R478" s="92" t="s">
        <v>55</v>
      </c>
      <c r="S478" s="20">
        <v>516.47400000000005</v>
      </c>
    </row>
    <row r="479" spans="1:19" x14ac:dyDescent="0.15">
      <c r="A479" s="90">
        <v>44585</v>
      </c>
      <c r="B479" s="90" t="str">
        <f t="shared" si="65"/>
        <v>janvier</v>
      </c>
      <c r="C479" s="90" t="str">
        <f t="shared" si="66"/>
        <v>2022</v>
      </c>
      <c r="D479" s="90" t="str">
        <f t="shared" si="67"/>
        <v>janvier2022</v>
      </c>
      <c r="E479" s="91" t="s">
        <v>401</v>
      </c>
      <c r="F479" s="91">
        <v>900</v>
      </c>
      <c r="G479" s="94">
        <f t="shared" si="68"/>
        <v>0.9</v>
      </c>
      <c r="H479" s="92" t="s">
        <v>41</v>
      </c>
      <c r="I479" s="96">
        <f t="shared" si="63"/>
        <v>1</v>
      </c>
      <c r="J479" s="96">
        <f t="shared" si="64"/>
        <v>0</v>
      </c>
      <c r="K479" s="92">
        <f>VLOOKUP(H479,'Taux émission CO2e'!$A$5:$D$16,4,FALSE)</f>
        <v>0.16</v>
      </c>
      <c r="L479" s="93">
        <f t="shared" si="69"/>
        <v>7.8855840000000015</v>
      </c>
      <c r="M479" s="92">
        <f>VLOOKUP(H479,'Taux émission CO2e'!$A$20:$D$31,4,FALSE)</f>
        <v>0</v>
      </c>
      <c r="N479" s="105">
        <f t="shared" si="70"/>
        <v>0</v>
      </c>
      <c r="O479" s="93">
        <f t="shared" si="71"/>
        <v>7.8855840000000015</v>
      </c>
      <c r="P479" s="92">
        <v>160</v>
      </c>
      <c r="Q479" s="92" t="s">
        <v>56</v>
      </c>
      <c r="R479" s="92" t="s">
        <v>55</v>
      </c>
      <c r="S479" s="20">
        <v>54.761000000000003</v>
      </c>
    </row>
    <row r="480" spans="1:19" x14ac:dyDescent="0.15">
      <c r="A480" s="90">
        <v>44586</v>
      </c>
      <c r="B480" s="90" t="str">
        <f t="shared" si="65"/>
        <v>janvier</v>
      </c>
      <c r="C480" s="90" t="str">
        <f t="shared" si="66"/>
        <v>2022</v>
      </c>
      <c r="D480" s="90" t="str">
        <f t="shared" si="67"/>
        <v>janvier2022</v>
      </c>
      <c r="E480" s="91" t="s">
        <v>402</v>
      </c>
      <c r="F480" s="91">
        <v>600</v>
      </c>
      <c r="G480" s="94">
        <f t="shared" si="68"/>
        <v>0.6</v>
      </c>
      <c r="H480" s="92" t="s">
        <v>41</v>
      </c>
      <c r="I480" s="96">
        <f t="shared" si="63"/>
        <v>1</v>
      </c>
      <c r="J480" s="96">
        <f t="shared" si="64"/>
        <v>0</v>
      </c>
      <c r="K480" s="92">
        <f>VLOOKUP(H480,'Taux émission CO2e'!$A$5:$D$16,4,FALSE)</f>
        <v>0.16</v>
      </c>
      <c r="L480" s="93">
        <f t="shared" si="69"/>
        <v>5.2570560000000004</v>
      </c>
      <c r="M480" s="92">
        <f>VLOOKUP(H480,'Taux émission CO2e'!$A$20:$D$31,4,FALSE)</f>
        <v>0</v>
      </c>
      <c r="N480" s="105">
        <f t="shared" si="70"/>
        <v>0</v>
      </c>
      <c r="O480" s="93">
        <f t="shared" si="71"/>
        <v>5.2570560000000004</v>
      </c>
      <c r="P480" s="92">
        <v>100</v>
      </c>
      <c r="Q480" s="92" t="s">
        <v>56</v>
      </c>
      <c r="R480" s="92" t="s">
        <v>55</v>
      </c>
      <c r="S480" s="20">
        <v>54.761000000000003</v>
      </c>
    </row>
    <row r="481" spans="1:19" x14ac:dyDescent="0.15">
      <c r="A481" s="90">
        <v>44586</v>
      </c>
      <c r="B481" s="90" t="str">
        <f t="shared" si="65"/>
        <v>janvier</v>
      </c>
      <c r="C481" s="90" t="str">
        <f t="shared" si="66"/>
        <v>2022</v>
      </c>
      <c r="D481" s="90" t="str">
        <f t="shared" si="67"/>
        <v>janvier2022</v>
      </c>
      <c r="E481" s="91" t="s">
        <v>403</v>
      </c>
      <c r="F481" s="91">
        <v>147</v>
      </c>
      <c r="G481" s="94">
        <f t="shared" si="68"/>
        <v>0.14699999999999999</v>
      </c>
      <c r="H481" s="92" t="s">
        <v>45</v>
      </c>
      <c r="I481" s="96">
        <f t="shared" si="63"/>
        <v>0.3</v>
      </c>
      <c r="J481" s="96">
        <f t="shared" si="64"/>
        <v>0.7</v>
      </c>
      <c r="K481" s="92">
        <f>VLOOKUP(H481,'Taux émission CO2e'!$A$5:$D$16,4,FALSE)</f>
        <v>0.16</v>
      </c>
      <c r="L481" s="93">
        <f t="shared" si="69"/>
        <v>2.68449048</v>
      </c>
      <c r="M481" s="92">
        <f>VLOOKUP(H481,'Taux émission CO2e'!$A$20:$D$31,4,FALSE)</f>
        <v>6.7400000000000002E-2</v>
      </c>
      <c r="N481" s="105">
        <f t="shared" si="70"/>
        <v>2.6386304342999995</v>
      </c>
      <c r="O481" s="93">
        <f t="shared" si="71"/>
        <v>5.3231209142999996</v>
      </c>
      <c r="P481" s="92">
        <v>131</v>
      </c>
      <c r="Q481" s="92" t="s">
        <v>58</v>
      </c>
      <c r="R481" s="92" t="s">
        <v>83</v>
      </c>
      <c r="S481" s="20">
        <v>380.45499999999998</v>
      </c>
    </row>
    <row r="482" spans="1:19" x14ac:dyDescent="0.15">
      <c r="A482" s="90">
        <v>44586</v>
      </c>
      <c r="B482" s="90" t="str">
        <f t="shared" si="65"/>
        <v>janvier</v>
      </c>
      <c r="C482" s="90" t="str">
        <f t="shared" si="66"/>
        <v>2022</v>
      </c>
      <c r="D482" s="90" t="str">
        <f t="shared" si="67"/>
        <v>janvier2022</v>
      </c>
      <c r="E482" s="91" t="s">
        <v>404</v>
      </c>
      <c r="F482" s="91">
        <v>129</v>
      </c>
      <c r="G482" s="94">
        <f t="shared" si="68"/>
        <v>0.129</v>
      </c>
      <c r="H482" s="92" t="s">
        <v>45</v>
      </c>
      <c r="I482" s="96">
        <f t="shared" si="63"/>
        <v>0.3</v>
      </c>
      <c r="J482" s="96">
        <f t="shared" si="64"/>
        <v>0.7</v>
      </c>
      <c r="K482" s="92">
        <f>VLOOKUP(H482,'Taux émission CO2e'!$A$5:$D$16,4,FALSE)</f>
        <v>0.16</v>
      </c>
      <c r="L482" s="93">
        <f t="shared" si="69"/>
        <v>3.3375746880000001</v>
      </c>
      <c r="M482" s="92">
        <f>VLOOKUP(H482,'Taux émission CO2e'!$A$20:$D$31,4,FALSE)</f>
        <v>6.7400000000000002E-2</v>
      </c>
      <c r="N482" s="105">
        <f t="shared" si="70"/>
        <v>3.2805577870799998</v>
      </c>
      <c r="O482" s="93">
        <f t="shared" si="71"/>
        <v>6.6181324750799995</v>
      </c>
      <c r="P482" s="92">
        <v>190</v>
      </c>
      <c r="Q482" s="92" t="s">
        <v>58</v>
      </c>
      <c r="R482" s="92" t="s">
        <v>405</v>
      </c>
      <c r="S482" s="20">
        <v>539.01400000000001</v>
      </c>
    </row>
    <row r="483" spans="1:19" x14ac:dyDescent="0.15">
      <c r="A483" s="90">
        <v>44587</v>
      </c>
      <c r="B483" s="90" t="str">
        <f t="shared" si="65"/>
        <v>janvier</v>
      </c>
      <c r="C483" s="90" t="str">
        <f t="shared" si="66"/>
        <v>2022</v>
      </c>
      <c r="D483" s="90" t="str">
        <f t="shared" si="67"/>
        <v>janvier2022</v>
      </c>
      <c r="E483" s="91" t="s">
        <v>406</v>
      </c>
      <c r="F483" s="91">
        <v>80</v>
      </c>
      <c r="G483" s="94">
        <f t="shared" si="68"/>
        <v>0.08</v>
      </c>
      <c r="H483" s="92" t="s">
        <v>45</v>
      </c>
      <c r="I483" s="96">
        <f t="shared" si="63"/>
        <v>0.3</v>
      </c>
      <c r="J483" s="96">
        <f t="shared" si="64"/>
        <v>0.7</v>
      </c>
      <c r="K483" s="92">
        <f>VLOOKUP(H483,'Taux émission CO2e'!$A$5:$D$16,4,FALSE)</f>
        <v>0.16</v>
      </c>
      <c r="L483" s="93">
        <f t="shared" si="69"/>
        <v>0.98653824000000001</v>
      </c>
      <c r="M483" s="92">
        <f>VLOOKUP(H483,'Taux émission CO2e'!$A$20:$D$31,4,FALSE)</f>
        <v>6.7400000000000002E-2</v>
      </c>
      <c r="N483" s="105">
        <f t="shared" si="70"/>
        <v>0.96968487840000006</v>
      </c>
      <c r="O483" s="93">
        <f t="shared" si="71"/>
        <v>1.9562231184000001</v>
      </c>
      <c r="P483" s="92">
        <v>110</v>
      </c>
      <c r="Q483" s="92" t="s">
        <v>58</v>
      </c>
      <c r="R483" s="92" t="s">
        <v>60</v>
      </c>
      <c r="S483" s="20">
        <v>256.911</v>
      </c>
    </row>
    <row r="484" spans="1:19" x14ac:dyDescent="0.15">
      <c r="A484" s="90">
        <v>44587</v>
      </c>
      <c r="B484" s="90" t="str">
        <f t="shared" si="65"/>
        <v>janvier</v>
      </c>
      <c r="C484" s="90" t="str">
        <f t="shared" si="66"/>
        <v>2022</v>
      </c>
      <c r="D484" s="90" t="str">
        <f t="shared" si="67"/>
        <v>janvier2022</v>
      </c>
      <c r="E484" s="91" t="s">
        <v>407</v>
      </c>
      <c r="F484" s="91">
        <v>200</v>
      </c>
      <c r="G484" s="94">
        <f t="shared" si="68"/>
        <v>0.2</v>
      </c>
      <c r="H484" s="92" t="s">
        <v>46</v>
      </c>
      <c r="I484" s="96">
        <f t="shared" si="63"/>
        <v>0.3</v>
      </c>
      <c r="J484" s="96">
        <f t="shared" si="64"/>
        <v>0.7</v>
      </c>
      <c r="K484" s="92">
        <f>VLOOKUP(H484,'Taux émission CO2e'!$A$5:$D$16,4,FALSE)</f>
        <v>0.16</v>
      </c>
      <c r="L484" s="93">
        <f t="shared" si="69"/>
        <v>2.4772128000000002</v>
      </c>
      <c r="M484" s="92">
        <f>VLOOKUP(H484,'Taux émission CO2e'!$A$20:$D$31,4,FALSE)</f>
        <v>6.7400000000000002E-2</v>
      </c>
      <c r="N484" s="105">
        <f t="shared" si="70"/>
        <v>2.4348937479999999</v>
      </c>
      <c r="O484" s="93">
        <f t="shared" si="71"/>
        <v>4.9121065480000006</v>
      </c>
      <c r="P484" s="92">
        <v>131</v>
      </c>
      <c r="Q484" s="92" t="s">
        <v>102</v>
      </c>
      <c r="R484" s="92" t="s">
        <v>55</v>
      </c>
      <c r="S484" s="20">
        <v>258.04300000000001</v>
      </c>
    </row>
    <row r="485" spans="1:19" x14ac:dyDescent="0.15">
      <c r="A485" s="90">
        <v>44588</v>
      </c>
      <c r="B485" s="90" t="str">
        <f t="shared" si="65"/>
        <v>janvier</v>
      </c>
      <c r="C485" s="90" t="str">
        <f t="shared" si="66"/>
        <v>2022</v>
      </c>
      <c r="D485" s="90" t="str">
        <f t="shared" si="67"/>
        <v>janvier2022</v>
      </c>
      <c r="E485" s="91" t="s">
        <v>408</v>
      </c>
      <c r="F485" s="91">
        <v>600</v>
      </c>
      <c r="G485" s="94">
        <f t="shared" si="68"/>
        <v>0.6</v>
      </c>
      <c r="H485" s="92" t="s">
        <v>45</v>
      </c>
      <c r="I485" s="96">
        <f t="shared" si="63"/>
        <v>0.3</v>
      </c>
      <c r="J485" s="96">
        <f t="shared" si="64"/>
        <v>0.7</v>
      </c>
      <c r="K485" s="92">
        <f>VLOOKUP(H485,'Taux émission CO2e'!$A$5:$D$16,4,FALSE)</f>
        <v>0.16</v>
      </c>
      <c r="L485" s="93">
        <f t="shared" si="69"/>
        <v>7.6709664000000002</v>
      </c>
      <c r="M485" s="92">
        <f>VLOOKUP(H485,'Taux émission CO2e'!$A$20:$D$31,4,FALSE)</f>
        <v>6.7400000000000002E-2</v>
      </c>
      <c r="N485" s="105">
        <f t="shared" si="70"/>
        <v>7.5399207239999999</v>
      </c>
      <c r="O485" s="93">
        <f t="shared" si="71"/>
        <v>15.210887123999999</v>
      </c>
      <c r="P485" s="92">
        <v>157</v>
      </c>
      <c r="Q485" s="92" t="s">
        <v>77</v>
      </c>
      <c r="R485" s="92" t="s">
        <v>55</v>
      </c>
      <c r="S485" s="20">
        <v>266.35300000000001</v>
      </c>
    </row>
    <row r="486" spans="1:19" x14ac:dyDescent="0.15">
      <c r="A486" s="90">
        <v>44588</v>
      </c>
      <c r="B486" s="90" t="str">
        <f t="shared" si="65"/>
        <v>janvier</v>
      </c>
      <c r="C486" s="90" t="str">
        <f t="shared" si="66"/>
        <v>2022</v>
      </c>
      <c r="D486" s="90" t="str">
        <f t="shared" si="67"/>
        <v>janvier2022</v>
      </c>
      <c r="E486" s="91" t="s">
        <v>409</v>
      </c>
      <c r="F486" s="91">
        <v>600</v>
      </c>
      <c r="G486" s="94">
        <f t="shared" si="68"/>
        <v>0.6</v>
      </c>
      <c r="H486" s="92" t="s">
        <v>45</v>
      </c>
      <c r="I486" s="96">
        <f t="shared" si="63"/>
        <v>0.3</v>
      </c>
      <c r="J486" s="96">
        <f t="shared" si="64"/>
        <v>0.7</v>
      </c>
      <c r="K486" s="92">
        <f>VLOOKUP(H486,'Taux émission CO2e'!$A$5:$D$16,4,FALSE)</f>
        <v>0.16</v>
      </c>
      <c r="L486" s="93">
        <f t="shared" si="69"/>
        <v>8.0207136000000006</v>
      </c>
      <c r="M486" s="92">
        <f>VLOOKUP(H486,'Taux émission CO2e'!$A$20:$D$31,4,FALSE)</f>
        <v>6.7400000000000002E-2</v>
      </c>
      <c r="N486" s="105">
        <f t="shared" si="70"/>
        <v>7.8836930760000001</v>
      </c>
      <c r="O486" s="93">
        <f t="shared" si="71"/>
        <v>15.904406676000001</v>
      </c>
      <c r="P486" s="92">
        <v>158</v>
      </c>
      <c r="Q486" s="92" t="s">
        <v>90</v>
      </c>
      <c r="R486" s="92" t="s">
        <v>55</v>
      </c>
      <c r="S486" s="20">
        <v>278.49700000000001</v>
      </c>
    </row>
    <row r="487" spans="1:19" x14ac:dyDescent="0.15">
      <c r="A487" s="90">
        <v>44588</v>
      </c>
      <c r="B487" s="90" t="str">
        <f t="shared" si="65"/>
        <v>janvier</v>
      </c>
      <c r="C487" s="90" t="str">
        <f t="shared" si="66"/>
        <v>2022</v>
      </c>
      <c r="D487" s="90" t="str">
        <f t="shared" si="67"/>
        <v>janvier2022</v>
      </c>
      <c r="E487" s="91" t="s">
        <v>410</v>
      </c>
      <c r="F487" s="91">
        <v>150</v>
      </c>
      <c r="G487" s="94">
        <f t="shared" si="68"/>
        <v>0.15</v>
      </c>
      <c r="H487" s="92" t="s">
        <v>46</v>
      </c>
      <c r="I487" s="96">
        <f t="shared" si="63"/>
        <v>0.3</v>
      </c>
      <c r="J487" s="96">
        <f t="shared" si="64"/>
        <v>0.7</v>
      </c>
      <c r="K487" s="92">
        <f>VLOOKUP(H487,'Taux émission CO2e'!$A$5:$D$16,4,FALSE)</f>
        <v>0.16</v>
      </c>
      <c r="L487" s="93">
        <f t="shared" si="69"/>
        <v>3.8989871999999997</v>
      </c>
      <c r="M487" s="92">
        <f>VLOOKUP(H487,'Taux émission CO2e'!$A$20:$D$31,4,FALSE)</f>
        <v>6.7400000000000002E-2</v>
      </c>
      <c r="N487" s="105">
        <f t="shared" si="70"/>
        <v>3.8323795019999998</v>
      </c>
      <c r="O487" s="93">
        <f t="shared" si="71"/>
        <v>7.731366701999999</v>
      </c>
      <c r="P487" s="92">
        <v>196</v>
      </c>
      <c r="Q487" s="92" t="s">
        <v>62</v>
      </c>
      <c r="R487" s="92" t="s">
        <v>55</v>
      </c>
      <c r="S487" s="20">
        <v>541.52599999999995</v>
      </c>
    </row>
    <row r="488" spans="1:19" x14ac:dyDescent="0.15">
      <c r="A488" s="90">
        <v>44589</v>
      </c>
      <c r="B488" s="90" t="str">
        <f t="shared" si="65"/>
        <v>janvier</v>
      </c>
      <c r="C488" s="90" t="str">
        <f t="shared" si="66"/>
        <v>2022</v>
      </c>
      <c r="D488" s="90" t="str">
        <f t="shared" si="67"/>
        <v>janvier2022</v>
      </c>
      <c r="E488" s="91" t="s">
        <v>411</v>
      </c>
      <c r="F488" s="91">
        <v>150</v>
      </c>
      <c r="G488" s="94">
        <f t="shared" si="68"/>
        <v>0.15</v>
      </c>
      <c r="H488" s="92" t="s">
        <v>45</v>
      </c>
      <c r="I488" s="96">
        <f t="shared" si="63"/>
        <v>0.3</v>
      </c>
      <c r="J488" s="96">
        <f t="shared" si="64"/>
        <v>0.7</v>
      </c>
      <c r="K488" s="92">
        <f>VLOOKUP(H488,'Taux émission CO2e'!$A$5:$D$16,4,FALSE)</f>
        <v>0.16</v>
      </c>
      <c r="L488" s="93">
        <f t="shared" si="69"/>
        <v>3.7186128000000003</v>
      </c>
      <c r="M488" s="92">
        <f>VLOOKUP(H488,'Taux émission CO2e'!$A$20:$D$31,4,FALSE)</f>
        <v>6.7400000000000002E-2</v>
      </c>
      <c r="N488" s="105">
        <f t="shared" si="70"/>
        <v>3.6550864980000002</v>
      </c>
      <c r="O488" s="93">
        <f t="shared" si="71"/>
        <v>7.373699298</v>
      </c>
      <c r="P488" s="92">
        <v>165</v>
      </c>
      <c r="Q488" s="92" t="s">
        <v>52</v>
      </c>
      <c r="R488" s="92" t="s">
        <v>55</v>
      </c>
      <c r="S488" s="20">
        <v>516.47400000000005</v>
      </c>
    </row>
    <row r="489" spans="1:19" x14ac:dyDescent="0.15">
      <c r="A489" s="90">
        <v>44593</v>
      </c>
      <c r="B489" s="90" t="str">
        <f t="shared" si="65"/>
        <v>février</v>
      </c>
      <c r="C489" s="90" t="str">
        <f t="shared" si="66"/>
        <v>2022</v>
      </c>
      <c r="D489" s="90" t="str">
        <f t="shared" si="67"/>
        <v>février2022</v>
      </c>
      <c r="E489" s="91" t="s">
        <v>412</v>
      </c>
      <c r="F489" s="91">
        <v>90</v>
      </c>
      <c r="G489" s="94">
        <f t="shared" si="68"/>
        <v>0.09</v>
      </c>
      <c r="H489" s="92" t="s">
        <v>45</v>
      </c>
      <c r="I489" s="96">
        <f t="shared" si="63"/>
        <v>0.3</v>
      </c>
      <c r="J489" s="96">
        <f t="shared" si="64"/>
        <v>0.7</v>
      </c>
      <c r="K489" s="92">
        <f>VLOOKUP(H489,'Taux émission CO2e'!$A$5:$D$16,4,FALSE)</f>
        <v>0.16</v>
      </c>
      <c r="L489" s="93">
        <f t="shared" si="69"/>
        <v>1.10985552</v>
      </c>
      <c r="M489" s="92">
        <f>VLOOKUP(H489,'Taux émission CO2e'!$A$20:$D$31,4,FALSE)</f>
        <v>6.7400000000000002E-2</v>
      </c>
      <c r="N489" s="105">
        <f t="shared" si="70"/>
        <v>1.0908954881999999</v>
      </c>
      <c r="O489" s="93">
        <f t="shared" si="71"/>
        <v>2.2007510082000001</v>
      </c>
      <c r="P489" s="92">
        <v>110</v>
      </c>
      <c r="Q489" s="92" t="s">
        <v>58</v>
      </c>
      <c r="R489" s="92" t="s">
        <v>60</v>
      </c>
      <c r="S489" s="20">
        <v>256.911</v>
      </c>
    </row>
    <row r="490" spans="1:19" x14ac:dyDescent="0.15">
      <c r="A490" s="90">
        <v>44595</v>
      </c>
      <c r="B490" s="90" t="str">
        <f t="shared" si="65"/>
        <v>février</v>
      </c>
      <c r="C490" s="90" t="str">
        <f t="shared" si="66"/>
        <v>2022</v>
      </c>
      <c r="D490" s="90" t="str">
        <f t="shared" si="67"/>
        <v>février2022</v>
      </c>
      <c r="E490" s="91" t="s">
        <v>413</v>
      </c>
      <c r="F490" s="91">
        <v>450</v>
      </c>
      <c r="G490" s="94">
        <f t="shared" si="68"/>
        <v>0.45</v>
      </c>
      <c r="H490" s="92" t="s">
        <v>46</v>
      </c>
      <c r="I490" s="96">
        <f t="shared" si="63"/>
        <v>0.3</v>
      </c>
      <c r="J490" s="96">
        <f t="shared" si="64"/>
        <v>0.7</v>
      </c>
      <c r="K490" s="92">
        <f>VLOOKUP(H490,'Taux émission CO2e'!$A$5:$D$16,4,FALSE)</f>
        <v>0.16</v>
      </c>
      <c r="L490" s="93">
        <f t="shared" si="69"/>
        <v>17.593675200000003</v>
      </c>
      <c r="M490" s="92">
        <f>VLOOKUP(H490,'Taux émission CO2e'!$A$20:$D$31,4,FALSE)</f>
        <v>6.7400000000000002E-2</v>
      </c>
      <c r="N490" s="105">
        <f t="shared" si="70"/>
        <v>17.293116582</v>
      </c>
      <c r="O490" s="93">
        <f t="shared" si="71"/>
        <v>34.886791782000003</v>
      </c>
      <c r="P490" s="92">
        <v>476</v>
      </c>
      <c r="Q490" s="92" t="s">
        <v>62</v>
      </c>
      <c r="R490" s="92" t="s">
        <v>53</v>
      </c>
      <c r="S490" s="20">
        <v>814.52200000000005</v>
      </c>
    </row>
    <row r="491" spans="1:19" x14ac:dyDescent="0.15">
      <c r="A491" s="90">
        <v>44596</v>
      </c>
      <c r="B491" s="90" t="str">
        <f t="shared" si="65"/>
        <v>février</v>
      </c>
      <c r="C491" s="90" t="str">
        <f t="shared" si="66"/>
        <v>2022</v>
      </c>
      <c r="D491" s="90" t="str">
        <f t="shared" si="67"/>
        <v>février2022</v>
      </c>
      <c r="E491" s="91" t="s">
        <v>414</v>
      </c>
      <c r="F491" s="91">
        <v>220</v>
      </c>
      <c r="G491" s="94">
        <f t="shared" si="68"/>
        <v>0.22</v>
      </c>
      <c r="H491" s="92" t="s">
        <v>45</v>
      </c>
      <c r="I491" s="96">
        <f t="shared" si="63"/>
        <v>0.3</v>
      </c>
      <c r="J491" s="96">
        <f t="shared" si="64"/>
        <v>0.7</v>
      </c>
      <c r="K491" s="92">
        <f>VLOOKUP(H491,'Taux émission CO2e'!$A$5:$D$16,4,FALSE)</f>
        <v>0.16</v>
      </c>
      <c r="L491" s="93">
        <f t="shared" si="69"/>
        <v>2.6494828799999999</v>
      </c>
      <c r="M491" s="92">
        <f>VLOOKUP(H491,'Taux émission CO2e'!$A$20:$D$31,4,FALSE)</f>
        <v>6.7400000000000002E-2</v>
      </c>
      <c r="N491" s="105">
        <f t="shared" si="70"/>
        <v>2.6042208807999998</v>
      </c>
      <c r="O491" s="93">
        <f t="shared" si="71"/>
        <v>5.2537037607999997</v>
      </c>
      <c r="P491" s="92">
        <v>100</v>
      </c>
      <c r="Q491" s="92" t="s">
        <v>67</v>
      </c>
      <c r="R491" s="92" t="s">
        <v>53</v>
      </c>
      <c r="S491" s="20">
        <v>250.898</v>
      </c>
    </row>
    <row r="492" spans="1:19" x14ac:dyDescent="0.15">
      <c r="A492" s="90">
        <v>44596</v>
      </c>
      <c r="B492" s="90" t="str">
        <f t="shared" si="65"/>
        <v>février</v>
      </c>
      <c r="C492" s="90" t="str">
        <f t="shared" si="66"/>
        <v>2022</v>
      </c>
      <c r="D492" s="90" t="str">
        <f t="shared" si="67"/>
        <v>février2022</v>
      </c>
      <c r="E492" s="91" t="s">
        <v>415</v>
      </c>
      <c r="F492" s="91">
        <v>600</v>
      </c>
      <c r="G492" s="94">
        <f t="shared" si="68"/>
        <v>0.6</v>
      </c>
      <c r="H492" s="92" t="s">
        <v>45</v>
      </c>
      <c r="I492" s="96">
        <f t="shared" si="63"/>
        <v>0.3</v>
      </c>
      <c r="J492" s="96">
        <f t="shared" si="64"/>
        <v>0.7</v>
      </c>
      <c r="K492" s="92">
        <f>VLOOKUP(H492,'Taux émission CO2e'!$A$5:$D$16,4,FALSE)</f>
        <v>0.16</v>
      </c>
      <c r="L492" s="93">
        <f t="shared" si="69"/>
        <v>8.0207136000000006</v>
      </c>
      <c r="M492" s="92">
        <f>VLOOKUP(H492,'Taux émission CO2e'!$A$20:$D$31,4,FALSE)</f>
        <v>6.7400000000000002E-2</v>
      </c>
      <c r="N492" s="105">
        <f t="shared" si="70"/>
        <v>7.8836930760000001</v>
      </c>
      <c r="O492" s="93">
        <f t="shared" si="71"/>
        <v>15.904406676000001</v>
      </c>
      <c r="P492" s="92">
        <v>158</v>
      </c>
      <c r="Q492" s="92" t="s">
        <v>90</v>
      </c>
      <c r="R492" s="92" t="s">
        <v>55</v>
      </c>
      <c r="S492" s="20">
        <v>278.49700000000001</v>
      </c>
    </row>
    <row r="493" spans="1:19" x14ac:dyDescent="0.15">
      <c r="A493" s="90">
        <v>44596</v>
      </c>
      <c r="B493" s="90" t="str">
        <f t="shared" si="65"/>
        <v>février</v>
      </c>
      <c r="C493" s="90" t="str">
        <f t="shared" si="66"/>
        <v>2022</v>
      </c>
      <c r="D493" s="90" t="str">
        <f t="shared" si="67"/>
        <v>février2022</v>
      </c>
      <c r="E493" s="91" t="s">
        <v>416</v>
      </c>
      <c r="F493" s="91">
        <v>300</v>
      </c>
      <c r="G493" s="94">
        <f t="shared" si="68"/>
        <v>0.3</v>
      </c>
      <c r="H493" s="92" t="s">
        <v>45</v>
      </c>
      <c r="I493" s="96">
        <f t="shared" si="63"/>
        <v>0.3</v>
      </c>
      <c r="J493" s="96">
        <f t="shared" si="64"/>
        <v>0.7</v>
      </c>
      <c r="K493" s="92">
        <f>VLOOKUP(H493,'Taux émission CO2e'!$A$5:$D$16,4,FALSE)</f>
        <v>0.16</v>
      </c>
      <c r="L493" s="93">
        <f t="shared" si="69"/>
        <v>3.6040031999999997</v>
      </c>
      <c r="M493" s="92">
        <f>VLOOKUP(H493,'Taux émission CO2e'!$A$20:$D$31,4,FALSE)</f>
        <v>6.7400000000000002E-2</v>
      </c>
      <c r="N493" s="105">
        <f t="shared" si="70"/>
        <v>3.5424348119999998</v>
      </c>
      <c r="O493" s="93">
        <f t="shared" si="71"/>
        <v>7.1464380119999991</v>
      </c>
      <c r="P493" s="92">
        <v>158</v>
      </c>
      <c r="Q493" s="92" t="s">
        <v>89</v>
      </c>
      <c r="R493" s="92" t="s">
        <v>55</v>
      </c>
      <c r="S493" s="20">
        <v>250.27799999999999</v>
      </c>
    </row>
    <row r="494" spans="1:19" x14ac:dyDescent="0.15">
      <c r="A494" s="90">
        <v>44596</v>
      </c>
      <c r="B494" s="90" t="str">
        <f t="shared" si="65"/>
        <v>février</v>
      </c>
      <c r="C494" s="90" t="str">
        <f t="shared" si="66"/>
        <v>2022</v>
      </c>
      <c r="D494" s="90" t="str">
        <f t="shared" si="67"/>
        <v>février2022</v>
      </c>
      <c r="E494" s="91" t="s">
        <v>417</v>
      </c>
      <c r="F494" s="91">
        <v>300</v>
      </c>
      <c r="G494" s="94">
        <f t="shared" si="68"/>
        <v>0.3</v>
      </c>
      <c r="H494" s="92" t="s">
        <v>45</v>
      </c>
      <c r="I494" s="96">
        <f t="shared" si="63"/>
        <v>0.3</v>
      </c>
      <c r="J494" s="96">
        <f t="shared" si="64"/>
        <v>0.7</v>
      </c>
      <c r="K494" s="92">
        <f>VLOOKUP(H494,'Taux émission CO2e'!$A$5:$D$16,4,FALSE)</f>
        <v>0.16</v>
      </c>
      <c r="L494" s="93">
        <f t="shared" si="69"/>
        <v>7.4372256000000005</v>
      </c>
      <c r="M494" s="92">
        <f>VLOOKUP(H494,'Taux émission CO2e'!$A$20:$D$31,4,FALSE)</f>
        <v>6.7400000000000002E-2</v>
      </c>
      <c r="N494" s="105">
        <f t="shared" si="70"/>
        <v>7.3101729960000004</v>
      </c>
      <c r="O494" s="93">
        <f t="shared" si="71"/>
        <v>14.747398596</v>
      </c>
      <c r="P494" s="92">
        <v>228</v>
      </c>
      <c r="Q494" s="92" t="s">
        <v>52</v>
      </c>
      <c r="R494" s="92" t="s">
        <v>55</v>
      </c>
      <c r="S494" s="20">
        <v>516.47400000000005</v>
      </c>
    </row>
    <row r="495" spans="1:19" x14ac:dyDescent="0.15">
      <c r="A495" s="90">
        <v>44596</v>
      </c>
      <c r="B495" s="90" t="str">
        <f t="shared" si="65"/>
        <v>février</v>
      </c>
      <c r="C495" s="90" t="str">
        <f t="shared" si="66"/>
        <v>2022</v>
      </c>
      <c r="D495" s="90" t="str">
        <f t="shared" si="67"/>
        <v>février2022</v>
      </c>
      <c r="E495" s="91" t="s">
        <v>418</v>
      </c>
      <c r="F495" s="91">
        <v>800</v>
      </c>
      <c r="G495" s="94">
        <f t="shared" si="68"/>
        <v>0.8</v>
      </c>
      <c r="H495" s="92" t="s">
        <v>45</v>
      </c>
      <c r="I495" s="96">
        <f t="shared" si="63"/>
        <v>0.3</v>
      </c>
      <c r="J495" s="96">
        <f t="shared" si="64"/>
        <v>0.7</v>
      </c>
      <c r="K495" s="92">
        <f>VLOOKUP(H495,'Taux émission CO2e'!$A$5:$D$16,4,FALSE)</f>
        <v>0.16</v>
      </c>
      <c r="L495" s="93">
        <f t="shared" si="69"/>
        <v>19.273459200000001</v>
      </c>
      <c r="M495" s="92">
        <f>VLOOKUP(H495,'Taux émission CO2e'!$A$20:$D$31,4,FALSE)</f>
        <v>6.7400000000000002E-2</v>
      </c>
      <c r="N495" s="105">
        <f t="shared" si="70"/>
        <v>18.944204272</v>
      </c>
      <c r="O495" s="93">
        <f t="shared" si="71"/>
        <v>38.217663471999998</v>
      </c>
      <c r="P495" s="92">
        <v>275</v>
      </c>
      <c r="Q495" s="92" t="s">
        <v>56</v>
      </c>
      <c r="R495" s="92" t="s">
        <v>57</v>
      </c>
      <c r="S495" s="20">
        <v>501.91300000000001</v>
      </c>
    </row>
    <row r="496" spans="1:19" x14ac:dyDescent="0.15">
      <c r="A496" s="90">
        <v>44599</v>
      </c>
      <c r="B496" s="90" t="str">
        <f t="shared" si="65"/>
        <v>février</v>
      </c>
      <c r="C496" s="90" t="str">
        <f t="shared" si="66"/>
        <v>2022</v>
      </c>
      <c r="D496" s="90" t="str">
        <f t="shared" si="67"/>
        <v>février2022</v>
      </c>
      <c r="E496" s="91" t="s">
        <v>419</v>
      </c>
      <c r="F496" s="91">
        <v>400</v>
      </c>
      <c r="G496" s="94">
        <f t="shared" si="68"/>
        <v>0.4</v>
      </c>
      <c r="H496" s="92" t="s">
        <v>45</v>
      </c>
      <c r="I496" s="96">
        <f t="shared" si="63"/>
        <v>0.3</v>
      </c>
      <c r="J496" s="96">
        <f t="shared" si="64"/>
        <v>0.7</v>
      </c>
      <c r="K496" s="92">
        <f>VLOOKUP(H496,'Taux émission CO2e'!$A$5:$D$16,4,FALSE)</f>
        <v>0.16</v>
      </c>
      <c r="L496" s="93">
        <f t="shared" si="69"/>
        <v>5.113977600000001</v>
      </c>
      <c r="M496" s="92">
        <f>VLOOKUP(H496,'Taux émission CO2e'!$A$20:$D$31,4,FALSE)</f>
        <v>6.7400000000000002E-2</v>
      </c>
      <c r="N496" s="105">
        <f t="shared" si="70"/>
        <v>5.0266138160000002</v>
      </c>
      <c r="O496" s="93">
        <f t="shared" si="71"/>
        <v>10.140591416000001</v>
      </c>
      <c r="P496" s="92">
        <v>157</v>
      </c>
      <c r="Q496" s="92" t="s">
        <v>77</v>
      </c>
      <c r="R496" s="92" t="s">
        <v>55</v>
      </c>
      <c r="S496" s="20">
        <v>266.35300000000001</v>
      </c>
    </row>
    <row r="497" spans="1:19" x14ac:dyDescent="0.15">
      <c r="A497" s="90">
        <v>44600</v>
      </c>
      <c r="B497" s="90" t="str">
        <f t="shared" si="65"/>
        <v>février</v>
      </c>
      <c r="C497" s="90" t="str">
        <f t="shared" si="66"/>
        <v>2022</v>
      </c>
      <c r="D497" s="90" t="str">
        <f t="shared" si="67"/>
        <v>février2022</v>
      </c>
      <c r="E497" s="91" t="s">
        <v>420</v>
      </c>
      <c r="F497" s="91">
        <v>80</v>
      </c>
      <c r="G497" s="94">
        <f t="shared" si="68"/>
        <v>0.08</v>
      </c>
      <c r="H497" s="92" t="s">
        <v>45</v>
      </c>
      <c r="I497" s="96">
        <f t="shared" si="63"/>
        <v>0.3</v>
      </c>
      <c r="J497" s="96">
        <f t="shared" si="64"/>
        <v>0.7</v>
      </c>
      <c r="K497" s="92">
        <f>VLOOKUP(H497,'Taux émission CO2e'!$A$5:$D$16,4,FALSE)</f>
        <v>0.16</v>
      </c>
      <c r="L497" s="93">
        <f t="shared" si="69"/>
        <v>0.17904768000000001</v>
      </c>
      <c r="M497" s="92">
        <f>VLOOKUP(H497,'Taux émission CO2e'!$A$20:$D$31,4,FALSE)</f>
        <v>6.7400000000000002E-2</v>
      </c>
      <c r="N497" s="105">
        <f t="shared" si="70"/>
        <v>0.17598894880000002</v>
      </c>
      <c r="O497" s="93">
        <f t="shared" si="71"/>
        <v>0.35503662880000003</v>
      </c>
      <c r="P497" s="92">
        <v>80</v>
      </c>
      <c r="Q497" s="92" t="s">
        <v>58</v>
      </c>
      <c r="R497" s="92" t="s">
        <v>421</v>
      </c>
      <c r="S497" s="20">
        <v>46.627000000000002</v>
      </c>
    </row>
    <row r="498" spans="1:19" x14ac:dyDescent="0.15">
      <c r="A498" s="90">
        <v>44600</v>
      </c>
      <c r="B498" s="90" t="str">
        <f t="shared" si="65"/>
        <v>février</v>
      </c>
      <c r="C498" s="90" t="str">
        <f t="shared" si="66"/>
        <v>2022</v>
      </c>
      <c r="D498" s="90" t="str">
        <f t="shared" si="67"/>
        <v>février2022</v>
      </c>
      <c r="E498" s="91" t="s">
        <v>422</v>
      </c>
      <c r="F498" s="91">
        <v>80</v>
      </c>
      <c r="G498" s="94">
        <f t="shared" si="68"/>
        <v>0.08</v>
      </c>
      <c r="H498" s="92" t="s">
        <v>45</v>
      </c>
      <c r="I498" s="96">
        <f t="shared" si="63"/>
        <v>0.3</v>
      </c>
      <c r="J498" s="96">
        <f t="shared" si="64"/>
        <v>0.7</v>
      </c>
      <c r="K498" s="92">
        <f>VLOOKUP(H498,'Taux émission CO2e'!$A$5:$D$16,4,FALSE)</f>
        <v>0.16</v>
      </c>
      <c r="L498" s="93">
        <f t="shared" si="69"/>
        <v>1.0196928000000001</v>
      </c>
      <c r="M498" s="92">
        <f>VLOOKUP(H498,'Taux émission CO2e'!$A$20:$D$31,4,FALSE)</f>
        <v>6.7400000000000002E-2</v>
      </c>
      <c r="N498" s="105">
        <f t="shared" si="70"/>
        <v>1.0022730480000002</v>
      </c>
      <c r="O498" s="93">
        <f t="shared" si="71"/>
        <v>2.0219658480000002</v>
      </c>
      <c r="P498" s="92">
        <v>100</v>
      </c>
      <c r="Q498" s="92" t="s">
        <v>58</v>
      </c>
      <c r="R498" s="92" t="s">
        <v>71</v>
      </c>
      <c r="S498" s="20">
        <v>265.54500000000002</v>
      </c>
    </row>
    <row r="499" spans="1:19" x14ac:dyDescent="0.15">
      <c r="A499" s="90">
        <v>44600</v>
      </c>
      <c r="B499" s="90" t="str">
        <f t="shared" si="65"/>
        <v>février</v>
      </c>
      <c r="C499" s="90" t="str">
        <f t="shared" si="66"/>
        <v>2022</v>
      </c>
      <c r="D499" s="90" t="str">
        <f t="shared" si="67"/>
        <v>février2022</v>
      </c>
      <c r="E499" s="91" t="s">
        <v>423</v>
      </c>
      <c r="F499" s="91">
        <v>80</v>
      </c>
      <c r="G499" s="94">
        <f t="shared" si="68"/>
        <v>0.08</v>
      </c>
      <c r="H499" s="92" t="s">
        <v>45</v>
      </c>
      <c r="I499" s="96">
        <f t="shared" si="63"/>
        <v>0.3</v>
      </c>
      <c r="J499" s="96">
        <f t="shared" si="64"/>
        <v>0.7</v>
      </c>
      <c r="K499" s="92">
        <f>VLOOKUP(H499,'Taux émission CO2e'!$A$5:$D$16,4,FALSE)</f>
        <v>0.16</v>
      </c>
      <c r="L499" s="93">
        <f t="shared" si="69"/>
        <v>0.98653824000000001</v>
      </c>
      <c r="M499" s="92">
        <f>VLOOKUP(H499,'Taux émission CO2e'!$A$20:$D$31,4,FALSE)</f>
        <v>6.7400000000000002E-2</v>
      </c>
      <c r="N499" s="105">
        <f t="shared" si="70"/>
        <v>0.96968487840000006</v>
      </c>
      <c r="O499" s="93">
        <f t="shared" si="71"/>
        <v>1.9562231184000001</v>
      </c>
      <c r="P499" s="92">
        <v>100</v>
      </c>
      <c r="Q499" s="92" t="s">
        <v>58</v>
      </c>
      <c r="R499" s="92" t="s">
        <v>60</v>
      </c>
      <c r="S499" s="20">
        <v>256.911</v>
      </c>
    </row>
    <row r="500" spans="1:19" x14ac:dyDescent="0.15">
      <c r="A500" s="90">
        <v>44600</v>
      </c>
      <c r="B500" s="90" t="str">
        <f t="shared" si="65"/>
        <v>février</v>
      </c>
      <c r="C500" s="90" t="str">
        <f t="shared" si="66"/>
        <v>2022</v>
      </c>
      <c r="D500" s="90" t="str">
        <f t="shared" si="67"/>
        <v>février2022</v>
      </c>
      <c r="E500" s="91" t="s">
        <v>424</v>
      </c>
      <c r="F500" s="91">
        <v>80</v>
      </c>
      <c r="G500" s="94">
        <f t="shared" si="68"/>
        <v>0.08</v>
      </c>
      <c r="H500" s="92" t="s">
        <v>45</v>
      </c>
      <c r="I500" s="96">
        <f t="shared" si="63"/>
        <v>0.3</v>
      </c>
      <c r="J500" s="96">
        <f t="shared" si="64"/>
        <v>0.7</v>
      </c>
      <c r="K500" s="92">
        <f>VLOOKUP(H500,'Taux émission CO2e'!$A$5:$D$16,4,FALSE)</f>
        <v>0.16</v>
      </c>
      <c r="L500" s="93">
        <f t="shared" si="69"/>
        <v>1.0220774400000001</v>
      </c>
      <c r="M500" s="92">
        <f>VLOOKUP(H500,'Taux émission CO2e'!$A$20:$D$31,4,FALSE)</f>
        <v>6.7400000000000002E-2</v>
      </c>
      <c r="N500" s="105">
        <f t="shared" si="70"/>
        <v>1.0046169504</v>
      </c>
      <c r="O500" s="93">
        <f t="shared" si="71"/>
        <v>2.0266943904000003</v>
      </c>
      <c r="P500" s="92">
        <v>100</v>
      </c>
      <c r="Q500" s="92" t="s">
        <v>58</v>
      </c>
      <c r="R500" s="92" t="s">
        <v>53</v>
      </c>
      <c r="S500" s="20">
        <v>266.166</v>
      </c>
    </row>
    <row r="501" spans="1:19" x14ac:dyDescent="0.15">
      <c r="A501" s="90">
        <v>44600</v>
      </c>
      <c r="B501" s="90" t="str">
        <f t="shared" si="65"/>
        <v>février</v>
      </c>
      <c r="C501" s="90" t="str">
        <f t="shared" si="66"/>
        <v>2022</v>
      </c>
      <c r="D501" s="90" t="str">
        <f t="shared" si="67"/>
        <v>février2022</v>
      </c>
      <c r="E501" s="91" t="s">
        <v>425</v>
      </c>
      <c r="F501" s="91">
        <v>80</v>
      </c>
      <c r="G501" s="94">
        <f t="shared" si="68"/>
        <v>0.08</v>
      </c>
      <c r="H501" s="92" t="s">
        <v>45</v>
      </c>
      <c r="I501" s="96">
        <f t="shared" si="63"/>
        <v>0.3</v>
      </c>
      <c r="J501" s="96">
        <f t="shared" si="64"/>
        <v>0.7</v>
      </c>
      <c r="K501" s="92">
        <f>VLOOKUP(H501,'Taux émission CO2e'!$A$5:$D$16,4,FALSE)</f>
        <v>0.16</v>
      </c>
      <c r="L501" s="93">
        <f t="shared" si="69"/>
        <v>0.95538047999999998</v>
      </c>
      <c r="M501" s="92">
        <f>VLOOKUP(H501,'Taux émission CO2e'!$A$20:$D$31,4,FALSE)</f>
        <v>6.7400000000000002E-2</v>
      </c>
      <c r="N501" s="105">
        <f t="shared" si="70"/>
        <v>0.93905939680000006</v>
      </c>
      <c r="O501" s="93">
        <f t="shared" si="71"/>
        <v>1.8944398767999999</v>
      </c>
      <c r="P501" s="92">
        <v>100</v>
      </c>
      <c r="Q501" s="92" t="s">
        <v>58</v>
      </c>
      <c r="R501" s="92" t="s">
        <v>82</v>
      </c>
      <c r="S501" s="20">
        <v>248.797</v>
      </c>
    </row>
    <row r="502" spans="1:19" x14ac:dyDescent="0.15">
      <c r="A502" s="90">
        <v>44600</v>
      </c>
      <c r="B502" s="90" t="str">
        <f t="shared" si="65"/>
        <v>février</v>
      </c>
      <c r="C502" s="90" t="str">
        <f t="shared" si="66"/>
        <v>2022</v>
      </c>
      <c r="D502" s="90" t="str">
        <f t="shared" si="67"/>
        <v>février2022</v>
      </c>
      <c r="E502" s="91" t="s">
        <v>426</v>
      </c>
      <c r="F502" s="91">
        <v>80</v>
      </c>
      <c r="G502" s="94">
        <f t="shared" si="68"/>
        <v>0.08</v>
      </c>
      <c r="H502" s="92" t="s">
        <v>46</v>
      </c>
      <c r="I502" s="96">
        <f t="shared" si="63"/>
        <v>0.3</v>
      </c>
      <c r="J502" s="96">
        <f t="shared" si="64"/>
        <v>0.7</v>
      </c>
      <c r="K502" s="92">
        <f>VLOOKUP(H502,'Taux émission CO2e'!$A$5:$D$16,4,FALSE)</f>
        <v>0.16</v>
      </c>
      <c r="L502" s="93">
        <f t="shared" si="69"/>
        <v>1.76066688</v>
      </c>
      <c r="M502" s="92">
        <f>VLOOKUP(H502,'Taux émission CO2e'!$A$20:$D$31,4,FALSE)</f>
        <v>6.7400000000000002E-2</v>
      </c>
      <c r="N502" s="105">
        <f t="shared" si="70"/>
        <v>1.7305888208000002</v>
      </c>
      <c r="O502" s="93">
        <f t="shared" si="71"/>
        <v>3.4912557008</v>
      </c>
      <c r="P502" s="92">
        <v>118</v>
      </c>
      <c r="Q502" s="92" t="s">
        <v>58</v>
      </c>
      <c r="R502" s="92" t="s">
        <v>427</v>
      </c>
      <c r="S502" s="20">
        <v>458.50700000000001</v>
      </c>
    </row>
    <row r="503" spans="1:19" x14ac:dyDescent="0.15">
      <c r="A503" s="90">
        <v>44600</v>
      </c>
      <c r="B503" s="90" t="str">
        <f t="shared" si="65"/>
        <v>février</v>
      </c>
      <c r="C503" s="90" t="str">
        <f t="shared" si="66"/>
        <v>2022</v>
      </c>
      <c r="D503" s="90" t="str">
        <f t="shared" si="67"/>
        <v>février2022</v>
      </c>
      <c r="E503" s="91" t="s">
        <v>428</v>
      </c>
      <c r="F503" s="91">
        <v>80</v>
      </c>
      <c r="G503" s="94">
        <f t="shared" si="68"/>
        <v>0.08</v>
      </c>
      <c r="H503" s="92" t="s">
        <v>45</v>
      </c>
      <c r="I503" s="96">
        <f t="shared" si="63"/>
        <v>0.3</v>
      </c>
      <c r="J503" s="96">
        <f t="shared" si="64"/>
        <v>0.7</v>
      </c>
      <c r="K503" s="92">
        <f>VLOOKUP(H503,'Taux émission CO2e'!$A$5:$D$16,4,FALSE)</f>
        <v>0.16</v>
      </c>
      <c r="L503" s="93">
        <f t="shared" si="69"/>
        <v>1.98066432</v>
      </c>
      <c r="M503" s="92">
        <f>VLOOKUP(H503,'Taux émission CO2e'!$A$20:$D$31,4,FALSE)</f>
        <v>6.7400000000000002E-2</v>
      </c>
      <c r="N503" s="105">
        <f t="shared" si="70"/>
        <v>1.9468279712000001</v>
      </c>
      <c r="O503" s="93">
        <f t="shared" si="71"/>
        <v>3.9274922912000001</v>
      </c>
      <c r="P503" s="92">
        <v>140</v>
      </c>
      <c r="Q503" s="92" t="s">
        <v>58</v>
      </c>
      <c r="R503" s="92" t="s">
        <v>57</v>
      </c>
      <c r="S503" s="20">
        <v>515.798</v>
      </c>
    </row>
    <row r="504" spans="1:19" x14ac:dyDescent="0.15">
      <c r="A504" s="90">
        <v>44600</v>
      </c>
      <c r="B504" s="90" t="str">
        <f t="shared" si="65"/>
        <v>février</v>
      </c>
      <c r="C504" s="90" t="str">
        <f t="shared" si="66"/>
        <v>2022</v>
      </c>
      <c r="D504" s="90" t="str">
        <f t="shared" si="67"/>
        <v>février2022</v>
      </c>
      <c r="E504" s="91" t="s">
        <v>429</v>
      </c>
      <c r="F504" s="91">
        <v>80</v>
      </c>
      <c r="G504" s="94">
        <f t="shared" si="68"/>
        <v>0.08</v>
      </c>
      <c r="H504" s="92" t="s">
        <v>46</v>
      </c>
      <c r="I504" s="96">
        <f t="shared" si="63"/>
        <v>0.3</v>
      </c>
      <c r="J504" s="96">
        <f t="shared" si="64"/>
        <v>0.7</v>
      </c>
      <c r="K504" s="92">
        <f>VLOOKUP(H504,'Taux émission CO2e'!$A$5:$D$16,4,FALSE)</f>
        <v>0.16</v>
      </c>
      <c r="L504" s="93">
        <f t="shared" si="69"/>
        <v>2.8433088000000004</v>
      </c>
      <c r="M504" s="92">
        <f>VLOOKUP(H504,'Taux émission CO2e'!$A$20:$D$31,4,FALSE)</f>
        <v>6.7400000000000002E-2</v>
      </c>
      <c r="N504" s="105">
        <f t="shared" si="70"/>
        <v>2.7947356080000003</v>
      </c>
      <c r="O504" s="93">
        <f t="shared" si="71"/>
        <v>5.6380444080000007</v>
      </c>
      <c r="P504" s="92">
        <v>159</v>
      </c>
      <c r="Q504" s="92" t="s">
        <v>58</v>
      </c>
      <c r="R504" s="92" t="s">
        <v>59</v>
      </c>
      <c r="S504" s="20">
        <v>740.44500000000005</v>
      </c>
    </row>
    <row r="505" spans="1:19" x14ac:dyDescent="0.15">
      <c r="A505" s="90">
        <v>44600</v>
      </c>
      <c r="B505" s="90" t="str">
        <f t="shared" si="65"/>
        <v>février</v>
      </c>
      <c r="C505" s="90" t="str">
        <f t="shared" si="66"/>
        <v>2022</v>
      </c>
      <c r="D505" s="90" t="str">
        <f t="shared" si="67"/>
        <v>février2022</v>
      </c>
      <c r="E505" s="91" t="s">
        <v>430</v>
      </c>
      <c r="F505" s="91">
        <v>200</v>
      </c>
      <c r="G505" s="94">
        <f t="shared" si="68"/>
        <v>0.2</v>
      </c>
      <c r="H505" s="92" t="s">
        <v>46</v>
      </c>
      <c r="I505" s="96">
        <f t="shared" si="63"/>
        <v>0.3</v>
      </c>
      <c r="J505" s="96">
        <f t="shared" si="64"/>
        <v>0.7</v>
      </c>
      <c r="K505" s="92">
        <f>VLOOKUP(H505,'Taux émission CO2e'!$A$5:$D$16,4,FALSE)</f>
        <v>0.16</v>
      </c>
      <c r="L505" s="93">
        <f t="shared" si="69"/>
        <v>3.6536256000000003</v>
      </c>
      <c r="M505" s="92">
        <f>VLOOKUP(H505,'Taux émission CO2e'!$A$20:$D$31,4,FALSE)</f>
        <v>6.7400000000000002E-2</v>
      </c>
      <c r="N505" s="105">
        <f t="shared" si="70"/>
        <v>3.5912094960000003</v>
      </c>
      <c r="O505" s="93">
        <f t="shared" si="71"/>
        <v>7.244835096000001</v>
      </c>
      <c r="P505" s="92">
        <v>166</v>
      </c>
      <c r="Q505" s="92" t="s">
        <v>91</v>
      </c>
      <c r="R505" s="92" t="s">
        <v>55</v>
      </c>
      <c r="S505" s="20">
        <v>380.58600000000001</v>
      </c>
    </row>
    <row r="506" spans="1:19" x14ac:dyDescent="0.15">
      <c r="A506" s="90">
        <v>44601</v>
      </c>
      <c r="B506" s="90" t="str">
        <f t="shared" si="65"/>
        <v>février</v>
      </c>
      <c r="C506" s="90" t="str">
        <f t="shared" si="66"/>
        <v>2022</v>
      </c>
      <c r="D506" s="90" t="str">
        <f t="shared" si="67"/>
        <v>février2022</v>
      </c>
      <c r="E506" s="91" t="s">
        <v>431</v>
      </c>
      <c r="F506" s="91">
        <v>300</v>
      </c>
      <c r="G506" s="94">
        <f t="shared" si="68"/>
        <v>0.3</v>
      </c>
      <c r="H506" s="92" t="s">
        <v>45</v>
      </c>
      <c r="I506" s="96">
        <f t="shared" si="63"/>
        <v>0.3</v>
      </c>
      <c r="J506" s="96">
        <f t="shared" si="64"/>
        <v>0.7</v>
      </c>
      <c r="K506" s="92">
        <f>VLOOKUP(H506,'Taux émission CO2e'!$A$5:$D$16,4,FALSE)</f>
        <v>0.16</v>
      </c>
      <c r="L506" s="93">
        <f t="shared" si="69"/>
        <v>4.0420511999999995</v>
      </c>
      <c r="M506" s="92">
        <f>VLOOKUP(H506,'Taux émission CO2e'!$A$20:$D$31,4,FALSE)</f>
        <v>6.7400000000000002E-2</v>
      </c>
      <c r="N506" s="105">
        <f t="shared" si="70"/>
        <v>3.9729994919999996</v>
      </c>
      <c r="O506" s="93">
        <f t="shared" si="71"/>
        <v>8.0150506919999991</v>
      </c>
      <c r="P506" s="92">
        <v>132</v>
      </c>
      <c r="Q506" s="92" t="s">
        <v>58</v>
      </c>
      <c r="R506" s="92" t="s">
        <v>80</v>
      </c>
      <c r="S506" s="20">
        <v>280.69799999999998</v>
      </c>
    </row>
    <row r="507" spans="1:19" x14ac:dyDescent="0.15">
      <c r="A507" s="90">
        <v>44601</v>
      </c>
      <c r="B507" s="90" t="str">
        <f t="shared" si="65"/>
        <v>février</v>
      </c>
      <c r="C507" s="90" t="str">
        <f t="shared" si="66"/>
        <v>2022</v>
      </c>
      <c r="D507" s="90" t="str">
        <f t="shared" si="67"/>
        <v>février2022</v>
      </c>
      <c r="E507" s="91" t="s">
        <v>432</v>
      </c>
      <c r="F507" s="91">
        <v>200</v>
      </c>
      <c r="G507" s="94">
        <f t="shared" si="68"/>
        <v>0.2</v>
      </c>
      <c r="H507" s="92" t="s">
        <v>45</v>
      </c>
      <c r="I507" s="96">
        <f t="shared" si="63"/>
        <v>0.3</v>
      </c>
      <c r="J507" s="96">
        <f t="shared" si="64"/>
        <v>0.7</v>
      </c>
      <c r="K507" s="92">
        <f>VLOOKUP(H507,'Taux émission CO2e'!$A$5:$D$16,4,FALSE)</f>
        <v>0.16</v>
      </c>
      <c r="L507" s="93">
        <f t="shared" si="69"/>
        <v>2.6701920000000001</v>
      </c>
      <c r="M507" s="92">
        <f>VLOOKUP(H507,'Taux émission CO2e'!$A$20:$D$31,4,FALSE)</f>
        <v>6.7400000000000002E-2</v>
      </c>
      <c r="N507" s="105">
        <f t="shared" si="70"/>
        <v>2.6245762199999998</v>
      </c>
      <c r="O507" s="93">
        <f t="shared" si="71"/>
        <v>5.2947682199999999</v>
      </c>
      <c r="P507" s="92">
        <v>158</v>
      </c>
      <c r="Q507" s="92" t="s">
        <v>74</v>
      </c>
      <c r="R507" s="92" t="s">
        <v>55</v>
      </c>
      <c r="S507" s="20">
        <v>278.14499999999998</v>
      </c>
    </row>
    <row r="508" spans="1:19" x14ac:dyDescent="0.15">
      <c r="A508" s="90">
        <v>44602</v>
      </c>
      <c r="B508" s="90" t="str">
        <f t="shared" si="65"/>
        <v>février</v>
      </c>
      <c r="C508" s="90" t="str">
        <f t="shared" si="66"/>
        <v>2022</v>
      </c>
      <c r="D508" s="90" t="str">
        <f t="shared" si="67"/>
        <v>février2022</v>
      </c>
      <c r="E508" s="91" t="s">
        <v>433</v>
      </c>
      <c r="F508" s="91">
        <v>250</v>
      </c>
      <c r="G508" s="94">
        <f t="shared" si="68"/>
        <v>0.25</v>
      </c>
      <c r="H508" s="92" t="s">
        <v>46</v>
      </c>
      <c r="I508" s="96">
        <f t="shared" si="63"/>
        <v>0.3</v>
      </c>
      <c r="J508" s="96">
        <f t="shared" si="64"/>
        <v>0.7</v>
      </c>
      <c r="K508" s="92">
        <f>VLOOKUP(H508,'Taux émission CO2e'!$A$5:$D$16,4,FALSE)</f>
        <v>0.16</v>
      </c>
      <c r="L508" s="93">
        <f t="shared" si="69"/>
        <v>6.4983119999999994</v>
      </c>
      <c r="M508" s="92">
        <f>VLOOKUP(H508,'Taux émission CO2e'!$A$20:$D$31,4,FALSE)</f>
        <v>6.7400000000000002E-2</v>
      </c>
      <c r="N508" s="105">
        <f t="shared" si="70"/>
        <v>6.3872991699999995</v>
      </c>
      <c r="O508" s="93">
        <f t="shared" si="71"/>
        <v>12.885611169999999</v>
      </c>
      <c r="P508" s="92">
        <v>196</v>
      </c>
      <c r="Q508" s="92" t="s">
        <v>62</v>
      </c>
      <c r="R508" s="92" t="s">
        <v>55</v>
      </c>
      <c r="S508" s="20">
        <v>541.52599999999995</v>
      </c>
    </row>
    <row r="509" spans="1:19" x14ac:dyDescent="0.15">
      <c r="A509" s="90">
        <v>44603</v>
      </c>
      <c r="B509" s="90" t="str">
        <f t="shared" si="65"/>
        <v>février</v>
      </c>
      <c r="C509" s="90" t="str">
        <f t="shared" si="66"/>
        <v>2022</v>
      </c>
      <c r="D509" s="90" t="str">
        <f t="shared" si="67"/>
        <v>février2022</v>
      </c>
      <c r="E509" s="91" t="s">
        <v>434</v>
      </c>
      <c r="F509" s="91">
        <v>200</v>
      </c>
      <c r="G509" s="94">
        <f t="shared" si="68"/>
        <v>0.2</v>
      </c>
      <c r="H509" s="92" t="s">
        <v>46</v>
      </c>
      <c r="I509" s="96">
        <f t="shared" si="63"/>
        <v>0.3</v>
      </c>
      <c r="J509" s="96">
        <f t="shared" si="64"/>
        <v>0.7</v>
      </c>
      <c r="K509" s="92">
        <f>VLOOKUP(H509,'Taux émission CO2e'!$A$5:$D$16,4,FALSE)</f>
        <v>0.16</v>
      </c>
      <c r="L509" s="93">
        <f t="shared" si="69"/>
        <v>2.4772128000000002</v>
      </c>
      <c r="M509" s="92">
        <f>VLOOKUP(H509,'Taux émission CO2e'!$A$20:$D$31,4,FALSE)</f>
        <v>6.7400000000000002E-2</v>
      </c>
      <c r="N509" s="105">
        <f t="shared" si="70"/>
        <v>2.4348937479999999</v>
      </c>
      <c r="O509" s="93">
        <f t="shared" si="71"/>
        <v>4.9121065480000006</v>
      </c>
      <c r="P509" s="92">
        <v>131</v>
      </c>
      <c r="Q509" s="92" t="s">
        <v>102</v>
      </c>
      <c r="R509" s="92" t="s">
        <v>55</v>
      </c>
      <c r="S509" s="20">
        <v>258.04300000000001</v>
      </c>
    </row>
    <row r="510" spans="1:19" x14ac:dyDescent="0.15">
      <c r="A510" s="90">
        <v>44603</v>
      </c>
      <c r="B510" s="90" t="str">
        <f t="shared" si="65"/>
        <v>février</v>
      </c>
      <c r="C510" s="90" t="str">
        <f t="shared" si="66"/>
        <v>2022</v>
      </c>
      <c r="D510" s="90" t="str">
        <f t="shared" si="67"/>
        <v>février2022</v>
      </c>
      <c r="E510" s="91" t="s">
        <v>435</v>
      </c>
      <c r="F510" s="91">
        <v>300</v>
      </c>
      <c r="G510" s="94">
        <f t="shared" si="68"/>
        <v>0.3</v>
      </c>
      <c r="H510" s="92" t="s">
        <v>45</v>
      </c>
      <c r="I510" s="96">
        <f t="shared" si="63"/>
        <v>0.3</v>
      </c>
      <c r="J510" s="96">
        <f t="shared" si="64"/>
        <v>0.7</v>
      </c>
      <c r="K510" s="92">
        <f>VLOOKUP(H510,'Taux émission CO2e'!$A$5:$D$16,4,FALSE)</f>
        <v>0.16</v>
      </c>
      <c r="L510" s="93">
        <f t="shared" si="69"/>
        <v>4.0103568000000003</v>
      </c>
      <c r="M510" s="92">
        <f>VLOOKUP(H510,'Taux émission CO2e'!$A$20:$D$31,4,FALSE)</f>
        <v>6.7400000000000002E-2</v>
      </c>
      <c r="N510" s="105">
        <f t="shared" si="70"/>
        <v>3.9418465380000001</v>
      </c>
      <c r="O510" s="93">
        <f t="shared" si="71"/>
        <v>7.9522033380000003</v>
      </c>
      <c r="P510" s="92">
        <v>158</v>
      </c>
      <c r="Q510" s="92" t="s">
        <v>90</v>
      </c>
      <c r="R510" s="92" t="s">
        <v>55</v>
      </c>
      <c r="S510" s="20">
        <v>278.49700000000001</v>
      </c>
    </row>
    <row r="511" spans="1:19" x14ac:dyDescent="0.15">
      <c r="A511" s="90">
        <v>44606</v>
      </c>
      <c r="B511" s="90" t="str">
        <f t="shared" si="65"/>
        <v>février</v>
      </c>
      <c r="C511" s="90" t="str">
        <f t="shared" si="66"/>
        <v>2022</v>
      </c>
      <c r="D511" s="90" t="str">
        <f t="shared" si="67"/>
        <v>février2022</v>
      </c>
      <c r="E511" s="91" t="s">
        <v>436</v>
      </c>
      <c r="F511" s="91">
        <v>150</v>
      </c>
      <c r="G511" s="94">
        <f t="shared" si="68"/>
        <v>0.15</v>
      </c>
      <c r="H511" s="92" t="s">
        <v>45</v>
      </c>
      <c r="I511" s="96">
        <f t="shared" si="63"/>
        <v>0.3</v>
      </c>
      <c r="J511" s="96">
        <f t="shared" si="64"/>
        <v>0.7</v>
      </c>
      <c r="K511" s="92">
        <f>VLOOKUP(H511,'Taux émission CO2e'!$A$5:$D$16,4,FALSE)</f>
        <v>0.16</v>
      </c>
      <c r="L511" s="93">
        <f t="shared" si="69"/>
        <v>1.8020015999999999</v>
      </c>
      <c r="M511" s="92">
        <f>VLOOKUP(H511,'Taux émission CO2e'!$A$20:$D$31,4,FALSE)</f>
        <v>6.7400000000000002E-2</v>
      </c>
      <c r="N511" s="105">
        <f t="shared" si="70"/>
        <v>1.7712174059999999</v>
      </c>
      <c r="O511" s="93">
        <f t="shared" si="71"/>
        <v>3.5732190059999995</v>
      </c>
      <c r="P511" s="92">
        <v>100</v>
      </c>
      <c r="Q511" s="92" t="s">
        <v>89</v>
      </c>
      <c r="R511" s="92" t="s">
        <v>55</v>
      </c>
      <c r="S511" s="20">
        <v>250.27799999999999</v>
      </c>
    </row>
    <row r="512" spans="1:19" x14ac:dyDescent="0.15">
      <c r="A512" s="90">
        <v>44606</v>
      </c>
      <c r="B512" s="90" t="str">
        <f t="shared" si="65"/>
        <v>février</v>
      </c>
      <c r="C512" s="90" t="str">
        <f t="shared" si="66"/>
        <v>2022</v>
      </c>
      <c r="D512" s="90" t="str">
        <f t="shared" si="67"/>
        <v>février2022</v>
      </c>
      <c r="E512" s="91" t="s">
        <v>437</v>
      </c>
      <c r="F512" s="91">
        <v>160</v>
      </c>
      <c r="G512" s="94">
        <f t="shared" si="68"/>
        <v>0.16</v>
      </c>
      <c r="H512" s="92" t="s">
        <v>45</v>
      </c>
      <c r="I512" s="96">
        <f t="shared" si="63"/>
        <v>0.3</v>
      </c>
      <c r="J512" s="96">
        <f t="shared" si="64"/>
        <v>0.7</v>
      </c>
      <c r="K512" s="92">
        <f>VLOOKUP(H512,'Taux émission CO2e'!$A$5:$D$16,4,FALSE)</f>
        <v>0.16</v>
      </c>
      <c r="L512" s="93">
        <f t="shared" si="69"/>
        <v>3.9613286400000001</v>
      </c>
      <c r="M512" s="92">
        <f>VLOOKUP(H512,'Taux émission CO2e'!$A$20:$D$31,4,FALSE)</f>
        <v>6.7400000000000002E-2</v>
      </c>
      <c r="N512" s="105">
        <f t="shared" si="70"/>
        <v>3.8936559424000001</v>
      </c>
      <c r="O512" s="93">
        <f t="shared" si="71"/>
        <v>7.8549845824000002</v>
      </c>
      <c r="P512" s="92">
        <v>182</v>
      </c>
      <c r="Q512" s="92" t="s">
        <v>58</v>
      </c>
      <c r="R512" s="92" t="s">
        <v>57</v>
      </c>
      <c r="S512" s="20">
        <v>515.798</v>
      </c>
    </row>
    <row r="513" spans="1:19" x14ac:dyDescent="0.15">
      <c r="A513" s="90">
        <v>44606</v>
      </c>
      <c r="B513" s="90" t="str">
        <f t="shared" si="65"/>
        <v>février</v>
      </c>
      <c r="C513" s="90" t="str">
        <f t="shared" si="66"/>
        <v>2022</v>
      </c>
      <c r="D513" s="90" t="str">
        <f t="shared" si="67"/>
        <v>février2022</v>
      </c>
      <c r="E513" s="91" t="s">
        <v>438</v>
      </c>
      <c r="F513" s="91">
        <v>160</v>
      </c>
      <c r="G513" s="94">
        <f t="shared" si="68"/>
        <v>0.16</v>
      </c>
      <c r="H513" s="92" t="s">
        <v>46</v>
      </c>
      <c r="I513" s="96">
        <f t="shared" si="63"/>
        <v>0.3</v>
      </c>
      <c r="J513" s="96">
        <f t="shared" si="64"/>
        <v>0.7</v>
      </c>
      <c r="K513" s="92">
        <f>VLOOKUP(H513,'Taux émission CO2e'!$A$5:$D$16,4,FALSE)</f>
        <v>0.16</v>
      </c>
      <c r="L513" s="93">
        <f t="shared" si="69"/>
        <v>5.6866176000000008</v>
      </c>
      <c r="M513" s="92">
        <f>VLOOKUP(H513,'Taux émission CO2e'!$A$20:$D$31,4,FALSE)</f>
        <v>6.7400000000000002E-2</v>
      </c>
      <c r="N513" s="105">
        <f t="shared" si="70"/>
        <v>5.5894712160000006</v>
      </c>
      <c r="O513" s="93">
        <f t="shared" si="71"/>
        <v>11.276088816000001</v>
      </c>
      <c r="P513" s="92">
        <v>210</v>
      </c>
      <c r="Q513" s="92" t="s">
        <v>58</v>
      </c>
      <c r="R513" s="92" t="s">
        <v>59</v>
      </c>
      <c r="S513" s="20">
        <v>740.44500000000005</v>
      </c>
    </row>
    <row r="514" spans="1:19" x14ac:dyDescent="0.15">
      <c r="A514" s="90">
        <v>44606</v>
      </c>
      <c r="B514" s="90" t="str">
        <f t="shared" si="65"/>
        <v>février</v>
      </c>
      <c r="C514" s="90" t="str">
        <f t="shared" si="66"/>
        <v>2022</v>
      </c>
      <c r="D514" s="90" t="str">
        <f t="shared" si="67"/>
        <v>février2022</v>
      </c>
      <c r="E514" s="91" t="s">
        <v>439</v>
      </c>
      <c r="F514" s="91">
        <v>300</v>
      </c>
      <c r="G514" s="94">
        <f t="shared" si="68"/>
        <v>0.3</v>
      </c>
      <c r="H514" s="92" t="s">
        <v>45</v>
      </c>
      <c r="I514" s="96">
        <f t="shared" ref="I514:I577" si="72">VLOOKUP(H514,Segment1,2,FALSE)</f>
        <v>0.3</v>
      </c>
      <c r="J514" s="96">
        <f t="shared" ref="J514:J577" si="73">VLOOKUP(H514,Segment2,2,FALSE)</f>
        <v>0.7</v>
      </c>
      <c r="K514" s="92">
        <f>VLOOKUP(H514,'Taux émission CO2e'!$A$5:$D$16,4,FALSE)</f>
        <v>0.16</v>
      </c>
      <c r="L514" s="93">
        <f t="shared" si="69"/>
        <v>7.4372256000000005</v>
      </c>
      <c r="M514" s="92">
        <f>VLOOKUP(H514,'Taux émission CO2e'!$A$20:$D$31,4,FALSE)</f>
        <v>6.7400000000000002E-2</v>
      </c>
      <c r="N514" s="105">
        <f t="shared" si="70"/>
        <v>7.3101729960000004</v>
      </c>
      <c r="O514" s="93">
        <f t="shared" si="71"/>
        <v>14.747398596</v>
      </c>
      <c r="P514" s="92">
        <v>228</v>
      </c>
      <c r="Q514" s="92" t="s">
        <v>52</v>
      </c>
      <c r="R514" s="92" t="s">
        <v>55</v>
      </c>
      <c r="S514" s="20">
        <v>516.47400000000005</v>
      </c>
    </row>
    <row r="515" spans="1:19" x14ac:dyDescent="0.15">
      <c r="A515" s="90">
        <v>44607</v>
      </c>
      <c r="B515" s="90" t="str">
        <f t="shared" ref="B515:B578" si="74">TEXT(A515,"mmmm")</f>
        <v>février</v>
      </c>
      <c r="C515" s="90" t="str">
        <f t="shared" ref="C515:C578" si="75">TEXT(A515,"aaaa")</f>
        <v>2022</v>
      </c>
      <c r="D515" s="90" t="str">
        <f t="shared" ref="D515:D578" si="76">B515&amp;C515</f>
        <v>février2022</v>
      </c>
      <c r="E515" s="91" t="s">
        <v>440</v>
      </c>
      <c r="F515" s="91">
        <v>480</v>
      </c>
      <c r="G515" s="94">
        <f t="shared" ref="G515:G578" si="77">F515/1000</f>
        <v>0.48</v>
      </c>
      <c r="H515" s="92" t="s">
        <v>45</v>
      </c>
      <c r="I515" s="96">
        <f t="shared" si="72"/>
        <v>0.3</v>
      </c>
      <c r="J515" s="96">
        <f t="shared" si="73"/>
        <v>0.7</v>
      </c>
      <c r="K515" s="92">
        <f>VLOOKUP(H515,'Taux émission CO2e'!$A$5:$D$16,4,FALSE)</f>
        <v>0.16</v>
      </c>
      <c r="L515" s="93">
        <f t="shared" ref="L515:L578" si="78">IFERROR(I515*K515*G515*S515,"0")</f>
        <v>6.4672819199999987</v>
      </c>
      <c r="M515" s="92">
        <f>VLOOKUP(H515,'Taux émission CO2e'!$A$20:$D$31,4,FALSE)</f>
        <v>6.7400000000000002E-2</v>
      </c>
      <c r="N515" s="105">
        <f t="shared" ref="N515:N578" si="79">IFERROR(J515*M515*G515*S515,"0")</f>
        <v>6.3567991872</v>
      </c>
      <c r="O515" s="93">
        <f t="shared" ref="O515:O578" si="80">L515+N515</f>
        <v>12.824081107199998</v>
      </c>
      <c r="P515" s="92">
        <v>132</v>
      </c>
      <c r="Q515" s="92" t="s">
        <v>58</v>
      </c>
      <c r="R515" s="92" t="s">
        <v>80</v>
      </c>
      <c r="S515" s="20">
        <v>280.69799999999998</v>
      </c>
    </row>
    <row r="516" spans="1:19" x14ac:dyDescent="0.15">
      <c r="A516" s="90">
        <v>44607</v>
      </c>
      <c r="B516" s="90" t="str">
        <f t="shared" si="74"/>
        <v>février</v>
      </c>
      <c r="C516" s="90" t="str">
        <f t="shared" si="75"/>
        <v>2022</v>
      </c>
      <c r="D516" s="90" t="str">
        <f t="shared" si="76"/>
        <v>février2022</v>
      </c>
      <c r="E516" s="91" t="s">
        <v>441</v>
      </c>
      <c r="F516" s="91">
        <v>480</v>
      </c>
      <c r="G516" s="94">
        <f t="shared" si="77"/>
        <v>0.48</v>
      </c>
      <c r="H516" s="92" t="s">
        <v>45</v>
      </c>
      <c r="I516" s="96">
        <f t="shared" si="72"/>
        <v>0.3</v>
      </c>
      <c r="J516" s="96">
        <f t="shared" si="73"/>
        <v>0.7</v>
      </c>
      <c r="K516" s="92">
        <f>VLOOKUP(H516,'Taux émission CO2e'!$A$5:$D$16,4,FALSE)</f>
        <v>0.16</v>
      </c>
      <c r="L516" s="93">
        <f t="shared" si="78"/>
        <v>5.6790143999999998</v>
      </c>
      <c r="M516" s="92">
        <f>VLOOKUP(H516,'Taux émission CO2e'!$A$20:$D$31,4,FALSE)</f>
        <v>6.7400000000000002E-2</v>
      </c>
      <c r="N516" s="105">
        <f t="shared" si="79"/>
        <v>5.5819979040000005</v>
      </c>
      <c r="O516" s="93">
        <f t="shared" si="80"/>
        <v>11.261012304000001</v>
      </c>
      <c r="P516" s="92">
        <v>132</v>
      </c>
      <c r="Q516" s="92" t="s">
        <v>58</v>
      </c>
      <c r="R516" s="92" t="s">
        <v>127</v>
      </c>
      <c r="S516" s="20">
        <v>246.48500000000001</v>
      </c>
    </row>
    <row r="517" spans="1:19" x14ac:dyDescent="0.15">
      <c r="A517" s="90">
        <v>44607</v>
      </c>
      <c r="B517" s="90" t="str">
        <f t="shared" si="74"/>
        <v>février</v>
      </c>
      <c r="C517" s="90" t="str">
        <f t="shared" si="75"/>
        <v>2022</v>
      </c>
      <c r="D517" s="90" t="str">
        <f t="shared" si="76"/>
        <v>février2022</v>
      </c>
      <c r="E517" s="91" t="s">
        <v>442</v>
      </c>
      <c r="F517" s="91">
        <v>90</v>
      </c>
      <c r="G517" s="94">
        <f t="shared" si="77"/>
        <v>0.09</v>
      </c>
      <c r="H517" s="92" t="s">
        <v>45</v>
      </c>
      <c r="I517" s="96">
        <f t="shared" si="72"/>
        <v>0.3</v>
      </c>
      <c r="J517" s="96">
        <f t="shared" si="73"/>
        <v>0.7</v>
      </c>
      <c r="K517" s="92">
        <f>VLOOKUP(H517,'Taux émission CO2e'!$A$5:$D$16,4,FALSE)</f>
        <v>0.16</v>
      </c>
      <c r="L517" s="93">
        <f t="shared" si="78"/>
        <v>2.2282473600000001</v>
      </c>
      <c r="M517" s="92">
        <f>VLOOKUP(H517,'Taux émission CO2e'!$A$20:$D$31,4,FALSE)</f>
        <v>6.7400000000000002E-2</v>
      </c>
      <c r="N517" s="105">
        <f t="shared" si="79"/>
        <v>2.1901814675999995</v>
      </c>
      <c r="O517" s="93">
        <f t="shared" si="80"/>
        <v>4.4184288275999997</v>
      </c>
      <c r="P517" s="92">
        <v>140</v>
      </c>
      <c r="Q517" s="92" t="s">
        <v>58</v>
      </c>
      <c r="R517" s="92" t="s">
        <v>57</v>
      </c>
      <c r="S517" s="20">
        <v>515.798</v>
      </c>
    </row>
    <row r="518" spans="1:19" x14ac:dyDescent="0.15">
      <c r="A518" s="90">
        <v>44607</v>
      </c>
      <c r="B518" s="90" t="str">
        <f t="shared" si="74"/>
        <v>février</v>
      </c>
      <c r="C518" s="90" t="str">
        <f t="shared" si="75"/>
        <v>2022</v>
      </c>
      <c r="D518" s="90" t="str">
        <f t="shared" si="76"/>
        <v>février2022</v>
      </c>
      <c r="E518" s="91" t="s">
        <v>443</v>
      </c>
      <c r="F518" s="91">
        <v>750</v>
      </c>
      <c r="G518" s="94">
        <f t="shared" si="77"/>
        <v>0.75</v>
      </c>
      <c r="H518" s="92" t="s">
        <v>45</v>
      </c>
      <c r="I518" s="96">
        <f t="shared" si="72"/>
        <v>0.3</v>
      </c>
      <c r="J518" s="96">
        <f t="shared" si="73"/>
        <v>0.7</v>
      </c>
      <c r="K518" s="92">
        <f>VLOOKUP(H518,'Taux émission CO2e'!$A$5:$D$16,4,FALSE)</f>
        <v>0.16</v>
      </c>
      <c r="L518" s="93">
        <f t="shared" si="78"/>
        <v>8.9114760000000004</v>
      </c>
      <c r="M518" s="92">
        <f>VLOOKUP(H518,'Taux émission CO2e'!$A$20:$D$31,4,FALSE)</f>
        <v>6.7400000000000002E-2</v>
      </c>
      <c r="N518" s="105">
        <f t="shared" si="79"/>
        <v>8.7592382850000003</v>
      </c>
      <c r="O518" s="93">
        <f t="shared" si="80"/>
        <v>17.670714285000003</v>
      </c>
      <c r="P518" s="92">
        <v>390</v>
      </c>
      <c r="Q518" s="92" t="s">
        <v>109</v>
      </c>
      <c r="R518" s="92" t="s">
        <v>55</v>
      </c>
      <c r="S518" s="20">
        <v>247.541</v>
      </c>
    </row>
    <row r="519" spans="1:19" x14ac:dyDescent="0.15">
      <c r="A519" s="90">
        <v>44608</v>
      </c>
      <c r="B519" s="90" t="str">
        <f t="shared" si="74"/>
        <v>février</v>
      </c>
      <c r="C519" s="90" t="str">
        <f t="shared" si="75"/>
        <v>2022</v>
      </c>
      <c r="D519" s="90" t="str">
        <f t="shared" si="76"/>
        <v>février2022</v>
      </c>
      <c r="E519" s="91" t="s">
        <v>444</v>
      </c>
      <c r="F519" s="91">
        <v>200</v>
      </c>
      <c r="G519" s="94">
        <f t="shared" si="77"/>
        <v>0.2</v>
      </c>
      <c r="H519" s="92" t="s">
        <v>45</v>
      </c>
      <c r="I519" s="96">
        <f t="shared" si="72"/>
        <v>0.3</v>
      </c>
      <c r="J519" s="96">
        <f t="shared" si="73"/>
        <v>0.7</v>
      </c>
      <c r="K519" s="92">
        <f>VLOOKUP(H519,'Taux émission CO2e'!$A$5:$D$16,4,FALSE)</f>
        <v>0.16</v>
      </c>
      <c r="L519" s="93">
        <f t="shared" si="78"/>
        <v>2.6701920000000001</v>
      </c>
      <c r="M519" s="92">
        <f>VLOOKUP(H519,'Taux émission CO2e'!$A$20:$D$31,4,FALSE)</f>
        <v>6.7400000000000002E-2</v>
      </c>
      <c r="N519" s="105">
        <f t="shared" si="79"/>
        <v>2.6245762199999998</v>
      </c>
      <c r="O519" s="93">
        <f t="shared" si="80"/>
        <v>5.2947682199999999</v>
      </c>
      <c r="P519" s="92">
        <v>158</v>
      </c>
      <c r="Q519" s="92" t="s">
        <v>74</v>
      </c>
      <c r="R519" s="92" t="s">
        <v>55</v>
      </c>
      <c r="S519" s="20">
        <v>278.14499999999998</v>
      </c>
    </row>
    <row r="520" spans="1:19" x14ac:dyDescent="0.15">
      <c r="A520" s="90">
        <v>44608</v>
      </c>
      <c r="B520" s="90" t="str">
        <f t="shared" si="74"/>
        <v>février</v>
      </c>
      <c r="C520" s="90" t="str">
        <f t="shared" si="75"/>
        <v>2022</v>
      </c>
      <c r="D520" s="90" t="str">
        <f t="shared" si="76"/>
        <v>février2022</v>
      </c>
      <c r="E520" s="91" t="s">
        <v>445</v>
      </c>
      <c r="F520" s="91">
        <v>300</v>
      </c>
      <c r="G520" s="94">
        <f t="shared" si="77"/>
        <v>0.3</v>
      </c>
      <c r="H520" s="92" t="s">
        <v>45</v>
      </c>
      <c r="I520" s="96">
        <f t="shared" si="72"/>
        <v>0.3</v>
      </c>
      <c r="J520" s="96">
        <f t="shared" si="73"/>
        <v>0.7</v>
      </c>
      <c r="K520" s="92">
        <f>VLOOKUP(H520,'Taux émission CO2e'!$A$5:$D$16,4,FALSE)</f>
        <v>0.16</v>
      </c>
      <c r="L520" s="93">
        <f t="shared" si="78"/>
        <v>3.8354832000000001</v>
      </c>
      <c r="M520" s="92">
        <f>VLOOKUP(H520,'Taux émission CO2e'!$A$20:$D$31,4,FALSE)</f>
        <v>6.7400000000000002E-2</v>
      </c>
      <c r="N520" s="105">
        <f t="shared" si="79"/>
        <v>3.769960362</v>
      </c>
      <c r="O520" s="93">
        <f t="shared" si="80"/>
        <v>7.6054435619999996</v>
      </c>
      <c r="P520" s="92">
        <v>158</v>
      </c>
      <c r="Q520" s="92" t="s">
        <v>77</v>
      </c>
      <c r="R520" s="92" t="s">
        <v>55</v>
      </c>
      <c r="S520" s="20">
        <v>266.35300000000001</v>
      </c>
    </row>
    <row r="521" spans="1:19" x14ac:dyDescent="0.15">
      <c r="A521" s="90">
        <v>44609</v>
      </c>
      <c r="B521" s="90" t="str">
        <f t="shared" si="74"/>
        <v>février</v>
      </c>
      <c r="C521" s="90" t="str">
        <f t="shared" si="75"/>
        <v>2022</v>
      </c>
      <c r="D521" s="90" t="str">
        <f t="shared" si="76"/>
        <v>février2022</v>
      </c>
      <c r="E521" s="91" t="s">
        <v>446</v>
      </c>
      <c r="F521" s="91">
        <v>150</v>
      </c>
      <c r="G521" s="94">
        <f t="shared" si="77"/>
        <v>0.15</v>
      </c>
      <c r="H521" s="92" t="s">
        <v>46</v>
      </c>
      <c r="I521" s="96">
        <f t="shared" si="72"/>
        <v>0.3</v>
      </c>
      <c r="J521" s="96">
        <f t="shared" si="73"/>
        <v>0.7</v>
      </c>
      <c r="K521" s="92">
        <f>VLOOKUP(H521,'Taux émission CO2e'!$A$5:$D$16,4,FALSE)</f>
        <v>0.16</v>
      </c>
      <c r="L521" s="93">
        <f t="shared" si="78"/>
        <v>3.8989871999999997</v>
      </c>
      <c r="M521" s="92">
        <f>VLOOKUP(H521,'Taux émission CO2e'!$A$20:$D$31,4,FALSE)</f>
        <v>6.7400000000000002E-2</v>
      </c>
      <c r="N521" s="105">
        <f t="shared" si="79"/>
        <v>3.8323795019999998</v>
      </c>
      <c r="O521" s="93">
        <f t="shared" si="80"/>
        <v>7.731366701999999</v>
      </c>
      <c r="P521" s="92">
        <v>196</v>
      </c>
      <c r="Q521" s="92" t="s">
        <v>62</v>
      </c>
      <c r="R521" s="92" t="s">
        <v>55</v>
      </c>
      <c r="S521" s="20">
        <v>541.52599999999995</v>
      </c>
    </row>
    <row r="522" spans="1:19" x14ac:dyDescent="0.15">
      <c r="A522" s="90">
        <v>44610</v>
      </c>
      <c r="B522" s="90" t="str">
        <f t="shared" si="74"/>
        <v>février</v>
      </c>
      <c r="C522" s="90" t="str">
        <f t="shared" si="75"/>
        <v>2022</v>
      </c>
      <c r="D522" s="90" t="str">
        <f t="shared" si="76"/>
        <v>février2022</v>
      </c>
      <c r="E522" s="91" t="s">
        <v>447</v>
      </c>
      <c r="F522" s="91">
        <v>70</v>
      </c>
      <c r="G522" s="94">
        <f t="shared" si="77"/>
        <v>7.0000000000000007E-2</v>
      </c>
      <c r="H522" s="92" t="s">
        <v>45</v>
      </c>
      <c r="I522" s="96">
        <f t="shared" si="72"/>
        <v>0.3</v>
      </c>
      <c r="J522" s="96">
        <f t="shared" si="73"/>
        <v>0.7</v>
      </c>
      <c r="K522" s="92">
        <f>VLOOKUP(H522,'Taux émission CO2e'!$A$5:$D$16,4,FALSE)</f>
        <v>0.16</v>
      </c>
      <c r="L522" s="93">
        <f t="shared" si="78"/>
        <v>0.15666672000000004</v>
      </c>
      <c r="M522" s="92">
        <f>VLOOKUP(H522,'Taux émission CO2e'!$A$20:$D$31,4,FALSE)</f>
        <v>6.7400000000000002E-2</v>
      </c>
      <c r="N522" s="105">
        <f t="shared" si="79"/>
        <v>0.15399033020000003</v>
      </c>
      <c r="O522" s="93">
        <f t="shared" si="80"/>
        <v>0.31065705020000006</v>
      </c>
      <c r="P522" s="92">
        <v>80</v>
      </c>
      <c r="Q522" s="92" t="s">
        <v>58</v>
      </c>
      <c r="R522" s="92" t="s">
        <v>421</v>
      </c>
      <c r="S522" s="20">
        <v>46.627000000000002</v>
      </c>
    </row>
    <row r="523" spans="1:19" x14ac:dyDescent="0.15">
      <c r="A523" s="90">
        <v>44610</v>
      </c>
      <c r="B523" s="90" t="str">
        <f t="shared" si="74"/>
        <v>février</v>
      </c>
      <c r="C523" s="90" t="str">
        <f t="shared" si="75"/>
        <v>2022</v>
      </c>
      <c r="D523" s="90" t="str">
        <f t="shared" si="76"/>
        <v>février2022</v>
      </c>
      <c r="E523" s="91" t="s">
        <v>448</v>
      </c>
      <c r="F523" s="91">
        <v>140</v>
      </c>
      <c r="G523" s="94">
        <f t="shared" si="77"/>
        <v>0.14000000000000001</v>
      </c>
      <c r="H523" s="92" t="s">
        <v>45</v>
      </c>
      <c r="I523" s="96">
        <f t="shared" si="72"/>
        <v>0.3</v>
      </c>
      <c r="J523" s="96">
        <f t="shared" si="73"/>
        <v>0.7</v>
      </c>
      <c r="K523" s="92">
        <f>VLOOKUP(H523,'Taux émission CO2e'!$A$5:$D$16,4,FALSE)</f>
        <v>0.16</v>
      </c>
      <c r="L523" s="93">
        <f t="shared" si="78"/>
        <v>1.6719158400000003</v>
      </c>
      <c r="M523" s="92">
        <f>VLOOKUP(H523,'Taux émission CO2e'!$A$20:$D$31,4,FALSE)</f>
        <v>6.7400000000000002E-2</v>
      </c>
      <c r="N523" s="105">
        <f t="shared" si="79"/>
        <v>1.6433539444</v>
      </c>
      <c r="O523" s="93">
        <f t="shared" si="80"/>
        <v>3.3152697844000003</v>
      </c>
      <c r="P523" s="92">
        <v>100</v>
      </c>
      <c r="Q523" s="92" t="s">
        <v>58</v>
      </c>
      <c r="R523" s="92" t="s">
        <v>82</v>
      </c>
      <c r="S523" s="20">
        <v>248.797</v>
      </c>
    </row>
    <row r="524" spans="1:19" x14ac:dyDescent="0.15">
      <c r="A524" s="90">
        <v>44610</v>
      </c>
      <c r="B524" s="90" t="str">
        <f t="shared" si="74"/>
        <v>février</v>
      </c>
      <c r="C524" s="90" t="str">
        <f t="shared" si="75"/>
        <v>2022</v>
      </c>
      <c r="D524" s="90" t="str">
        <f t="shared" si="76"/>
        <v>février2022</v>
      </c>
      <c r="E524" s="91" t="s">
        <v>449</v>
      </c>
      <c r="F524" s="91">
        <v>120</v>
      </c>
      <c r="G524" s="94">
        <f t="shared" si="77"/>
        <v>0.12</v>
      </c>
      <c r="H524" s="92" t="s">
        <v>45</v>
      </c>
      <c r="I524" s="96">
        <f t="shared" si="72"/>
        <v>0.3</v>
      </c>
      <c r="J524" s="96">
        <f t="shared" si="73"/>
        <v>0.7</v>
      </c>
      <c r="K524" s="92">
        <f>VLOOKUP(H524,'Taux émission CO2e'!$A$5:$D$16,4,FALSE)</f>
        <v>0.16</v>
      </c>
      <c r="L524" s="93">
        <f t="shared" si="78"/>
        <v>1.5295391999999999</v>
      </c>
      <c r="M524" s="92">
        <f>VLOOKUP(H524,'Taux émission CO2e'!$A$20:$D$31,4,FALSE)</f>
        <v>6.7400000000000002E-2</v>
      </c>
      <c r="N524" s="105">
        <f t="shared" si="79"/>
        <v>1.503409572</v>
      </c>
      <c r="O524" s="93">
        <f t="shared" si="80"/>
        <v>3.0329487720000001</v>
      </c>
      <c r="P524" s="92">
        <v>100</v>
      </c>
      <c r="Q524" s="92" t="s">
        <v>58</v>
      </c>
      <c r="R524" s="92" t="s">
        <v>71</v>
      </c>
      <c r="S524" s="20">
        <v>265.54500000000002</v>
      </c>
    </row>
    <row r="525" spans="1:19" x14ac:dyDescent="0.15">
      <c r="A525" s="90">
        <v>44610</v>
      </c>
      <c r="B525" s="90" t="str">
        <f t="shared" si="74"/>
        <v>février</v>
      </c>
      <c r="C525" s="90" t="str">
        <f t="shared" si="75"/>
        <v>2022</v>
      </c>
      <c r="D525" s="90" t="str">
        <f t="shared" si="76"/>
        <v>février2022</v>
      </c>
      <c r="E525" s="91" t="s">
        <v>450</v>
      </c>
      <c r="F525" s="91">
        <v>180</v>
      </c>
      <c r="G525" s="94">
        <f t="shared" si="77"/>
        <v>0.18</v>
      </c>
      <c r="H525" s="92" t="s">
        <v>45</v>
      </c>
      <c r="I525" s="96">
        <f t="shared" si="72"/>
        <v>0.3</v>
      </c>
      <c r="J525" s="96">
        <f t="shared" si="73"/>
        <v>0.7</v>
      </c>
      <c r="K525" s="92">
        <f>VLOOKUP(H525,'Taux émission CO2e'!$A$5:$D$16,4,FALSE)</f>
        <v>0.16</v>
      </c>
      <c r="L525" s="93">
        <f t="shared" si="78"/>
        <v>2.1496060799999999</v>
      </c>
      <c r="M525" s="92">
        <f>VLOOKUP(H525,'Taux émission CO2e'!$A$20:$D$31,4,FALSE)</f>
        <v>6.7400000000000002E-2</v>
      </c>
      <c r="N525" s="105">
        <f t="shared" si="79"/>
        <v>2.1128836427999995</v>
      </c>
      <c r="O525" s="93">
        <f t="shared" si="80"/>
        <v>4.2624897227999998</v>
      </c>
      <c r="P525" s="92">
        <v>100</v>
      </c>
      <c r="Q525" s="92" t="s">
        <v>58</v>
      </c>
      <c r="R525" s="92" t="s">
        <v>82</v>
      </c>
      <c r="S525" s="20">
        <v>248.797</v>
      </c>
    </row>
    <row r="526" spans="1:19" x14ac:dyDescent="0.15">
      <c r="A526" s="90">
        <v>44610</v>
      </c>
      <c r="B526" s="90" t="str">
        <f t="shared" si="74"/>
        <v>février</v>
      </c>
      <c r="C526" s="90" t="str">
        <f t="shared" si="75"/>
        <v>2022</v>
      </c>
      <c r="D526" s="90" t="str">
        <f t="shared" si="76"/>
        <v>février2022</v>
      </c>
      <c r="E526" s="91" t="s">
        <v>451</v>
      </c>
      <c r="F526" s="91">
        <v>200</v>
      </c>
      <c r="G526" s="94">
        <f t="shared" si="77"/>
        <v>0.2</v>
      </c>
      <c r="H526" s="92" t="s">
        <v>46</v>
      </c>
      <c r="I526" s="96">
        <f t="shared" si="72"/>
        <v>0.3</v>
      </c>
      <c r="J526" s="96">
        <f t="shared" si="73"/>
        <v>0.7</v>
      </c>
      <c r="K526" s="92">
        <f>VLOOKUP(H526,'Taux émission CO2e'!$A$5:$D$16,4,FALSE)</f>
        <v>0.16</v>
      </c>
      <c r="L526" s="93">
        <f t="shared" si="78"/>
        <v>5.1953279999999999</v>
      </c>
      <c r="M526" s="92">
        <f>VLOOKUP(H526,'Taux émission CO2e'!$A$20:$D$31,4,FALSE)</f>
        <v>6.7400000000000002E-2</v>
      </c>
      <c r="N526" s="105">
        <f t="shared" si="79"/>
        <v>5.1065744799999999</v>
      </c>
      <c r="O526" s="93">
        <f t="shared" si="80"/>
        <v>10.301902479999999</v>
      </c>
      <c r="P526" s="92">
        <v>123</v>
      </c>
      <c r="Q526" s="92" t="s">
        <v>58</v>
      </c>
      <c r="R526" s="92" t="s">
        <v>65</v>
      </c>
      <c r="S526" s="20">
        <v>541.17999999999995</v>
      </c>
    </row>
    <row r="527" spans="1:19" x14ac:dyDescent="0.15">
      <c r="A527" s="90">
        <v>44610</v>
      </c>
      <c r="B527" s="90" t="str">
        <f t="shared" si="74"/>
        <v>février</v>
      </c>
      <c r="C527" s="90" t="str">
        <f t="shared" si="75"/>
        <v>2022</v>
      </c>
      <c r="D527" s="90" t="str">
        <f t="shared" si="76"/>
        <v>février2022</v>
      </c>
      <c r="E527" s="91" t="s">
        <v>452</v>
      </c>
      <c r="F527" s="91">
        <v>200</v>
      </c>
      <c r="G527" s="94">
        <f t="shared" si="77"/>
        <v>0.2</v>
      </c>
      <c r="H527" s="92" t="s">
        <v>46</v>
      </c>
      <c r="I527" s="96">
        <f t="shared" si="72"/>
        <v>0.3</v>
      </c>
      <c r="J527" s="96">
        <f t="shared" si="73"/>
        <v>0.7</v>
      </c>
      <c r="K527" s="92">
        <f>VLOOKUP(H527,'Taux émission CO2e'!$A$5:$D$16,4,FALSE)</f>
        <v>0.16</v>
      </c>
      <c r="L527" s="93">
        <f t="shared" si="78"/>
        <v>2.4772128000000002</v>
      </c>
      <c r="M527" s="92">
        <f>VLOOKUP(H527,'Taux émission CO2e'!$A$20:$D$31,4,FALSE)</f>
        <v>6.7400000000000002E-2</v>
      </c>
      <c r="N527" s="105">
        <f t="shared" si="79"/>
        <v>2.4348937479999999</v>
      </c>
      <c r="O527" s="93">
        <f t="shared" si="80"/>
        <v>4.9121065480000006</v>
      </c>
      <c r="P527" s="92">
        <v>131</v>
      </c>
      <c r="Q527" s="92" t="s">
        <v>102</v>
      </c>
      <c r="R527" s="92" t="s">
        <v>55</v>
      </c>
      <c r="S527" s="20">
        <v>258.04300000000001</v>
      </c>
    </row>
    <row r="528" spans="1:19" x14ac:dyDescent="0.15">
      <c r="A528" s="90">
        <v>44610</v>
      </c>
      <c r="B528" s="90" t="str">
        <f t="shared" si="74"/>
        <v>février</v>
      </c>
      <c r="C528" s="90" t="str">
        <f t="shared" si="75"/>
        <v>2022</v>
      </c>
      <c r="D528" s="90" t="str">
        <f t="shared" si="76"/>
        <v>février2022</v>
      </c>
      <c r="E528" s="91" t="s">
        <v>453</v>
      </c>
      <c r="F528" s="91">
        <v>160</v>
      </c>
      <c r="G528" s="94">
        <f t="shared" si="77"/>
        <v>0.16</v>
      </c>
      <c r="H528" s="92" t="s">
        <v>45</v>
      </c>
      <c r="I528" s="96">
        <f t="shared" si="72"/>
        <v>0.3</v>
      </c>
      <c r="J528" s="96">
        <f t="shared" si="73"/>
        <v>0.7</v>
      </c>
      <c r="K528" s="92">
        <f>VLOOKUP(H528,'Taux émission CO2e'!$A$5:$D$16,4,FALSE)</f>
        <v>0.16</v>
      </c>
      <c r="L528" s="93">
        <f t="shared" si="78"/>
        <v>4.1396275200000003</v>
      </c>
      <c r="M528" s="92">
        <f>VLOOKUP(H528,'Taux émission CO2e'!$A$20:$D$31,4,FALSE)</f>
        <v>6.7400000000000002E-2</v>
      </c>
      <c r="N528" s="105">
        <f t="shared" si="79"/>
        <v>4.0689088832000007</v>
      </c>
      <c r="O528" s="93">
        <f t="shared" si="80"/>
        <v>8.2085364032000001</v>
      </c>
      <c r="P528" s="92">
        <v>133</v>
      </c>
      <c r="Q528" s="92" t="s">
        <v>58</v>
      </c>
      <c r="R528" s="92" t="s">
        <v>405</v>
      </c>
      <c r="S528" s="20">
        <v>539.01400000000001</v>
      </c>
    </row>
    <row r="529" spans="1:19" x14ac:dyDescent="0.15">
      <c r="A529" s="90">
        <v>44610</v>
      </c>
      <c r="B529" s="90" t="str">
        <f t="shared" si="74"/>
        <v>février</v>
      </c>
      <c r="C529" s="90" t="str">
        <f t="shared" si="75"/>
        <v>2022</v>
      </c>
      <c r="D529" s="90" t="str">
        <f t="shared" si="76"/>
        <v>février2022</v>
      </c>
      <c r="E529" s="91" t="s">
        <v>454</v>
      </c>
      <c r="F529" s="91">
        <v>120</v>
      </c>
      <c r="G529" s="94">
        <f t="shared" si="77"/>
        <v>0.12</v>
      </c>
      <c r="H529" s="92" t="s">
        <v>45</v>
      </c>
      <c r="I529" s="96">
        <f t="shared" si="72"/>
        <v>0.3</v>
      </c>
      <c r="J529" s="96">
        <f t="shared" si="73"/>
        <v>0.7</v>
      </c>
      <c r="K529" s="92">
        <f>VLOOKUP(H529,'Taux émission CO2e'!$A$5:$D$16,4,FALSE)</f>
        <v>0.16</v>
      </c>
      <c r="L529" s="93">
        <f t="shared" si="78"/>
        <v>2.9709964799999997</v>
      </c>
      <c r="M529" s="92">
        <f>VLOOKUP(H529,'Taux émission CO2e'!$A$20:$D$31,4,FALSE)</f>
        <v>6.7400000000000002E-2</v>
      </c>
      <c r="N529" s="105">
        <f t="shared" si="79"/>
        <v>2.9202419568</v>
      </c>
      <c r="O529" s="93">
        <f t="shared" si="80"/>
        <v>5.8912384368000001</v>
      </c>
      <c r="P529" s="92">
        <v>140</v>
      </c>
      <c r="Q529" s="92" t="s">
        <v>58</v>
      </c>
      <c r="R529" s="92" t="s">
        <v>57</v>
      </c>
      <c r="S529" s="20">
        <v>515.798</v>
      </c>
    </row>
    <row r="530" spans="1:19" x14ac:dyDescent="0.15">
      <c r="A530" s="90">
        <v>44610</v>
      </c>
      <c r="B530" s="90" t="str">
        <f t="shared" si="74"/>
        <v>février</v>
      </c>
      <c r="C530" s="90" t="str">
        <f t="shared" si="75"/>
        <v>2022</v>
      </c>
      <c r="D530" s="90" t="str">
        <f t="shared" si="76"/>
        <v>février2022</v>
      </c>
      <c r="E530" s="91" t="s">
        <v>455</v>
      </c>
      <c r="F530" s="91">
        <v>180</v>
      </c>
      <c r="G530" s="94">
        <f t="shared" si="77"/>
        <v>0.18</v>
      </c>
      <c r="H530" s="92" t="s">
        <v>45</v>
      </c>
      <c r="I530" s="96">
        <f t="shared" si="72"/>
        <v>0.3</v>
      </c>
      <c r="J530" s="96">
        <f t="shared" si="73"/>
        <v>0.7</v>
      </c>
      <c r="K530" s="92">
        <f>VLOOKUP(H530,'Taux émission CO2e'!$A$5:$D$16,4,FALSE)</f>
        <v>0.16</v>
      </c>
      <c r="L530" s="93">
        <f t="shared" si="78"/>
        <v>4.4564947200000002</v>
      </c>
      <c r="M530" s="92">
        <f>VLOOKUP(H530,'Taux émission CO2e'!$A$20:$D$31,4,FALSE)</f>
        <v>6.7400000000000002E-2</v>
      </c>
      <c r="N530" s="105">
        <f t="shared" si="79"/>
        <v>4.3803629351999991</v>
      </c>
      <c r="O530" s="93">
        <f t="shared" si="80"/>
        <v>8.8368576551999993</v>
      </c>
      <c r="P530" s="92">
        <v>140</v>
      </c>
      <c r="Q530" s="92" t="s">
        <v>58</v>
      </c>
      <c r="R530" s="92" t="s">
        <v>57</v>
      </c>
      <c r="S530" s="20">
        <v>515.798</v>
      </c>
    </row>
    <row r="531" spans="1:19" x14ac:dyDescent="0.15">
      <c r="A531" s="90">
        <v>44610</v>
      </c>
      <c r="B531" s="90" t="str">
        <f t="shared" si="74"/>
        <v>février</v>
      </c>
      <c r="C531" s="90" t="str">
        <f t="shared" si="75"/>
        <v>2022</v>
      </c>
      <c r="D531" s="90" t="str">
        <f t="shared" si="76"/>
        <v>février2022</v>
      </c>
      <c r="E531" s="91" t="s">
        <v>456</v>
      </c>
      <c r="F531" s="91">
        <v>100</v>
      </c>
      <c r="G531" s="94">
        <f t="shared" si="77"/>
        <v>0.1</v>
      </c>
      <c r="H531" s="92" t="s">
        <v>46</v>
      </c>
      <c r="I531" s="96">
        <f t="shared" si="72"/>
        <v>0.3</v>
      </c>
      <c r="J531" s="96">
        <f t="shared" si="73"/>
        <v>0.7</v>
      </c>
      <c r="K531" s="92">
        <f>VLOOKUP(H531,'Taux émission CO2e'!$A$5:$D$16,4,FALSE)</f>
        <v>0.16</v>
      </c>
      <c r="L531" s="93">
        <f t="shared" si="78"/>
        <v>3.5541360000000006</v>
      </c>
      <c r="M531" s="92">
        <f>VLOOKUP(H531,'Taux émission CO2e'!$A$20:$D$31,4,FALSE)</f>
        <v>6.7400000000000002E-2</v>
      </c>
      <c r="N531" s="105">
        <f t="shared" si="79"/>
        <v>3.4934195100000003</v>
      </c>
      <c r="O531" s="93">
        <f t="shared" si="80"/>
        <v>7.0475555100000005</v>
      </c>
      <c r="P531" s="92">
        <v>159</v>
      </c>
      <c r="Q531" s="92" t="s">
        <v>58</v>
      </c>
      <c r="R531" s="92" t="s">
        <v>59</v>
      </c>
      <c r="S531" s="20">
        <v>740.44500000000005</v>
      </c>
    </row>
    <row r="532" spans="1:19" x14ac:dyDescent="0.15">
      <c r="A532" s="90">
        <v>44610</v>
      </c>
      <c r="B532" s="90" t="str">
        <f t="shared" si="74"/>
        <v>février</v>
      </c>
      <c r="C532" s="90" t="str">
        <f t="shared" si="75"/>
        <v>2022</v>
      </c>
      <c r="D532" s="90" t="str">
        <f t="shared" si="76"/>
        <v>février2022</v>
      </c>
      <c r="E532" s="91" t="s">
        <v>457</v>
      </c>
      <c r="F532" s="91">
        <v>150</v>
      </c>
      <c r="G532" s="94">
        <f t="shared" si="77"/>
        <v>0.15</v>
      </c>
      <c r="H532" s="92" t="s">
        <v>45</v>
      </c>
      <c r="I532" s="96">
        <f t="shared" si="72"/>
        <v>0.3</v>
      </c>
      <c r="J532" s="96">
        <f t="shared" si="73"/>
        <v>0.7</v>
      </c>
      <c r="K532" s="92">
        <f>VLOOKUP(H532,'Taux émission CO2e'!$A$5:$D$16,4,FALSE)</f>
        <v>0.16</v>
      </c>
      <c r="L532" s="93">
        <f t="shared" si="78"/>
        <v>1.8020015999999999</v>
      </c>
      <c r="M532" s="92">
        <f>VLOOKUP(H532,'Taux émission CO2e'!$A$20:$D$31,4,FALSE)</f>
        <v>6.7400000000000002E-2</v>
      </c>
      <c r="N532" s="105">
        <f t="shared" si="79"/>
        <v>1.7712174059999999</v>
      </c>
      <c r="O532" s="93">
        <f t="shared" si="80"/>
        <v>3.5732190059999995</v>
      </c>
      <c r="P532" s="92">
        <v>159</v>
      </c>
      <c r="Q532" s="92" t="s">
        <v>89</v>
      </c>
      <c r="R532" s="92" t="s">
        <v>55</v>
      </c>
      <c r="S532" s="20">
        <v>250.27799999999999</v>
      </c>
    </row>
    <row r="533" spans="1:19" x14ac:dyDescent="0.15">
      <c r="A533" s="90">
        <v>44613</v>
      </c>
      <c r="B533" s="90" t="str">
        <f t="shared" si="74"/>
        <v>février</v>
      </c>
      <c r="C533" s="90" t="str">
        <f t="shared" si="75"/>
        <v>2022</v>
      </c>
      <c r="D533" s="90" t="str">
        <f t="shared" si="76"/>
        <v>février2022</v>
      </c>
      <c r="E533" s="91" t="s">
        <v>458</v>
      </c>
      <c r="F533" s="91">
        <v>90</v>
      </c>
      <c r="G533" s="94">
        <f t="shared" si="77"/>
        <v>0.09</v>
      </c>
      <c r="H533" s="92" t="s">
        <v>45</v>
      </c>
      <c r="I533" s="96">
        <f t="shared" si="72"/>
        <v>0.3</v>
      </c>
      <c r="J533" s="96">
        <f t="shared" si="73"/>
        <v>0.7</v>
      </c>
      <c r="K533" s="92">
        <f>VLOOKUP(H533,'Taux émission CO2e'!$A$5:$D$16,4,FALSE)</f>
        <v>0.16</v>
      </c>
      <c r="L533" s="93">
        <f t="shared" si="78"/>
        <v>1.1498371199999999</v>
      </c>
      <c r="M533" s="92">
        <f>VLOOKUP(H533,'Taux émission CO2e'!$A$20:$D$31,4,FALSE)</f>
        <v>6.7400000000000002E-2</v>
      </c>
      <c r="N533" s="105">
        <f t="shared" si="79"/>
        <v>1.1301940691999999</v>
      </c>
      <c r="O533" s="93">
        <f t="shared" si="80"/>
        <v>2.2800311891999998</v>
      </c>
      <c r="P533" s="92">
        <v>100</v>
      </c>
      <c r="Q533" s="92" t="s">
        <v>58</v>
      </c>
      <c r="R533" s="92" t="s">
        <v>53</v>
      </c>
      <c r="S533" s="20">
        <v>266.166</v>
      </c>
    </row>
    <row r="534" spans="1:19" x14ac:dyDescent="0.15">
      <c r="A534" s="90">
        <v>44613</v>
      </c>
      <c r="B534" s="90" t="str">
        <f t="shared" si="74"/>
        <v>février</v>
      </c>
      <c r="C534" s="90" t="str">
        <f t="shared" si="75"/>
        <v>2022</v>
      </c>
      <c r="D534" s="90" t="str">
        <f t="shared" si="76"/>
        <v>février2022</v>
      </c>
      <c r="E534" s="91" t="s">
        <v>459</v>
      </c>
      <c r="F534" s="91">
        <v>90</v>
      </c>
      <c r="G534" s="94">
        <f t="shared" si="77"/>
        <v>0.09</v>
      </c>
      <c r="H534" s="92" t="s">
        <v>45</v>
      </c>
      <c r="I534" s="96">
        <f t="shared" si="72"/>
        <v>0.3</v>
      </c>
      <c r="J534" s="96">
        <f t="shared" si="73"/>
        <v>0.7</v>
      </c>
      <c r="K534" s="92">
        <f>VLOOKUP(H534,'Taux émission CO2e'!$A$5:$D$16,4,FALSE)</f>
        <v>0.16</v>
      </c>
      <c r="L534" s="93">
        <f t="shared" si="78"/>
        <v>1.0748030399999999</v>
      </c>
      <c r="M534" s="92">
        <f>VLOOKUP(H534,'Taux émission CO2e'!$A$20:$D$31,4,FALSE)</f>
        <v>6.7400000000000002E-2</v>
      </c>
      <c r="N534" s="105">
        <f t="shared" si="79"/>
        <v>1.0564418213999998</v>
      </c>
      <c r="O534" s="93">
        <f t="shared" si="80"/>
        <v>2.1312448613999999</v>
      </c>
      <c r="P534" s="92">
        <v>100</v>
      </c>
      <c r="Q534" s="92" t="s">
        <v>58</v>
      </c>
      <c r="R534" s="92" t="s">
        <v>82</v>
      </c>
      <c r="S534" s="20">
        <v>248.797</v>
      </c>
    </row>
    <row r="535" spans="1:19" x14ac:dyDescent="0.15">
      <c r="A535" s="90">
        <v>44613</v>
      </c>
      <c r="B535" s="90" t="str">
        <f t="shared" si="74"/>
        <v>février</v>
      </c>
      <c r="C535" s="90" t="str">
        <f t="shared" si="75"/>
        <v>2022</v>
      </c>
      <c r="D535" s="90" t="str">
        <f t="shared" si="76"/>
        <v>février2022</v>
      </c>
      <c r="E535" s="91" t="s">
        <v>460</v>
      </c>
      <c r="F535" s="91">
        <v>210</v>
      </c>
      <c r="G535" s="94">
        <f t="shared" si="77"/>
        <v>0.21</v>
      </c>
      <c r="H535" s="92" t="s">
        <v>38</v>
      </c>
      <c r="I535" s="96">
        <f t="shared" si="72"/>
        <v>1</v>
      </c>
      <c r="J535" s="96">
        <f t="shared" si="73"/>
        <v>0</v>
      </c>
      <c r="K535" s="92">
        <f>VLOOKUP(H535,'Taux émission CO2e'!$A$5:$D$16,4,FALSE)</f>
        <v>0.24099999999999999</v>
      </c>
      <c r="L535" s="93">
        <f t="shared" si="78"/>
        <v>1.7250924599999997</v>
      </c>
      <c r="M535" s="92">
        <f>VLOOKUP(H535,'Taux émission CO2e'!$A$20:$D$31,4,FALSE)</f>
        <v>0</v>
      </c>
      <c r="N535" s="105">
        <f t="shared" si="79"/>
        <v>0</v>
      </c>
      <c r="O535" s="93">
        <f t="shared" si="80"/>
        <v>1.7250924599999997</v>
      </c>
      <c r="P535" s="92">
        <v>100</v>
      </c>
      <c r="Q535" s="92" t="s">
        <v>58</v>
      </c>
      <c r="R535" s="92" t="s">
        <v>98</v>
      </c>
      <c r="S535" s="20">
        <v>34.085999999999999</v>
      </c>
    </row>
    <row r="536" spans="1:19" x14ac:dyDescent="0.15">
      <c r="A536" s="90">
        <v>44613</v>
      </c>
      <c r="B536" s="90" t="str">
        <f t="shared" si="74"/>
        <v>février</v>
      </c>
      <c r="C536" s="90" t="str">
        <f t="shared" si="75"/>
        <v>2022</v>
      </c>
      <c r="D536" s="90" t="str">
        <f t="shared" si="76"/>
        <v>février2022</v>
      </c>
      <c r="E536" s="91" t="s">
        <v>461</v>
      </c>
      <c r="F536" s="91">
        <v>100</v>
      </c>
      <c r="G536" s="94">
        <f t="shared" si="77"/>
        <v>0.1</v>
      </c>
      <c r="H536" s="92" t="s">
        <v>45</v>
      </c>
      <c r="I536" s="96">
        <f t="shared" si="72"/>
        <v>0.3</v>
      </c>
      <c r="J536" s="96">
        <f t="shared" si="73"/>
        <v>0.7</v>
      </c>
      <c r="K536" s="92">
        <f>VLOOKUP(H536,'Taux émission CO2e'!$A$5:$D$16,4,FALSE)</f>
        <v>0.16</v>
      </c>
      <c r="L536" s="93">
        <f t="shared" si="78"/>
        <v>0.25079520000000005</v>
      </c>
      <c r="M536" s="92">
        <f>VLOOKUP(H536,'Taux émission CO2e'!$A$20:$D$31,4,FALSE)</f>
        <v>6.7400000000000002E-2</v>
      </c>
      <c r="N536" s="105">
        <f t="shared" si="79"/>
        <v>0.24651078200000001</v>
      </c>
      <c r="O536" s="93">
        <f t="shared" si="80"/>
        <v>0.49730598200000009</v>
      </c>
      <c r="P536" s="92">
        <v>110</v>
      </c>
      <c r="Q536" s="92" t="s">
        <v>153</v>
      </c>
      <c r="R536" s="92" t="s">
        <v>55</v>
      </c>
      <c r="S536" s="20">
        <v>52.249000000000002</v>
      </c>
    </row>
    <row r="537" spans="1:19" x14ac:dyDescent="0.15">
      <c r="A537" s="90">
        <v>44613</v>
      </c>
      <c r="B537" s="90" t="str">
        <f t="shared" si="74"/>
        <v>février</v>
      </c>
      <c r="C537" s="90" t="str">
        <f t="shared" si="75"/>
        <v>2022</v>
      </c>
      <c r="D537" s="90" t="str">
        <f t="shared" si="76"/>
        <v>février2022</v>
      </c>
      <c r="E537" s="91" t="s">
        <v>462</v>
      </c>
      <c r="F537" s="91">
        <v>170</v>
      </c>
      <c r="G537" s="94">
        <f t="shared" si="77"/>
        <v>0.17</v>
      </c>
      <c r="H537" s="92" t="s">
        <v>45</v>
      </c>
      <c r="I537" s="96">
        <f t="shared" si="72"/>
        <v>0.3</v>
      </c>
      <c r="J537" s="96">
        <f t="shared" si="73"/>
        <v>0.7</v>
      </c>
      <c r="K537" s="92">
        <f>VLOOKUP(H537,'Taux émission CO2e'!$A$5:$D$16,4,FALSE)</f>
        <v>0.16</v>
      </c>
      <c r="L537" s="93">
        <f t="shared" si="78"/>
        <v>4.2089116799999999</v>
      </c>
      <c r="M537" s="92">
        <f>VLOOKUP(H537,'Taux émission CO2e'!$A$20:$D$31,4,FALSE)</f>
        <v>6.7400000000000002E-2</v>
      </c>
      <c r="N537" s="105">
        <f t="shared" si="79"/>
        <v>4.1370094388000007</v>
      </c>
      <c r="O537" s="93">
        <f t="shared" si="80"/>
        <v>8.3459211187999998</v>
      </c>
      <c r="P537" s="92">
        <v>182</v>
      </c>
      <c r="Q537" s="92" t="s">
        <v>58</v>
      </c>
      <c r="R537" s="92" t="s">
        <v>57</v>
      </c>
      <c r="S537" s="20">
        <v>515.798</v>
      </c>
    </row>
    <row r="538" spans="1:19" x14ac:dyDescent="0.15">
      <c r="A538" s="90">
        <v>44613</v>
      </c>
      <c r="B538" s="90" t="str">
        <f t="shared" si="74"/>
        <v>février</v>
      </c>
      <c r="C538" s="90" t="str">
        <f t="shared" si="75"/>
        <v>2022</v>
      </c>
      <c r="D538" s="90" t="str">
        <f t="shared" si="76"/>
        <v>février2022</v>
      </c>
      <c r="E538" s="91" t="s">
        <v>463</v>
      </c>
      <c r="F538" s="91">
        <v>200</v>
      </c>
      <c r="G538" s="94">
        <f t="shared" si="77"/>
        <v>0.2</v>
      </c>
      <c r="H538" s="92" t="s">
        <v>46</v>
      </c>
      <c r="I538" s="96">
        <f t="shared" si="72"/>
        <v>0.3</v>
      </c>
      <c r="J538" s="96">
        <f t="shared" si="73"/>
        <v>0.7</v>
      </c>
      <c r="K538" s="92">
        <f>VLOOKUP(H538,'Taux émission CO2e'!$A$5:$D$16,4,FALSE)</f>
        <v>0.16</v>
      </c>
      <c r="L538" s="93">
        <f t="shared" si="78"/>
        <v>7.8194112000000011</v>
      </c>
      <c r="M538" s="92">
        <f>VLOOKUP(H538,'Taux émission CO2e'!$A$20:$D$31,4,FALSE)</f>
        <v>6.7400000000000002E-2</v>
      </c>
      <c r="N538" s="105">
        <f t="shared" si="79"/>
        <v>7.6858295920000002</v>
      </c>
      <c r="O538" s="93">
        <f t="shared" si="80"/>
        <v>15.505240792000002</v>
      </c>
      <c r="P538" s="92">
        <v>210</v>
      </c>
      <c r="Q538" s="92" t="s">
        <v>62</v>
      </c>
      <c r="R538" s="92" t="s">
        <v>53</v>
      </c>
      <c r="S538" s="20">
        <v>814.52200000000005</v>
      </c>
    </row>
    <row r="539" spans="1:19" x14ac:dyDescent="0.15">
      <c r="A539" s="90">
        <v>44613</v>
      </c>
      <c r="B539" s="90" t="str">
        <f t="shared" si="74"/>
        <v>février</v>
      </c>
      <c r="C539" s="90" t="str">
        <f t="shared" si="75"/>
        <v>2022</v>
      </c>
      <c r="D539" s="90" t="str">
        <f t="shared" si="76"/>
        <v>février2022</v>
      </c>
      <c r="E539" s="91" t="s">
        <v>464</v>
      </c>
      <c r="F539" s="91">
        <v>300</v>
      </c>
      <c r="G539" s="94">
        <f t="shared" si="77"/>
        <v>0.3</v>
      </c>
      <c r="H539" s="92" t="s">
        <v>45</v>
      </c>
      <c r="I539" s="96">
        <f t="shared" si="72"/>
        <v>0.3</v>
      </c>
      <c r="J539" s="96">
        <f t="shared" si="73"/>
        <v>0.7</v>
      </c>
      <c r="K539" s="92">
        <f>VLOOKUP(H539,'Taux émission CO2e'!$A$5:$D$16,4,FALSE)</f>
        <v>0.16</v>
      </c>
      <c r="L539" s="93">
        <f t="shared" si="78"/>
        <v>7.4372256000000005</v>
      </c>
      <c r="M539" s="92">
        <f>VLOOKUP(H539,'Taux émission CO2e'!$A$20:$D$31,4,FALSE)</f>
        <v>6.7400000000000002E-2</v>
      </c>
      <c r="N539" s="105">
        <f t="shared" si="79"/>
        <v>7.3101729960000004</v>
      </c>
      <c r="O539" s="93">
        <f t="shared" si="80"/>
        <v>14.747398596</v>
      </c>
      <c r="P539" s="92">
        <v>253</v>
      </c>
      <c r="Q539" s="92" t="s">
        <v>52</v>
      </c>
      <c r="R539" s="92" t="s">
        <v>55</v>
      </c>
      <c r="S539" s="20">
        <v>516.47400000000005</v>
      </c>
    </row>
    <row r="540" spans="1:19" x14ac:dyDescent="0.15">
      <c r="A540" s="90">
        <v>44613</v>
      </c>
      <c r="B540" s="90" t="str">
        <f t="shared" si="74"/>
        <v>février</v>
      </c>
      <c r="C540" s="90" t="str">
        <f t="shared" si="75"/>
        <v>2022</v>
      </c>
      <c r="D540" s="90" t="str">
        <f t="shared" si="76"/>
        <v>février2022</v>
      </c>
      <c r="E540" s="91" t="s">
        <v>465</v>
      </c>
      <c r="F540" s="91">
        <v>340</v>
      </c>
      <c r="G540" s="94">
        <f t="shared" si="77"/>
        <v>0.34</v>
      </c>
      <c r="H540" s="92" t="s">
        <v>46</v>
      </c>
      <c r="I540" s="96">
        <f t="shared" si="72"/>
        <v>0.3</v>
      </c>
      <c r="J540" s="96">
        <f t="shared" si="73"/>
        <v>0.7</v>
      </c>
      <c r="K540" s="92">
        <f>VLOOKUP(H540,'Taux émission CO2e'!$A$5:$D$16,4,FALSE)</f>
        <v>0.16</v>
      </c>
      <c r="L540" s="93">
        <f t="shared" si="78"/>
        <v>12.084062400000002</v>
      </c>
      <c r="M540" s="92">
        <f>VLOOKUP(H540,'Taux émission CO2e'!$A$20:$D$31,4,FALSE)</f>
        <v>6.7400000000000002E-2</v>
      </c>
      <c r="N540" s="105">
        <f t="shared" si="79"/>
        <v>11.877626334000002</v>
      </c>
      <c r="O540" s="93">
        <f t="shared" si="80"/>
        <v>23.961688734000006</v>
      </c>
      <c r="P540" s="92">
        <v>285</v>
      </c>
      <c r="Q540" s="92" t="s">
        <v>58</v>
      </c>
      <c r="R540" s="92" t="s">
        <v>59</v>
      </c>
      <c r="S540" s="20">
        <v>740.44500000000005</v>
      </c>
    </row>
    <row r="541" spans="1:19" x14ac:dyDescent="0.15">
      <c r="A541" s="90">
        <v>44614</v>
      </c>
      <c r="B541" s="90" t="str">
        <f t="shared" si="74"/>
        <v>février</v>
      </c>
      <c r="C541" s="90" t="str">
        <f t="shared" si="75"/>
        <v>2022</v>
      </c>
      <c r="D541" s="90" t="str">
        <f t="shared" si="76"/>
        <v>février2022</v>
      </c>
      <c r="E541" s="91" t="s">
        <v>466</v>
      </c>
      <c r="F541" s="91">
        <v>300</v>
      </c>
      <c r="G541" s="94">
        <f t="shared" si="77"/>
        <v>0.3</v>
      </c>
      <c r="H541" s="92" t="s">
        <v>46</v>
      </c>
      <c r="I541" s="96">
        <f t="shared" si="72"/>
        <v>0.3</v>
      </c>
      <c r="J541" s="96">
        <f t="shared" si="73"/>
        <v>0.7</v>
      </c>
      <c r="K541" s="92">
        <f>VLOOKUP(H541,'Taux émission CO2e'!$A$5:$D$16,4,FALSE)</f>
        <v>0.16</v>
      </c>
      <c r="L541" s="93">
        <f t="shared" si="78"/>
        <v>5.4804383999999997</v>
      </c>
      <c r="M541" s="92">
        <f>VLOOKUP(H541,'Taux émission CO2e'!$A$20:$D$31,4,FALSE)</f>
        <v>6.7400000000000002E-2</v>
      </c>
      <c r="N541" s="105">
        <f t="shared" si="79"/>
        <v>5.386814244</v>
      </c>
      <c r="O541" s="93">
        <f t="shared" si="80"/>
        <v>10.867252644000001</v>
      </c>
      <c r="P541" s="92">
        <v>200</v>
      </c>
      <c r="Q541" s="92" t="s">
        <v>91</v>
      </c>
      <c r="R541" s="92" t="s">
        <v>55</v>
      </c>
      <c r="S541" s="20">
        <v>380.58600000000001</v>
      </c>
    </row>
    <row r="542" spans="1:19" x14ac:dyDescent="0.15">
      <c r="A542" s="90">
        <v>44614</v>
      </c>
      <c r="B542" s="90" t="str">
        <f t="shared" si="74"/>
        <v>février</v>
      </c>
      <c r="C542" s="90" t="str">
        <f t="shared" si="75"/>
        <v>2022</v>
      </c>
      <c r="D542" s="90" t="str">
        <f t="shared" si="76"/>
        <v>février2022</v>
      </c>
      <c r="E542" s="91" t="s">
        <v>467</v>
      </c>
      <c r="F542" s="91">
        <v>300</v>
      </c>
      <c r="G542" s="94">
        <f t="shared" si="77"/>
        <v>0.3</v>
      </c>
      <c r="H542" s="92" t="s">
        <v>45</v>
      </c>
      <c r="I542" s="96">
        <f t="shared" si="72"/>
        <v>0.3</v>
      </c>
      <c r="J542" s="96">
        <f t="shared" si="73"/>
        <v>0.7</v>
      </c>
      <c r="K542" s="92">
        <f>VLOOKUP(H542,'Taux émission CO2e'!$A$5:$D$16,4,FALSE)</f>
        <v>0.16</v>
      </c>
      <c r="L542" s="93">
        <f t="shared" si="78"/>
        <v>7.7786639999999991</v>
      </c>
      <c r="M542" s="92">
        <f>VLOOKUP(H542,'Taux émission CO2e'!$A$20:$D$31,4,FALSE)</f>
        <v>6.7400000000000002E-2</v>
      </c>
      <c r="N542" s="105">
        <f t="shared" si="79"/>
        <v>7.6457784899999988</v>
      </c>
      <c r="O542" s="93">
        <f t="shared" si="80"/>
        <v>15.424442489999997</v>
      </c>
      <c r="P542" s="92">
        <v>200</v>
      </c>
      <c r="Q542" s="92" t="s">
        <v>52</v>
      </c>
      <c r="R542" s="92" t="s">
        <v>53</v>
      </c>
      <c r="S542" s="20">
        <v>540.18499999999995</v>
      </c>
    </row>
    <row r="543" spans="1:19" x14ac:dyDescent="0.15">
      <c r="A543" s="90">
        <v>44615</v>
      </c>
      <c r="B543" s="90" t="str">
        <f t="shared" si="74"/>
        <v>février</v>
      </c>
      <c r="C543" s="90" t="str">
        <f t="shared" si="75"/>
        <v>2022</v>
      </c>
      <c r="D543" s="90" t="str">
        <f t="shared" si="76"/>
        <v>février2022</v>
      </c>
      <c r="E543" s="91" t="s">
        <v>468</v>
      </c>
      <c r="F543" s="91">
        <v>300</v>
      </c>
      <c r="G543" s="94">
        <f t="shared" si="77"/>
        <v>0.3</v>
      </c>
      <c r="H543" s="92" t="s">
        <v>38</v>
      </c>
      <c r="I543" s="96">
        <f t="shared" si="72"/>
        <v>1</v>
      </c>
      <c r="J543" s="96">
        <f t="shared" si="73"/>
        <v>0</v>
      </c>
      <c r="K543" s="92">
        <f>VLOOKUP(H543,'Taux émission CO2e'!$A$5:$D$16,4,FALSE)</f>
        <v>0.24099999999999999</v>
      </c>
      <c r="L543" s="93">
        <f t="shared" si="78"/>
        <v>2.4575492999999997</v>
      </c>
      <c r="M543" s="92">
        <f>VLOOKUP(H543,'Taux émission CO2e'!$A$20:$D$31,4,FALSE)</f>
        <v>0</v>
      </c>
      <c r="N543" s="105">
        <f t="shared" si="79"/>
        <v>0</v>
      </c>
      <c r="O543" s="93">
        <f t="shared" si="80"/>
        <v>2.4575492999999997</v>
      </c>
      <c r="P543" s="92">
        <v>80</v>
      </c>
      <c r="Q543" s="92" t="s">
        <v>67</v>
      </c>
      <c r="R543" s="92" t="s">
        <v>55</v>
      </c>
      <c r="S543" s="20">
        <v>33.991</v>
      </c>
    </row>
    <row r="544" spans="1:19" x14ac:dyDescent="0.15">
      <c r="A544" s="90">
        <v>44615</v>
      </c>
      <c r="B544" s="90" t="str">
        <f t="shared" si="74"/>
        <v>février</v>
      </c>
      <c r="C544" s="90" t="str">
        <f t="shared" si="75"/>
        <v>2022</v>
      </c>
      <c r="D544" s="90" t="str">
        <f t="shared" si="76"/>
        <v>février2022</v>
      </c>
      <c r="E544" s="91" t="s">
        <v>469</v>
      </c>
      <c r="F544" s="91">
        <v>200</v>
      </c>
      <c r="G544" s="94">
        <f t="shared" si="77"/>
        <v>0.2</v>
      </c>
      <c r="H544" s="92" t="s">
        <v>41</v>
      </c>
      <c r="I544" s="96">
        <f t="shared" si="72"/>
        <v>1</v>
      </c>
      <c r="J544" s="96">
        <f t="shared" si="73"/>
        <v>0</v>
      </c>
      <c r="K544" s="92">
        <f>VLOOKUP(H544,'Taux émission CO2e'!$A$5:$D$16,4,FALSE)</f>
        <v>0.16</v>
      </c>
      <c r="L544" s="93">
        <f t="shared" si="78"/>
        <v>1.7272320000000001</v>
      </c>
      <c r="M544" s="92">
        <f>VLOOKUP(H544,'Taux émission CO2e'!$A$20:$D$31,4,FALSE)</f>
        <v>0</v>
      </c>
      <c r="N544" s="105">
        <f t="shared" si="79"/>
        <v>0</v>
      </c>
      <c r="O544" s="93">
        <f t="shared" si="80"/>
        <v>1.7272320000000001</v>
      </c>
      <c r="P544" s="92">
        <v>90</v>
      </c>
      <c r="Q544" s="92" t="s">
        <v>58</v>
      </c>
      <c r="R544" s="92" t="s">
        <v>63</v>
      </c>
      <c r="S544" s="20">
        <v>53.975999999999999</v>
      </c>
    </row>
    <row r="545" spans="1:19" x14ac:dyDescent="0.15">
      <c r="A545" s="90">
        <v>44615</v>
      </c>
      <c r="B545" s="90" t="str">
        <f t="shared" si="74"/>
        <v>février</v>
      </c>
      <c r="C545" s="90" t="str">
        <f t="shared" si="75"/>
        <v>2022</v>
      </c>
      <c r="D545" s="90" t="str">
        <f t="shared" si="76"/>
        <v>février2022</v>
      </c>
      <c r="E545" s="91" t="s">
        <v>470</v>
      </c>
      <c r="F545" s="91">
        <v>150</v>
      </c>
      <c r="G545" s="94">
        <f t="shared" si="77"/>
        <v>0.15</v>
      </c>
      <c r="H545" s="92" t="s">
        <v>45</v>
      </c>
      <c r="I545" s="96">
        <f t="shared" si="72"/>
        <v>0.3</v>
      </c>
      <c r="J545" s="96">
        <f t="shared" si="73"/>
        <v>0.7</v>
      </c>
      <c r="K545" s="92">
        <f>VLOOKUP(H545,'Taux émission CO2e'!$A$5:$D$16,4,FALSE)</f>
        <v>0.16</v>
      </c>
      <c r="L545" s="93">
        <f t="shared" si="78"/>
        <v>2.0026439999999996</v>
      </c>
      <c r="M545" s="92">
        <f>VLOOKUP(H545,'Taux émission CO2e'!$A$20:$D$31,4,FALSE)</f>
        <v>6.7400000000000002E-2</v>
      </c>
      <c r="N545" s="105">
        <f t="shared" si="79"/>
        <v>1.9684321649999998</v>
      </c>
      <c r="O545" s="93">
        <f t="shared" si="80"/>
        <v>3.9710761649999995</v>
      </c>
      <c r="P545" s="92">
        <v>158</v>
      </c>
      <c r="Q545" s="92" t="s">
        <v>74</v>
      </c>
      <c r="R545" s="92" t="s">
        <v>55</v>
      </c>
      <c r="S545" s="20">
        <v>278.14499999999998</v>
      </c>
    </row>
    <row r="546" spans="1:19" x14ac:dyDescent="0.15">
      <c r="A546" s="90">
        <v>44615</v>
      </c>
      <c r="B546" s="90" t="str">
        <f t="shared" si="74"/>
        <v>février</v>
      </c>
      <c r="C546" s="90" t="str">
        <f t="shared" si="75"/>
        <v>2022</v>
      </c>
      <c r="D546" s="90" t="str">
        <f t="shared" si="76"/>
        <v>février2022</v>
      </c>
      <c r="E546" s="91" t="s">
        <v>471</v>
      </c>
      <c r="F546" s="91">
        <v>1500</v>
      </c>
      <c r="G546" s="94">
        <f t="shared" si="77"/>
        <v>1.5</v>
      </c>
      <c r="H546" s="92" t="s">
        <v>45</v>
      </c>
      <c r="I546" s="96">
        <f t="shared" si="72"/>
        <v>0.3</v>
      </c>
      <c r="J546" s="96">
        <f t="shared" si="73"/>
        <v>0.7</v>
      </c>
      <c r="K546" s="92">
        <f>VLOOKUP(H546,'Taux émission CO2e'!$A$5:$D$16,4,FALSE)</f>
        <v>0.16</v>
      </c>
      <c r="L546" s="93">
        <f t="shared" si="78"/>
        <v>17.822952000000001</v>
      </c>
      <c r="M546" s="92">
        <f>VLOOKUP(H546,'Taux émission CO2e'!$A$20:$D$31,4,FALSE)</f>
        <v>6.7400000000000002E-2</v>
      </c>
      <c r="N546" s="105">
        <f t="shared" si="79"/>
        <v>17.518476570000001</v>
      </c>
      <c r="O546" s="93">
        <f t="shared" si="80"/>
        <v>35.341428570000005</v>
      </c>
      <c r="P546" s="92">
        <v>371</v>
      </c>
      <c r="Q546" s="92" t="s">
        <v>109</v>
      </c>
      <c r="R546" s="92" t="s">
        <v>55</v>
      </c>
      <c r="S546" s="20">
        <v>247.541</v>
      </c>
    </row>
    <row r="547" spans="1:19" x14ac:dyDescent="0.15">
      <c r="A547" s="90">
        <v>44616</v>
      </c>
      <c r="B547" s="90" t="str">
        <f t="shared" si="74"/>
        <v>février</v>
      </c>
      <c r="C547" s="90" t="str">
        <f t="shared" si="75"/>
        <v>2022</v>
      </c>
      <c r="D547" s="90" t="str">
        <f t="shared" si="76"/>
        <v>février2022</v>
      </c>
      <c r="E547" s="91" t="s">
        <v>472</v>
      </c>
      <c r="F547" s="91">
        <v>300</v>
      </c>
      <c r="G547" s="94">
        <f t="shared" si="77"/>
        <v>0.3</v>
      </c>
      <c r="H547" s="92" t="s">
        <v>46</v>
      </c>
      <c r="I547" s="96">
        <f t="shared" si="72"/>
        <v>0.3</v>
      </c>
      <c r="J547" s="96">
        <f t="shared" si="73"/>
        <v>0.7</v>
      </c>
      <c r="K547" s="92">
        <f>VLOOKUP(H547,'Taux émission CO2e'!$A$5:$D$16,4,FALSE)</f>
        <v>0.16</v>
      </c>
      <c r="L547" s="93">
        <f t="shared" si="78"/>
        <v>10.657411199999999</v>
      </c>
      <c r="M547" s="92">
        <f>VLOOKUP(H547,'Taux émission CO2e'!$A$20:$D$31,4,FALSE)</f>
        <v>6.7400000000000002E-2</v>
      </c>
      <c r="N547" s="105">
        <f t="shared" si="79"/>
        <v>10.475347092</v>
      </c>
      <c r="O547" s="93">
        <f t="shared" si="80"/>
        <v>21.132758291999998</v>
      </c>
      <c r="P547" s="92">
        <v>265</v>
      </c>
      <c r="Q547" s="92" t="s">
        <v>473</v>
      </c>
      <c r="R547" s="92" t="s">
        <v>55</v>
      </c>
      <c r="S547" s="20">
        <v>740.09799999999996</v>
      </c>
    </row>
    <row r="548" spans="1:19" x14ac:dyDescent="0.15">
      <c r="A548" s="90">
        <v>44617</v>
      </c>
      <c r="B548" s="90" t="str">
        <f t="shared" si="74"/>
        <v>février</v>
      </c>
      <c r="C548" s="90" t="str">
        <f t="shared" si="75"/>
        <v>2022</v>
      </c>
      <c r="D548" s="90" t="str">
        <f t="shared" si="76"/>
        <v>février2022</v>
      </c>
      <c r="E548" s="91" t="s">
        <v>474</v>
      </c>
      <c r="F548" s="91">
        <v>200</v>
      </c>
      <c r="G548" s="94">
        <f t="shared" si="77"/>
        <v>0.2</v>
      </c>
      <c r="H548" s="92" t="s">
        <v>45</v>
      </c>
      <c r="I548" s="96">
        <f t="shared" si="72"/>
        <v>0.3</v>
      </c>
      <c r="J548" s="96">
        <f t="shared" si="73"/>
        <v>0.7</v>
      </c>
      <c r="K548" s="92">
        <f>VLOOKUP(H548,'Taux émission CO2e'!$A$5:$D$16,4,FALSE)</f>
        <v>0.16</v>
      </c>
      <c r="L548" s="93">
        <f t="shared" si="78"/>
        <v>2.4026688000000003</v>
      </c>
      <c r="M548" s="92">
        <f>VLOOKUP(H548,'Taux émission CO2e'!$A$20:$D$31,4,FALSE)</f>
        <v>6.7400000000000002E-2</v>
      </c>
      <c r="N548" s="105">
        <f t="shared" si="79"/>
        <v>2.3616232079999997</v>
      </c>
      <c r="O548" s="93">
        <f t="shared" si="80"/>
        <v>4.764292008</v>
      </c>
      <c r="P548" s="92">
        <v>100</v>
      </c>
      <c r="Q548" s="92" t="s">
        <v>89</v>
      </c>
      <c r="R548" s="92" t="s">
        <v>55</v>
      </c>
      <c r="S548" s="20">
        <v>250.27799999999999</v>
      </c>
    </row>
    <row r="549" spans="1:19" x14ac:dyDescent="0.15">
      <c r="A549" s="90">
        <v>44617</v>
      </c>
      <c r="B549" s="90" t="str">
        <f t="shared" si="74"/>
        <v>février</v>
      </c>
      <c r="C549" s="90" t="str">
        <f t="shared" si="75"/>
        <v>2022</v>
      </c>
      <c r="D549" s="90" t="str">
        <f t="shared" si="76"/>
        <v>février2022</v>
      </c>
      <c r="E549" s="91" t="s">
        <v>475</v>
      </c>
      <c r="F549" s="91">
        <v>300</v>
      </c>
      <c r="G549" s="94">
        <f t="shared" si="77"/>
        <v>0.3</v>
      </c>
      <c r="H549" s="92" t="s">
        <v>46</v>
      </c>
      <c r="I549" s="96">
        <f t="shared" si="72"/>
        <v>0.3</v>
      </c>
      <c r="J549" s="96">
        <f t="shared" si="73"/>
        <v>0.7</v>
      </c>
      <c r="K549" s="92">
        <f>VLOOKUP(H549,'Taux émission CO2e'!$A$5:$D$16,4,FALSE)</f>
        <v>0.16</v>
      </c>
      <c r="L549" s="93">
        <f t="shared" si="78"/>
        <v>3.7158191999999999</v>
      </c>
      <c r="M549" s="92">
        <f>VLOOKUP(H549,'Taux émission CO2e'!$A$20:$D$31,4,FALSE)</f>
        <v>6.7400000000000002E-2</v>
      </c>
      <c r="N549" s="105">
        <f t="shared" si="79"/>
        <v>3.6523406220000001</v>
      </c>
      <c r="O549" s="93">
        <f t="shared" si="80"/>
        <v>7.368159822</v>
      </c>
      <c r="P549" s="92">
        <v>158</v>
      </c>
      <c r="Q549" s="92" t="s">
        <v>102</v>
      </c>
      <c r="R549" s="92" t="s">
        <v>55</v>
      </c>
      <c r="S549" s="20">
        <v>258.04300000000001</v>
      </c>
    </row>
    <row r="550" spans="1:19" x14ac:dyDescent="0.15">
      <c r="A550" s="90">
        <v>44617</v>
      </c>
      <c r="B550" s="90" t="str">
        <f t="shared" si="74"/>
        <v>février</v>
      </c>
      <c r="C550" s="90" t="str">
        <f t="shared" si="75"/>
        <v>2022</v>
      </c>
      <c r="D550" s="90" t="str">
        <f t="shared" si="76"/>
        <v>février2022</v>
      </c>
      <c r="E550" s="91" t="s">
        <v>476</v>
      </c>
      <c r="F550" s="91">
        <v>300</v>
      </c>
      <c r="G550" s="94">
        <f t="shared" si="77"/>
        <v>0.3</v>
      </c>
      <c r="H550" s="92" t="s">
        <v>46</v>
      </c>
      <c r="I550" s="96">
        <f t="shared" si="72"/>
        <v>0.3</v>
      </c>
      <c r="J550" s="96">
        <f t="shared" si="73"/>
        <v>0.7</v>
      </c>
      <c r="K550" s="92">
        <f>VLOOKUP(H550,'Taux émission CO2e'!$A$5:$D$16,4,FALSE)</f>
        <v>0.16</v>
      </c>
      <c r="L550" s="93">
        <f t="shared" si="78"/>
        <v>10.657411199999999</v>
      </c>
      <c r="M550" s="92">
        <f>VLOOKUP(H550,'Taux émission CO2e'!$A$20:$D$31,4,FALSE)</f>
        <v>6.7400000000000002E-2</v>
      </c>
      <c r="N550" s="105">
        <f t="shared" si="79"/>
        <v>10.475347092</v>
      </c>
      <c r="O550" s="93">
        <f t="shared" si="80"/>
        <v>21.132758291999998</v>
      </c>
      <c r="P550" s="92">
        <v>175</v>
      </c>
      <c r="Q550" s="92" t="s">
        <v>473</v>
      </c>
      <c r="R550" s="92" t="s">
        <v>55</v>
      </c>
      <c r="S550" s="20">
        <v>740.09799999999996</v>
      </c>
    </row>
    <row r="551" spans="1:19" x14ac:dyDescent="0.15">
      <c r="A551" s="90">
        <v>44617</v>
      </c>
      <c r="B551" s="90" t="str">
        <f t="shared" si="74"/>
        <v>février</v>
      </c>
      <c r="C551" s="90" t="str">
        <f t="shared" si="75"/>
        <v>2022</v>
      </c>
      <c r="D551" s="90" t="str">
        <f t="shared" si="76"/>
        <v>février2022</v>
      </c>
      <c r="E551" s="91" t="s">
        <v>477</v>
      </c>
      <c r="F551" s="91">
        <v>150</v>
      </c>
      <c r="G551" s="94">
        <f t="shared" si="77"/>
        <v>0.15</v>
      </c>
      <c r="H551" s="92" t="s">
        <v>46</v>
      </c>
      <c r="I551" s="96">
        <f t="shared" si="72"/>
        <v>0.3</v>
      </c>
      <c r="J551" s="96">
        <f t="shared" si="73"/>
        <v>0.7</v>
      </c>
      <c r="K551" s="92">
        <f>VLOOKUP(H551,'Taux émission CO2e'!$A$5:$D$16,4,FALSE)</f>
        <v>0.16</v>
      </c>
      <c r="L551" s="93">
        <f t="shared" si="78"/>
        <v>3.8989871999999997</v>
      </c>
      <c r="M551" s="92">
        <f>VLOOKUP(H551,'Taux émission CO2e'!$A$20:$D$31,4,FALSE)</f>
        <v>6.7400000000000002E-2</v>
      </c>
      <c r="N551" s="105">
        <f t="shared" si="79"/>
        <v>3.8323795019999998</v>
      </c>
      <c r="O551" s="93">
        <f t="shared" si="80"/>
        <v>7.731366701999999</v>
      </c>
      <c r="P551" s="92">
        <v>196</v>
      </c>
      <c r="Q551" s="92" t="s">
        <v>62</v>
      </c>
      <c r="R551" s="92" t="s">
        <v>55</v>
      </c>
      <c r="S551" s="20">
        <v>541.52599999999995</v>
      </c>
    </row>
    <row r="552" spans="1:19" x14ac:dyDescent="0.15">
      <c r="A552" s="90">
        <v>44620</v>
      </c>
      <c r="B552" s="90" t="str">
        <f t="shared" si="74"/>
        <v>février</v>
      </c>
      <c r="C552" s="90" t="str">
        <f t="shared" si="75"/>
        <v>2022</v>
      </c>
      <c r="D552" s="90" t="str">
        <f t="shared" si="76"/>
        <v>février2022</v>
      </c>
      <c r="E552" s="91" t="s">
        <v>478</v>
      </c>
      <c r="F552" s="91">
        <v>175</v>
      </c>
      <c r="G552" s="94">
        <f t="shared" si="77"/>
        <v>0.17499999999999999</v>
      </c>
      <c r="H552" s="92" t="s">
        <v>46</v>
      </c>
      <c r="I552" s="96">
        <f t="shared" si="72"/>
        <v>0.3</v>
      </c>
      <c r="J552" s="96">
        <f t="shared" si="73"/>
        <v>0.7</v>
      </c>
      <c r="K552" s="92">
        <f>VLOOKUP(H552,'Taux émission CO2e'!$A$5:$D$16,4,FALSE)</f>
        <v>0.16</v>
      </c>
      <c r="L552" s="93">
        <f t="shared" si="78"/>
        <v>2.1048635999999998</v>
      </c>
      <c r="M552" s="92">
        <f>VLOOKUP(H552,'Taux émission CO2e'!$A$20:$D$31,4,FALSE)</f>
        <v>6.7400000000000002E-2</v>
      </c>
      <c r="N552" s="105">
        <f t="shared" si="79"/>
        <v>2.0689055134999998</v>
      </c>
      <c r="O552" s="93">
        <f t="shared" si="80"/>
        <v>4.1737691134999997</v>
      </c>
      <c r="P552" s="92">
        <v>100</v>
      </c>
      <c r="Q552" s="92" t="s">
        <v>58</v>
      </c>
      <c r="R552" s="92" t="s">
        <v>79</v>
      </c>
      <c r="S552" s="20">
        <v>250.57900000000001</v>
      </c>
    </row>
    <row r="553" spans="1:19" x14ac:dyDescent="0.15">
      <c r="A553" s="90">
        <v>44620</v>
      </c>
      <c r="B553" s="90" t="str">
        <f t="shared" si="74"/>
        <v>février</v>
      </c>
      <c r="C553" s="90" t="str">
        <f t="shared" si="75"/>
        <v>2022</v>
      </c>
      <c r="D553" s="90" t="str">
        <f t="shared" si="76"/>
        <v>février2022</v>
      </c>
      <c r="E553" s="91" t="s">
        <v>479</v>
      </c>
      <c r="F553" s="91">
        <v>210</v>
      </c>
      <c r="G553" s="94">
        <f t="shared" si="77"/>
        <v>0.21</v>
      </c>
      <c r="H553" s="92" t="s">
        <v>46</v>
      </c>
      <c r="I553" s="96">
        <f t="shared" si="72"/>
        <v>0.3</v>
      </c>
      <c r="J553" s="96">
        <f t="shared" si="73"/>
        <v>0.7</v>
      </c>
      <c r="K553" s="92">
        <f>VLOOKUP(H553,'Taux émission CO2e'!$A$5:$D$16,4,FALSE)</f>
        <v>0.16</v>
      </c>
      <c r="L553" s="93">
        <f t="shared" si="78"/>
        <v>1.6870896000000002</v>
      </c>
      <c r="M553" s="92">
        <f>VLOOKUP(H553,'Taux émission CO2e'!$A$20:$D$31,4,FALSE)</f>
        <v>6.7400000000000002E-2</v>
      </c>
      <c r="N553" s="105">
        <f t="shared" si="79"/>
        <v>1.6582684859999999</v>
      </c>
      <c r="O553" s="93">
        <f t="shared" si="80"/>
        <v>3.3453580860000001</v>
      </c>
      <c r="P553" s="92">
        <v>100</v>
      </c>
      <c r="Q553" s="92" t="s">
        <v>58</v>
      </c>
      <c r="R553" s="92" t="s">
        <v>112</v>
      </c>
      <c r="S553" s="20">
        <v>167.37</v>
      </c>
    </row>
    <row r="554" spans="1:19" x14ac:dyDescent="0.15">
      <c r="A554" s="90">
        <v>44620</v>
      </c>
      <c r="B554" s="90" t="str">
        <f t="shared" si="74"/>
        <v>février</v>
      </c>
      <c r="C554" s="90" t="str">
        <f t="shared" si="75"/>
        <v>2022</v>
      </c>
      <c r="D554" s="90" t="str">
        <f t="shared" si="76"/>
        <v>février2022</v>
      </c>
      <c r="E554" s="91" t="s">
        <v>480</v>
      </c>
      <c r="F554" s="91">
        <v>180</v>
      </c>
      <c r="G554" s="94">
        <f t="shared" si="77"/>
        <v>0.18</v>
      </c>
      <c r="H554" s="92" t="s">
        <v>46</v>
      </c>
      <c r="I554" s="96">
        <f t="shared" si="72"/>
        <v>0.3</v>
      </c>
      <c r="J554" s="96">
        <f t="shared" si="73"/>
        <v>0.7</v>
      </c>
      <c r="K554" s="92">
        <f>VLOOKUP(H554,'Taux émission CO2e'!$A$5:$D$16,4,FALSE)</f>
        <v>0.16</v>
      </c>
      <c r="L554" s="93">
        <f t="shared" si="78"/>
        <v>4.4564947200000002</v>
      </c>
      <c r="M554" s="92">
        <f>VLOOKUP(H554,'Taux émission CO2e'!$A$20:$D$31,4,FALSE)</f>
        <v>6.7400000000000002E-2</v>
      </c>
      <c r="N554" s="105">
        <f t="shared" si="79"/>
        <v>4.3803629351999991</v>
      </c>
      <c r="O554" s="93">
        <f t="shared" si="80"/>
        <v>8.8368576551999993</v>
      </c>
      <c r="P554" s="92">
        <v>140</v>
      </c>
      <c r="Q554" s="92" t="s">
        <v>58</v>
      </c>
      <c r="R554" s="92" t="s">
        <v>57</v>
      </c>
      <c r="S554" s="20">
        <v>515.798</v>
      </c>
    </row>
    <row r="555" spans="1:19" x14ac:dyDescent="0.15">
      <c r="A555" s="90">
        <v>44620</v>
      </c>
      <c r="B555" s="90" t="str">
        <f t="shared" si="74"/>
        <v>février</v>
      </c>
      <c r="C555" s="90" t="str">
        <f t="shared" si="75"/>
        <v>2022</v>
      </c>
      <c r="D555" s="90" t="str">
        <f t="shared" si="76"/>
        <v>février2022</v>
      </c>
      <c r="E555" s="91" t="s">
        <v>481</v>
      </c>
      <c r="F555" s="91">
        <v>300</v>
      </c>
      <c r="G555" s="94">
        <f t="shared" si="77"/>
        <v>0.3</v>
      </c>
      <c r="H555" s="92" t="s">
        <v>45</v>
      </c>
      <c r="I555" s="96">
        <f t="shared" si="72"/>
        <v>0.3</v>
      </c>
      <c r="J555" s="96">
        <f t="shared" si="73"/>
        <v>0.7</v>
      </c>
      <c r="K555" s="92">
        <f>VLOOKUP(H555,'Taux émission CO2e'!$A$5:$D$16,4,FALSE)</f>
        <v>0.16</v>
      </c>
      <c r="L555" s="93">
        <f t="shared" si="78"/>
        <v>3.8354832000000001</v>
      </c>
      <c r="M555" s="92">
        <f>VLOOKUP(H555,'Taux émission CO2e'!$A$20:$D$31,4,FALSE)</f>
        <v>6.7400000000000002E-2</v>
      </c>
      <c r="N555" s="105">
        <f t="shared" si="79"/>
        <v>3.769960362</v>
      </c>
      <c r="O555" s="93">
        <f t="shared" si="80"/>
        <v>7.6054435619999996</v>
      </c>
      <c r="P555" s="92">
        <v>158</v>
      </c>
      <c r="Q555" s="92" t="s">
        <v>77</v>
      </c>
      <c r="R555" s="92" t="s">
        <v>55</v>
      </c>
      <c r="S555" s="20">
        <v>266.35300000000001</v>
      </c>
    </row>
    <row r="556" spans="1:19" x14ac:dyDescent="0.15">
      <c r="A556" s="90">
        <v>44620</v>
      </c>
      <c r="B556" s="90" t="str">
        <f t="shared" si="74"/>
        <v>février</v>
      </c>
      <c r="C556" s="90" t="str">
        <f t="shared" si="75"/>
        <v>2022</v>
      </c>
      <c r="D556" s="90" t="str">
        <f t="shared" si="76"/>
        <v>février2022</v>
      </c>
      <c r="E556" s="91" t="s">
        <v>482</v>
      </c>
      <c r="F556" s="91">
        <v>1050</v>
      </c>
      <c r="G556" s="94">
        <f t="shared" si="77"/>
        <v>1.05</v>
      </c>
      <c r="H556" s="92" t="s">
        <v>41</v>
      </c>
      <c r="I556" s="96">
        <f t="shared" si="72"/>
        <v>1</v>
      </c>
      <c r="J556" s="96">
        <f t="shared" si="73"/>
        <v>0</v>
      </c>
      <c r="K556" s="92">
        <f>VLOOKUP(H556,'Taux émission CO2e'!$A$5:$D$16,4,FALSE)</f>
        <v>0.16</v>
      </c>
      <c r="L556" s="93">
        <f t="shared" si="78"/>
        <v>9.1998480000000011</v>
      </c>
      <c r="M556" s="92">
        <f>VLOOKUP(H556,'Taux émission CO2e'!$A$20:$D$31,4,FALSE)</f>
        <v>0</v>
      </c>
      <c r="N556" s="105">
        <f t="shared" si="79"/>
        <v>0</v>
      </c>
      <c r="O556" s="93">
        <f t="shared" si="80"/>
        <v>9.1998480000000011</v>
      </c>
      <c r="P556" s="92">
        <v>260</v>
      </c>
      <c r="Q556" s="92" t="s">
        <v>56</v>
      </c>
      <c r="R556" s="92" t="s">
        <v>55</v>
      </c>
      <c r="S556" s="20">
        <v>54.761000000000003</v>
      </c>
    </row>
    <row r="557" spans="1:19" x14ac:dyDescent="0.15">
      <c r="A557" s="90">
        <v>44620</v>
      </c>
      <c r="B557" s="90" t="str">
        <f t="shared" si="74"/>
        <v>février</v>
      </c>
      <c r="C557" s="90" t="str">
        <f t="shared" si="75"/>
        <v>2022</v>
      </c>
      <c r="D557" s="90" t="str">
        <f t="shared" si="76"/>
        <v>février2022</v>
      </c>
      <c r="E557" s="91" t="s">
        <v>483</v>
      </c>
      <c r="F557" s="91">
        <v>300</v>
      </c>
      <c r="G557" s="94">
        <f t="shared" si="77"/>
        <v>0.3</v>
      </c>
      <c r="H557" s="92" t="s">
        <v>45</v>
      </c>
      <c r="I557" s="96">
        <f t="shared" si="72"/>
        <v>0.3</v>
      </c>
      <c r="J557" s="96">
        <f t="shared" si="73"/>
        <v>0.7</v>
      </c>
      <c r="K557" s="92">
        <f>VLOOKUP(H557,'Taux émission CO2e'!$A$5:$D$16,4,FALSE)</f>
        <v>0.16</v>
      </c>
      <c r="L557" s="93">
        <f t="shared" si="78"/>
        <v>7.4372256000000005</v>
      </c>
      <c r="M557" s="92">
        <f>VLOOKUP(H557,'Taux émission CO2e'!$A$20:$D$31,4,FALSE)</f>
        <v>6.7400000000000002E-2</v>
      </c>
      <c r="N557" s="105">
        <f t="shared" si="79"/>
        <v>7.3101729960000004</v>
      </c>
      <c r="O557" s="93">
        <f t="shared" si="80"/>
        <v>14.747398596</v>
      </c>
      <c r="P557" s="92">
        <v>275</v>
      </c>
      <c r="Q557" s="92" t="s">
        <v>52</v>
      </c>
      <c r="R557" s="92" t="s">
        <v>55</v>
      </c>
      <c r="S557" s="20">
        <v>516.47400000000005</v>
      </c>
    </row>
    <row r="558" spans="1:19" x14ac:dyDescent="0.15">
      <c r="A558" s="90">
        <v>44621</v>
      </c>
      <c r="B558" s="90" t="str">
        <f t="shared" si="74"/>
        <v>mars</v>
      </c>
      <c r="C558" s="90" t="str">
        <f t="shared" si="75"/>
        <v>2022</v>
      </c>
      <c r="D558" s="90" t="str">
        <f t="shared" si="76"/>
        <v>mars2022</v>
      </c>
      <c r="E558" s="91" t="s">
        <v>484</v>
      </c>
      <c r="F558" s="91">
        <v>140</v>
      </c>
      <c r="G558" s="94">
        <f t="shared" si="77"/>
        <v>0.14000000000000001</v>
      </c>
      <c r="H558" s="92" t="s">
        <v>46</v>
      </c>
      <c r="I558" s="96">
        <f t="shared" si="72"/>
        <v>0.3</v>
      </c>
      <c r="J558" s="96">
        <f t="shared" si="73"/>
        <v>0.7</v>
      </c>
      <c r="K558" s="92">
        <f>VLOOKUP(H558,'Taux émission CO2e'!$A$5:$D$16,4,FALSE)</f>
        <v>0.16</v>
      </c>
      <c r="L558" s="93">
        <f t="shared" si="78"/>
        <v>1.1675731200000004</v>
      </c>
      <c r="M558" s="92">
        <f>VLOOKUP(H558,'Taux émission CO2e'!$A$20:$D$31,4,FALSE)</f>
        <v>6.7400000000000002E-2</v>
      </c>
      <c r="N558" s="105">
        <f t="shared" si="79"/>
        <v>1.1476270792000001</v>
      </c>
      <c r="O558" s="93">
        <f t="shared" si="80"/>
        <v>2.3152001992000004</v>
      </c>
      <c r="P558" s="92">
        <v>99</v>
      </c>
      <c r="Q558" s="92" t="s">
        <v>58</v>
      </c>
      <c r="R558" s="92" t="s">
        <v>485</v>
      </c>
      <c r="S558" s="20">
        <v>173.74600000000001</v>
      </c>
    </row>
    <row r="559" spans="1:19" x14ac:dyDescent="0.15">
      <c r="A559" s="90">
        <v>44621</v>
      </c>
      <c r="B559" s="90" t="str">
        <f t="shared" si="74"/>
        <v>mars</v>
      </c>
      <c r="C559" s="90" t="str">
        <f t="shared" si="75"/>
        <v>2022</v>
      </c>
      <c r="D559" s="90" t="str">
        <f t="shared" si="76"/>
        <v>mars2022</v>
      </c>
      <c r="E559" s="91" t="s">
        <v>486</v>
      </c>
      <c r="F559" s="91">
        <v>130</v>
      </c>
      <c r="G559" s="94">
        <f t="shared" si="77"/>
        <v>0.13</v>
      </c>
      <c r="H559" s="92" t="s">
        <v>46</v>
      </c>
      <c r="I559" s="96">
        <f t="shared" si="72"/>
        <v>0.3</v>
      </c>
      <c r="J559" s="96">
        <f t="shared" si="73"/>
        <v>0.7</v>
      </c>
      <c r="K559" s="92">
        <f>VLOOKUP(H559,'Taux émission CO2e'!$A$5:$D$16,4,FALSE)</f>
        <v>0.16</v>
      </c>
      <c r="L559" s="93">
        <f t="shared" si="78"/>
        <v>2.5814131200000001</v>
      </c>
      <c r="M559" s="92">
        <f>VLOOKUP(H559,'Taux émission CO2e'!$A$20:$D$31,4,FALSE)</f>
        <v>6.7400000000000002E-2</v>
      </c>
      <c r="N559" s="105">
        <f t="shared" si="79"/>
        <v>2.5373139791999999</v>
      </c>
      <c r="O559" s="93">
        <f t="shared" si="80"/>
        <v>5.1187270992</v>
      </c>
      <c r="P559" s="92">
        <v>117.9</v>
      </c>
      <c r="Q559" s="92" t="s">
        <v>58</v>
      </c>
      <c r="R559" s="92" t="s">
        <v>81</v>
      </c>
      <c r="S559" s="20">
        <v>413.68799999999999</v>
      </c>
    </row>
    <row r="560" spans="1:19" x14ac:dyDescent="0.15">
      <c r="A560" s="90">
        <v>44621</v>
      </c>
      <c r="B560" s="90" t="str">
        <f t="shared" si="74"/>
        <v>mars</v>
      </c>
      <c r="C560" s="90" t="str">
        <f t="shared" si="75"/>
        <v>2022</v>
      </c>
      <c r="D560" s="90" t="str">
        <f t="shared" si="76"/>
        <v>mars2022</v>
      </c>
      <c r="E560" s="91" t="s">
        <v>487</v>
      </c>
      <c r="F560" s="91">
        <v>140</v>
      </c>
      <c r="G560" s="94">
        <f t="shared" si="77"/>
        <v>0.14000000000000001</v>
      </c>
      <c r="H560" s="92" t="s">
        <v>46</v>
      </c>
      <c r="I560" s="96">
        <f t="shared" si="72"/>
        <v>0.3</v>
      </c>
      <c r="J560" s="96">
        <f t="shared" si="73"/>
        <v>0.7</v>
      </c>
      <c r="K560" s="92">
        <f>VLOOKUP(H560,'Taux émission CO2e'!$A$5:$D$16,4,FALSE)</f>
        <v>0.16</v>
      </c>
      <c r="L560" s="93">
        <f t="shared" si="78"/>
        <v>3.6221740800000006</v>
      </c>
      <c r="M560" s="92">
        <f>VLOOKUP(H560,'Taux émission CO2e'!$A$20:$D$31,4,FALSE)</f>
        <v>6.7400000000000002E-2</v>
      </c>
      <c r="N560" s="105">
        <f t="shared" si="79"/>
        <v>3.5602952728000004</v>
      </c>
      <c r="O560" s="93">
        <f t="shared" si="80"/>
        <v>7.182469352800001</v>
      </c>
      <c r="P560" s="92">
        <v>133</v>
      </c>
      <c r="Q560" s="92" t="s">
        <v>58</v>
      </c>
      <c r="R560" s="92" t="s">
        <v>405</v>
      </c>
      <c r="S560" s="20">
        <v>539.01400000000001</v>
      </c>
    </row>
    <row r="561" spans="1:19" x14ac:dyDescent="0.15">
      <c r="A561" s="90">
        <v>44621</v>
      </c>
      <c r="B561" s="90" t="str">
        <f t="shared" si="74"/>
        <v>mars</v>
      </c>
      <c r="C561" s="90" t="str">
        <f t="shared" si="75"/>
        <v>2022</v>
      </c>
      <c r="D561" s="90" t="str">
        <f t="shared" si="76"/>
        <v>mars2022</v>
      </c>
      <c r="E561" s="91" t="s">
        <v>488</v>
      </c>
      <c r="F561" s="91">
        <v>200</v>
      </c>
      <c r="G561" s="94">
        <f t="shared" si="77"/>
        <v>0.2</v>
      </c>
      <c r="H561" s="92" t="s">
        <v>46</v>
      </c>
      <c r="I561" s="96">
        <f t="shared" si="72"/>
        <v>0.3</v>
      </c>
      <c r="J561" s="96">
        <f t="shared" si="73"/>
        <v>0.7</v>
      </c>
      <c r="K561" s="92">
        <f>VLOOKUP(H561,'Taux émission CO2e'!$A$5:$D$16,4,FALSE)</f>
        <v>0.16</v>
      </c>
      <c r="L561" s="93">
        <f t="shared" si="78"/>
        <v>3.6536256000000003</v>
      </c>
      <c r="M561" s="92">
        <f>VLOOKUP(H561,'Taux émission CO2e'!$A$20:$D$31,4,FALSE)</f>
        <v>6.7400000000000002E-2</v>
      </c>
      <c r="N561" s="105">
        <f t="shared" si="79"/>
        <v>3.5912094960000003</v>
      </c>
      <c r="O561" s="93">
        <f t="shared" si="80"/>
        <v>7.244835096000001</v>
      </c>
      <c r="P561" s="92">
        <v>166</v>
      </c>
      <c r="Q561" s="92" t="s">
        <v>91</v>
      </c>
      <c r="R561" s="92" t="s">
        <v>55</v>
      </c>
      <c r="S561" s="20">
        <v>380.58600000000001</v>
      </c>
    </row>
    <row r="562" spans="1:19" x14ac:dyDescent="0.15">
      <c r="A562" s="90">
        <v>44621</v>
      </c>
      <c r="B562" s="90" t="str">
        <f t="shared" si="74"/>
        <v>mars</v>
      </c>
      <c r="C562" s="90" t="str">
        <f t="shared" si="75"/>
        <v>2022</v>
      </c>
      <c r="D562" s="90" t="str">
        <f t="shared" si="76"/>
        <v>mars2022</v>
      </c>
      <c r="E562" s="91" t="s">
        <v>489</v>
      </c>
      <c r="F562" s="91">
        <v>600</v>
      </c>
      <c r="G562" s="94">
        <f t="shared" si="77"/>
        <v>0.6</v>
      </c>
      <c r="H562" s="92" t="s">
        <v>46</v>
      </c>
      <c r="I562" s="96">
        <f t="shared" si="72"/>
        <v>0.3</v>
      </c>
      <c r="J562" s="96">
        <f t="shared" si="73"/>
        <v>0.7</v>
      </c>
      <c r="K562" s="92">
        <f>VLOOKUP(H562,'Taux émission CO2e'!$A$5:$D$16,4,FALSE)</f>
        <v>0.16</v>
      </c>
      <c r="L562" s="93">
        <f t="shared" si="78"/>
        <v>21.324816000000002</v>
      </c>
      <c r="M562" s="92">
        <f>VLOOKUP(H562,'Taux émission CO2e'!$A$20:$D$31,4,FALSE)</f>
        <v>6.7400000000000002E-2</v>
      </c>
      <c r="N562" s="105">
        <f t="shared" si="79"/>
        <v>20.960517060000001</v>
      </c>
      <c r="O562" s="93">
        <f t="shared" si="80"/>
        <v>42.285333059999999</v>
      </c>
      <c r="P562" s="92">
        <v>444.15</v>
      </c>
      <c r="Q562" s="92" t="s">
        <v>58</v>
      </c>
      <c r="R562" s="92" t="s">
        <v>59</v>
      </c>
      <c r="S562" s="20">
        <v>740.44500000000005</v>
      </c>
    </row>
    <row r="563" spans="1:19" x14ac:dyDescent="0.15">
      <c r="A563" s="90">
        <v>44622</v>
      </c>
      <c r="B563" s="90" t="str">
        <f t="shared" si="74"/>
        <v>mars</v>
      </c>
      <c r="C563" s="90" t="str">
        <f t="shared" si="75"/>
        <v>2022</v>
      </c>
      <c r="D563" s="90" t="str">
        <f t="shared" si="76"/>
        <v>mars2022</v>
      </c>
      <c r="E563" s="91" t="s">
        <v>490</v>
      </c>
      <c r="F563" s="91">
        <v>123</v>
      </c>
      <c r="G563" s="94">
        <f t="shared" si="77"/>
        <v>0.123</v>
      </c>
      <c r="H563" s="92" t="s">
        <v>46</v>
      </c>
      <c r="I563" s="96">
        <f t="shared" si="72"/>
        <v>0.3</v>
      </c>
      <c r="J563" s="96">
        <f t="shared" si="73"/>
        <v>0.7</v>
      </c>
      <c r="K563" s="92">
        <f>VLOOKUP(H563,'Taux émission CO2e'!$A$5:$D$16,4,FALSE)</f>
        <v>0.16</v>
      </c>
      <c r="L563" s="93">
        <f t="shared" si="78"/>
        <v>3.1951267199999998</v>
      </c>
      <c r="M563" s="92">
        <f>VLOOKUP(H563,'Taux émission CO2e'!$A$20:$D$31,4,FALSE)</f>
        <v>6.7400000000000002E-2</v>
      </c>
      <c r="N563" s="105">
        <f t="shared" si="79"/>
        <v>3.1405433051999996</v>
      </c>
      <c r="O563" s="93">
        <f t="shared" si="80"/>
        <v>6.3356700251999989</v>
      </c>
      <c r="P563" s="92">
        <v>123</v>
      </c>
      <c r="Q563" s="92" t="s">
        <v>58</v>
      </c>
      <c r="R563" s="92" t="s">
        <v>65</v>
      </c>
      <c r="S563" s="20">
        <v>541.17999999999995</v>
      </c>
    </row>
    <row r="564" spans="1:19" x14ac:dyDescent="0.15">
      <c r="A564" s="90">
        <v>44622</v>
      </c>
      <c r="B564" s="90" t="str">
        <f t="shared" si="74"/>
        <v>mars</v>
      </c>
      <c r="C564" s="90" t="str">
        <f t="shared" si="75"/>
        <v>2022</v>
      </c>
      <c r="D564" s="90" t="str">
        <f t="shared" si="76"/>
        <v>mars2022</v>
      </c>
      <c r="E564" s="91" t="s">
        <v>491</v>
      </c>
      <c r="F564" s="91">
        <v>200</v>
      </c>
      <c r="G564" s="94">
        <f t="shared" si="77"/>
        <v>0.2</v>
      </c>
      <c r="H564" s="92" t="s">
        <v>46</v>
      </c>
      <c r="I564" s="96">
        <f t="shared" si="72"/>
        <v>0.3</v>
      </c>
      <c r="J564" s="96">
        <f t="shared" si="73"/>
        <v>0.7</v>
      </c>
      <c r="K564" s="92">
        <f>VLOOKUP(H564,'Taux émission CO2e'!$A$5:$D$16,4,FALSE)</f>
        <v>0.16</v>
      </c>
      <c r="L564" s="93">
        <f t="shared" si="78"/>
        <v>2.4772128000000002</v>
      </c>
      <c r="M564" s="92">
        <f>VLOOKUP(H564,'Taux émission CO2e'!$A$20:$D$31,4,FALSE)</f>
        <v>6.7400000000000002E-2</v>
      </c>
      <c r="N564" s="105">
        <f t="shared" si="79"/>
        <v>2.4348937479999999</v>
      </c>
      <c r="O564" s="93">
        <f t="shared" si="80"/>
        <v>4.9121065480000006</v>
      </c>
      <c r="P564" s="92">
        <v>131</v>
      </c>
      <c r="Q564" s="92" t="s">
        <v>102</v>
      </c>
      <c r="R564" s="92" t="s">
        <v>55</v>
      </c>
      <c r="S564" s="20">
        <v>258.04300000000001</v>
      </c>
    </row>
    <row r="565" spans="1:19" x14ac:dyDescent="0.15">
      <c r="A565" s="90">
        <v>44622</v>
      </c>
      <c r="B565" s="90" t="str">
        <f t="shared" si="74"/>
        <v>mars</v>
      </c>
      <c r="C565" s="90" t="str">
        <f t="shared" si="75"/>
        <v>2022</v>
      </c>
      <c r="D565" s="90" t="str">
        <f t="shared" si="76"/>
        <v>mars2022</v>
      </c>
      <c r="E565" s="91" t="s">
        <v>492</v>
      </c>
      <c r="F565" s="91">
        <v>300</v>
      </c>
      <c r="G565" s="94">
        <f t="shared" si="77"/>
        <v>0.3</v>
      </c>
      <c r="H565" s="92" t="s">
        <v>45</v>
      </c>
      <c r="I565" s="96">
        <f t="shared" si="72"/>
        <v>0.3</v>
      </c>
      <c r="J565" s="96">
        <f t="shared" si="73"/>
        <v>0.7</v>
      </c>
      <c r="K565" s="92">
        <f>VLOOKUP(H565,'Taux émission CO2e'!$A$5:$D$16,4,FALSE)</f>
        <v>0.16</v>
      </c>
      <c r="L565" s="93">
        <f t="shared" si="78"/>
        <v>4.0103568000000003</v>
      </c>
      <c r="M565" s="92">
        <f>VLOOKUP(H565,'Taux émission CO2e'!$A$20:$D$31,4,FALSE)</f>
        <v>6.7400000000000002E-2</v>
      </c>
      <c r="N565" s="105">
        <f t="shared" si="79"/>
        <v>3.9418465380000001</v>
      </c>
      <c r="O565" s="93">
        <f t="shared" si="80"/>
        <v>7.9522033380000003</v>
      </c>
      <c r="P565" s="92">
        <v>131</v>
      </c>
      <c r="Q565" s="92" t="s">
        <v>90</v>
      </c>
      <c r="R565" s="92" t="s">
        <v>55</v>
      </c>
      <c r="S565" s="20">
        <v>278.49700000000001</v>
      </c>
    </row>
    <row r="566" spans="1:19" x14ac:dyDescent="0.15">
      <c r="A566" s="90">
        <v>44622</v>
      </c>
      <c r="B566" s="90" t="str">
        <f t="shared" si="74"/>
        <v>mars</v>
      </c>
      <c r="C566" s="90" t="str">
        <f t="shared" si="75"/>
        <v>2022</v>
      </c>
      <c r="D566" s="90" t="str">
        <f t="shared" si="76"/>
        <v>mars2022</v>
      </c>
      <c r="E566" s="91" t="s">
        <v>493</v>
      </c>
      <c r="F566" s="91">
        <v>270</v>
      </c>
      <c r="G566" s="94">
        <f t="shared" si="77"/>
        <v>0.27</v>
      </c>
      <c r="H566" s="92" t="s">
        <v>46</v>
      </c>
      <c r="I566" s="96">
        <f t="shared" si="72"/>
        <v>0.3</v>
      </c>
      <c r="J566" s="96">
        <f t="shared" si="73"/>
        <v>0.7</v>
      </c>
      <c r="K566" s="92">
        <f>VLOOKUP(H566,'Taux émission CO2e'!$A$5:$D$16,4,FALSE)</f>
        <v>0.16</v>
      </c>
      <c r="L566" s="93">
        <f t="shared" si="78"/>
        <v>3.2244091200000002</v>
      </c>
      <c r="M566" s="92">
        <f>VLOOKUP(H566,'Taux émission CO2e'!$A$20:$D$31,4,FALSE)</f>
        <v>6.7400000000000002E-2</v>
      </c>
      <c r="N566" s="105">
        <f t="shared" si="79"/>
        <v>3.1693254642000004</v>
      </c>
      <c r="O566" s="93">
        <f t="shared" si="80"/>
        <v>6.3937345842000006</v>
      </c>
      <c r="P566" s="92">
        <v>140</v>
      </c>
      <c r="Q566" s="92" t="s">
        <v>58</v>
      </c>
      <c r="R566" s="92" t="s">
        <v>82</v>
      </c>
      <c r="S566" s="20">
        <v>248.797</v>
      </c>
    </row>
    <row r="567" spans="1:19" x14ac:dyDescent="0.15">
      <c r="A567" s="90">
        <v>44622</v>
      </c>
      <c r="B567" s="90" t="str">
        <f t="shared" si="74"/>
        <v>mars</v>
      </c>
      <c r="C567" s="90" t="str">
        <f t="shared" si="75"/>
        <v>2022</v>
      </c>
      <c r="D567" s="90" t="str">
        <f t="shared" si="76"/>
        <v>mars2022</v>
      </c>
      <c r="E567" s="91" t="s">
        <v>494</v>
      </c>
      <c r="F567" s="91">
        <v>180</v>
      </c>
      <c r="G567" s="94">
        <f t="shared" si="77"/>
        <v>0.18</v>
      </c>
      <c r="H567" s="92" t="s">
        <v>46</v>
      </c>
      <c r="I567" s="96">
        <f t="shared" si="72"/>
        <v>0.3</v>
      </c>
      <c r="J567" s="96">
        <f t="shared" si="73"/>
        <v>0.7</v>
      </c>
      <c r="K567" s="92">
        <f>VLOOKUP(H567,'Taux émission CO2e'!$A$5:$D$16,4,FALSE)</f>
        <v>0.16</v>
      </c>
      <c r="L567" s="93">
        <f t="shared" si="78"/>
        <v>4.9710758400000001</v>
      </c>
      <c r="M567" s="92">
        <f>VLOOKUP(H567,'Taux émission CO2e'!$A$20:$D$31,4,FALSE)</f>
        <v>6.7400000000000002E-2</v>
      </c>
      <c r="N567" s="105">
        <f t="shared" si="79"/>
        <v>4.8861532943999997</v>
      </c>
      <c r="O567" s="93">
        <f t="shared" si="80"/>
        <v>9.8572291344000007</v>
      </c>
      <c r="P567" s="92">
        <v>155</v>
      </c>
      <c r="Q567" s="92" t="s">
        <v>58</v>
      </c>
      <c r="R567" s="92" t="s">
        <v>495</v>
      </c>
      <c r="S567" s="20">
        <v>575.35599999999999</v>
      </c>
    </row>
    <row r="568" spans="1:19" x14ac:dyDescent="0.15">
      <c r="A568" s="90">
        <v>44622</v>
      </c>
      <c r="B568" s="90" t="str">
        <f t="shared" si="74"/>
        <v>mars</v>
      </c>
      <c r="C568" s="90" t="str">
        <f t="shared" si="75"/>
        <v>2022</v>
      </c>
      <c r="D568" s="90" t="str">
        <f t="shared" si="76"/>
        <v>mars2022</v>
      </c>
      <c r="E568" s="91" t="s">
        <v>496</v>
      </c>
      <c r="F568" s="91">
        <v>150</v>
      </c>
      <c r="G568" s="94">
        <f t="shared" si="77"/>
        <v>0.15</v>
      </c>
      <c r="H568" s="92" t="s">
        <v>45</v>
      </c>
      <c r="I568" s="96">
        <f t="shared" si="72"/>
        <v>0.3</v>
      </c>
      <c r="J568" s="96">
        <f t="shared" si="73"/>
        <v>0.7</v>
      </c>
      <c r="K568" s="92">
        <f>VLOOKUP(H568,'Taux émission CO2e'!$A$5:$D$16,4,FALSE)</f>
        <v>0.16</v>
      </c>
      <c r="L568" s="93">
        <f t="shared" si="78"/>
        <v>2.0026439999999996</v>
      </c>
      <c r="M568" s="92">
        <f>VLOOKUP(H568,'Taux émission CO2e'!$A$20:$D$31,4,FALSE)</f>
        <v>6.7400000000000002E-2</v>
      </c>
      <c r="N568" s="105">
        <f t="shared" si="79"/>
        <v>1.9684321649999998</v>
      </c>
      <c r="O568" s="93">
        <f t="shared" si="80"/>
        <v>3.9710761649999995</v>
      </c>
      <c r="P568" s="92">
        <v>158</v>
      </c>
      <c r="Q568" s="92" t="s">
        <v>74</v>
      </c>
      <c r="R568" s="92" t="s">
        <v>55</v>
      </c>
      <c r="S568" s="20">
        <v>278.14499999999998</v>
      </c>
    </row>
    <row r="569" spans="1:19" x14ac:dyDescent="0.15">
      <c r="A569" s="90">
        <v>44623</v>
      </c>
      <c r="B569" s="90" t="str">
        <f t="shared" si="74"/>
        <v>mars</v>
      </c>
      <c r="C569" s="90" t="str">
        <f t="shared" si="75"/>
        <v>2022</v>
      </c>
      <c r="D569" s="90" t="str">
        <f t="shared" si="76"/>
        <v>mars2022</v>
      </c>
      <c r="E569" s="91" t="s">
        <v>497</v>
      </c>
      <c r="F569" s="91">
        <v>150</v>
      </c>
      <c r="G569" s="94">
        <f t="shared" si="77"/>
        <v>0.15</v>
      </c>
      <c r="H569" s="92" t="s">
        <v>46</v>
      </c>
      <c r="I569" s="96">
        <f t="shared" si="72"/>
        <v>0.3</v>
      </c>
      <c r="J569" s="96">
        <f t="shared" si="73"/>
        <v>0.7</v>
      </c>
      <c r="K569" s="92">
        <f>VLOOKUP(H569,'Taux émission CO2e'!$A$5:$D$16,4,FALSE)</f>
        <v>0.16</v>
      </c>
      <c r="L569" s="93">
        <f t="shared" si="78"/>
        <v>2.7392759999999998</v>
      </c>
      <c r="M569" s="92">
        <f>VLOOKUP(H569,'Taux émission CO2e'!$A$20:$D$31,4,FALSE)</f>
        <v>6.7400000000000002E-2</v>
      </c>
      <c r="N569" s="105">
        <f t="shared" si="79"/>
        <v>2.692480035</v>
      </c>
      <c r="O569" s="93">
        <f t="shared" si="80"/>
        <v>5.4317560349999994</v>
      </c>
      <c r="P569" s="92">
        <v>130</v>
      </c>
      <c r="Q569" s="92" t="s">
        <v>58</v>
      </c>
      <c r="R569" s="92" t="s">
        <v>83</v>
      </c>
      <c r="S569" s="20">
        <v>380.45499999999998</v>
      </c>
    </row>
    <row r="570" spans="1:19" x14ac:dyDescent="0.15">
      <c r="A570" s="90">
        <v>44623</v>
      </c>
      <c r="B570" s="90" t="str">
        <f t="shared" si="74"/>
        <v>mars</v>
      </c>
      <c r="C570" s="90" t="str">
        <f t="shared" si="75"/>
        <v>2022</v>
      </c>
      <c r="D570" s="90" t="str">
        <f t="shared" si="76"/>
        <v>mars2022</v>
      </c>
      <c r="E570" s="91" t="s">
        <v>498</v>
      </c>
      <c r="F570" s="91">
        <v>150</v>
      </c>
      <c r="G570" s="94">
        <f t="shared" si="77"/>
        <v>0.15</v>
      </c>
      <c r="H570" s="92" t="s">
        <v>45</v>
      </c>
      <c r="I570" s="96">
        <f t="shared" si="72"/>
        <v>0.3</v>
      </c>
      <c r="J570" s="96">
        <f t="shared" si="73"/>
        <v>0.7</v>
      </c>
      <c r="K570" s="92">
        <f>VLOOKUP(H570,'Taux émission CO2e'!$A$5:$D$16,4,FALSE)</f>
        <v>0.16</v>
      </c>
      <c r="L570" s="93">
        <f t="shared" si="78"/>
        <v>1.8020015999999999</v>
      </c>
      <c r="M570" s="92">
        <f>VLOOKUP(H570,'Taux émission CO2e'!$A$20:$D$31,4,FALSE)</f>
        <v>6.7400000000000002E-2</v>
      </c>
      <c r="N570" s="105">
        <f t="shared" si="79"/>
        <v>1.7712174059999999</v>
      </c>
      <c r="O570" s="93">
        <f t="shared" si="80"/>
        <v>3.5732190059999995</v>
      </c>
      <c r="P570" s="92">
        <v>158</v>
      </c>
      <c r="Q570" s="92" t="s">
        <v>89</v>
      </c>
      <c r="R570" s="92" t="s">
        <v>55</v>
      </c>
      <c r="S570" s="20">
        <v>250.27799999999999</v>
      </c>
    </row>
    <row r="571" spans="1:19" x14ac:dyDescent="0.15">
      <c r="A571" s="90">
        <v>44623</v>
      </c>
      <c r="B571" s="90" t="str">
        <f t="shared" si="74"/>
        <v>mars</v>
      </c>
      <c r="C571" s="90" t="str">
        <f t="shared" si="75"/>
        <v>2022</v>
      </c>
      <c r="D571" s="90" t="str">
        <f t="shared" si="76"/>
        <v>mars2022</v>
      </c>
      <c r="E571" s="91" t="s">
        <v>499</v>
      </c>
      <c r="F571" s="91">
        <v>150</v>
      </c>
      <c r="G571" s="94">
        <f t="shared" si="77"/>
        <v>0.15</v>
      </c>
      <c r="H571" s="92" t="s">
        <v>46</v>
      </c>
      <c r="I571" s="96">
        <f t="shared" si="72"/>
        <v>0.3</v>
      </c>
      <c r="J571" s="96">
        <f t="shared" si="73"/>
        <v>0.7</v>
      </c>
      <c r="K571" s="92">
        <f>VLOOKUP(H571,'Taux émission CO2e'!$A$5:$D$16,4,FALSE)</f>
        <v>0.16</v>
      </c>
      <c r="L571" s="93">
        <f t="shared" si="78"/>
        <v>3.8989871999999997</v>
      </c>
      <c r="M571" s="92">
        <f>VLOOKUP(H571,'Taux émission CO2e'!$A$20:$D$31,4,FALSE)</f>
        <v>6.7400000000000002E-2</v>
      </c>
      <c r="N571" s="105">
        <f t="shared" si="79"/>
        <v>3.8323795019999998</v>
      </c>
      <c r="O571" s="93">
        <f t="shared" si="80"/>
        <v>7.731366701999999</v>
      </c>
      <c r="P571" s="92">
        <v>196</v>
      </c>
      <c r="Q571" s="92" t="s">
        <v>62</v>
      </c>
      <c r="R571" s="92" t="s">
        <v>55</v>
      </c>
      <c r="S571" s="20">
        <v>541.52599999999995</v>
      </c>
    </row>
    <row r="572" spans="1:19" x14ac:dyDescent="0.15">
      <c r="A572" s="90">
        <v>44624</v>
      </c>
      <c r="B572" s="90" t="str">
        <f t="shared" si="74"/>
        <v>mars</v>
      </c>
      <c r="C572" s="90" t="str">
        <f t="shared" si="75"/>
        <v>2022</v>
      </c>
      <c r="D572" s="90" t="str">
        <f t="shared" si="76"/>
        <v>mars2022</v>
      </c>
      <c r="E572" s="91" t="s">
        <v>500</v>
      </c>
      <c r="F572" s="91">
        <v>100</v>
      </c>
      <c r="G572" s="94">
        <f t="shared" si="77"/>
        <v>0.1</v>
      </c>
      <c r="H572" s="92" t="s">
        <v>45</v>
      </c>
      <c r="I572" s="96">
        <f t="shared" si="72"/>
        <v>0.3</v>
      </c>
      <c r="J572" s="96">
        <f t="shared" si="73"/>
        <v>0.7</v>
      </c>
      <c r="K572" s="92">
        <f>VLOOKUP(H572,'Taux émission CO2e'!$A$5:$D$16,4,FALSE)</f>
        <v>0.16</v>
      </c>
      <c r="L572" s="93">
        <f t="shared" si="78"/>
        <v>0.22380960000000003</v>
      </c>
      <c r="M572" s="92">
        <f>VLOOKUP(H572,'Taux émission CO2e'!$A$20:$D$31,4,FALSE)</f>
        <v>6.7400000000000002E-2</v>
      </c>
      <c r="N572" s="105">
        <f t="shared" si="79"/>
        <v>0.219986186</v>
      </c>
      <c r="O572" s="93">
        <f t="shared" si="80"/>
        <v>0.44379578600000003</v>
      </c>
      <c r="P572" s="92">
        <v>80</v>
      </c>
      <c r="Q572" s="92" t="s">
        <v>58</v>
      </c>
      <c r="R572" s="92" t="s">
        <v>421</v>
      </c>
      <c r="S572" s="20">
        <v>46.627000000000002</v>
      </c>
    </row>
    <row r="573" spans="1:19" x14ac:dyDescent="0.15">
      <c r="A573" s="90">
        <v>44624</v>
      </c>
      <c r="B573" s="90" t="str">
        <f t="shared" si="74"/>
        <v>mars</v>
      </c>
      <c r="C573" s="90" t="str">
        <f t="shared" si="75"/>
        <v>2022</v>
      </c>
      <c r="D573" s="90" t="str">
        <f t="shared" si="76"/>
        <v>mars2022</v>
      </c>
      <c r="E573" s="91" t="s">
        <v>501</v>
      </c>
      <c r="F573" s="91">
        <v>45</v>
      </c>
      <c r="G573" s="94">
        <f t="shared" si="77"/>
        <v>4.4999999999999998E-2</v>
      </c>
      <c r="H573" s="92" t="s">
        <v>46</v>
      </c>
      <c r="I573" s="96">
        <f t="shared" si="72"/>
        <v>0.3</v>
      </c>
      <c r="J573" s="96">
        <f t="shared" si="73"/>
        <v>0.7</v>
      </c>
      <c r="K573" s="92">
        <f>VLOOKUP(H573,'Taux émission CO2e'!$A$5:$D$16,4,FALSE)</f>
        <v>0.16</v>
      </c>
      <c r="L573" s="93">
        <f t="shared" si="78"/>
        <v>0.99037512000000005</v>
      </c>
      <c r="M573" s="92">
        <f>VLOOKUP(H573,'Taux émission CO2e'!$A$20:$D$31,4,FALSE)</f>
        <v>6.7400000000000002E-2</v>
      </c>
      <c r="N573" s="105">
        <f t="shared" si="79"/>
        <v>0.97345621169999985</v>
      </c>
      <c r="O573" s="93">
        <f t="shared" si="80"/>
        <v>1.9638313316999998</v>
      </c>
      <c r="P573" s="92">
        <v>118</v>
      </c>
      <c r="Q573" s="92" t="s">
        <v>58</v>
      </c>
      <c r="R573" s="92" t="s">
        <v>427</v>
      </c>
      <c r="S573" s="20">
        <v>458.50700000000001</v>
      </c>
    </row>
    <row r="574" spans="1:19" x14ac:dyDescent="0.15">
      <c r="A574" s="90">
        <v>44624</v>
      </c>
      <c r="B574" s="90" t="str">
        <f t="shared" si="74"/>
        <v>mars</v>
      </c>
      <c r="C574" s="90" t="str">
        <f t="shared" si="75"/>
        <v>2022</v>
      </c>
      <c r="D574" s="90" t="str">
        <f t="shared" si="76"/>
        <v>mars2022</v>
      </c>
      <c r="E574" s="91" t="s">
        <v>502</v>
      </c>
      <c r="F574" s="91">
        <v>300</v>
      </c>
      <c r="G574" s="94">
        <f t="shared" si="77"/>
        <v>0.3</v>
      </c>
      <c r="H574" s="92" t="s">
        <v>46</v>
      </c>
      <c r="I574" s="96">
        <f t="shared" si="72"/>
        <v>0.3</v>
      </c>
      <c r="J574" s="96">
        <f t="shared" si="73"/>
        <v>0.7</v>
      </c>
      <c r="K574" s="92">
        <f>VLOOKUP(H574,'Taux émission CO2e'!$A$5:$D$16,4,FALSE)</f>
        <v>0.16</v>
      </c>
      <c r="L574" s="93">
        <f t="shared" si="78"/>
        <v>10.748404799999999</v>
      </c>
      <c r="M574" s="92">
        <f>VLOOKUP(H574,'Taux émission CO2e'!$A$20:$D$31,4,FALSE)</f>
        <v>6.7400000000000002E-2</v>
      </c>
      <c r="N574" s="105">
        <f t="shared" si="79"/>
        <v>10.564786218</v>
      </c>
      <c r="O574" s="93">
        <f t="shared" si="80"/>
        <v>21.313191017999998</v>
      </c>
      <c r="P574" s="92">
        <v>175</v>
      </c>
      <c r="Q574" s="92" t="s">
        <v>503</v>
      </c>
      <c r="R574" s="92" t="s">
        <v>55</v>
      </c>
      <c r="S574" s="20">
        <v>746.41700000000003</v>
      </c>
    </row>
    <row r="575" spans="1:19" x14ac:dyDescent="0.15">
      <c r="A575" s="90">
        <v>44627</v>
      </c>
      <c r="B575" s="90" t="str">
        <f t="shared" si="74"/>
        <v>mars</v>
      </c>
      <c r="C575" s="90" t="str">
        <f t="shared" si="75"/>
        <v>2022</v>
      </c>
      <c r="D575" s="90" t="str">
        <f t="shared" si="76"/>
        <v>mars2022</v>
      </c>
      <c r="E575" s="91" t="s">
        <v>504</v>
      </c>
      <c r="F575" s="91">
        <v>290</v>
      </c>
      <c r="G575" s="94">
        <f t="shared" si="77"/>
        <v>0.28999999999999998</v>
      </c>
      <c r="H575" s="92" t="s">
        <v>45</v>
      </c>
      <c r="I575" s="96">
        <f t="shared" si="72"/>
        <v>0.3</v>
      </c>
      <c r="J575" s="96">
        <f t="shared" si="73"/>
        <v>0.7</v>
      </c>
      <c r="K575" s="92">
        <f>VLOOKUP(H575,'Taux émission CO2e'!$A$5:$D$16,4,FALSE)</f>
        <v>0.16</v>
      </c>
      <c r="L575" s="93">
        <f t="shared" si="78"/>
        <v>0.64904784000000004</v>
      </c>
      <c r="M575" s="92">
        <f>VLOOKUP(H575,'Taux émission CO2e'!$A$20:$D$31,4,FALSE)</f>
        <v>6.7400000000000002E-2</v>
      </c>
      <c r="N575" s="105">
        <f t="shared" si="79"/>
        <v>0.63795993939999995</v>
      </c>
      <c r="O575" s="93">
        <f t="shared" si="80"/>
        <v>1.2870077794000001</v>
      </c>
      <c r="P575" s="92">
        <v>110</v>
      </c>
      <c r="Q575" s="92" t="s">
        <v>58</v>
      </c>
      <c r="R575" s="92" t="s">
        <v>421</v>
      </c>
      <c r="S575" s="20">
        <v>46.627000000000002</v>
      </c>
    </row>
    <row r="576" spans="1:19" x14ac:dyDescent="0.15">
      <c r="A576" s="90">
        <v>44627</v>
      </c>
      <c r="B576" s="90" t="str">
        <f t="shared" si="74"/>
        <v>mars</v>
      </c>
      <c r="C576" s="90" t="str">
        <f t="shared" si="75"/>
        <v>2022</v>
      </c>
      <c r="D576" s="90" t="str">
        <f t="shared" si="76"/>
        <v>mars2022</v>
      </c>
      <c r="E576" s="91" t="s">
        <v>505</v>
      </c>
      <c r="F576" s="91">
        <v>150</v>
      </c>
      <c r="G576" s="94">
        <f t="shared" si="77"/>
        <v>0.15</v>
      </c>
      <c r="H576" s="92" t="s">
        <v>45</v>
      </c>
      <c r="I576" s="96">
        <f t="shared" si="72"/>
        <v>0.3</v>
      </c>
      <c r="J576" s="96">
        <f t="shared" si="73"/>
        <v>0.7</v>
      </c>
      <c r="K576" s="92">
        <f>VLOOKUP(H576,'Taux émission CO2e'!$A$5:$D$16,4,FALSE)</f>
        <v>0.16</v>
      </c>
      <c r="L576" s="93">
        <f t="shared" si="78"/>
        <v>1.8138168000000001</v>
      </c>
      <c r="M576" s="92">
        <f>VLOOKUP(H576,'Taux émission CO2e'!$A$20:$D$31,4,FALSE)</f>
        <v>6.7400000000000002E-2</v>
      </c>
      <c r="N576" s="105">
        <f t="shared" si="79"/>
        <v>1.782830763</v>
      </c>
      <c r="O576" s="93">
        <f t="shared" si="80"/>
        <v>3.5966475630000003</v>
      </c>
      <c r="P576" s="92">
        <v>158</v>
      </c>
      <c r="Q576" s="92" t="s">
        <v>92</v>
      </c>
      <c r="R576" s="92" t="s">
        <v>55</v>
      </c>
      <c r="S576" s="20">
        <v>251.91900000000001</v>
      </c>
    </row>
    <row r="577" spans="1:19" x14ac:dyDescent="0.15">
      <c r="A577" s="90">
        <v>44627</v>
      </c>
      <c r="B577" s="90" t="str">
        <f t="shared" si="74"/>
        <v>mars</v>
      </c>
      <c r="C577" s="90" t="str">
        <f t="shared" si="75"/>
        <v>2022</v>
      </c>
      <c r="D577" s="90" t="str">
        <f t="shared" si="76"/>
        <v>mars2022</v>
      </c>
      <c r="E577" s="91" t="s">
        <v>506</v>
      </c>
      <c r="F577" s="91">
        <v>150</v>
      </c>
      <c r="G577" s="94">
        <f t="shared" si="77"/>
        <v>0.15</v>
      </c>
      <c r="H577" s="92" t="s">
        <v>45</v>
      </c>
      <c r="I577" s="96">
        <f t="shared" si="72"/>
        <v>0.3</v>
      </c>
      <c r="J577" s="96">
        <f t="shared" si="73"/>
        <v>0.7</v>
      </c>
      <c r="K577" s="92">
        <f>VLOOKUP(H577,'Taux émission CO2e'!$A$5:$D$16,4,FALSE)</f>
        <v>0.16</v>
      </c>
      <c r="L577" s="93">
        <f t="shared" si="78"/>
        <v>3.7186128000000003</v>
      </c>
      <c r="M577" s="92">
        <f>VLOOKUP(H577,'Taux émission CO2e'!$A$20:$D$31,4,FALSE)</f>
        <v>6.7400000000000002E-2</v>
      </c>
      <c r="N577" s="105">
        <f t="shared" si="79"/>
        <v>3.6550864980000002</v>
      </c>
      <c r="O577" s="93">
        <f t="shared" si="80"/>
        <v>7.373699298</v>
      </c>
      <c r="P577" s="92">
        <v>228</v>
      </c>
      <c r="Q577" s="92" t="s">
        <v>52</v>
      </c>
      <c r="R577" s="92" t="s">
        <v>55</v>
      </c>
      <c r="S577" s="20">
        <v>516.47400000000005</v>
      </c>
    </row>
    <row r="578" spans="1:19" x14ac:dyDescent="0.15">
      <c r="A578" s="90">
        <v>44628</v>
      </c>
      <c r="B578" s="90" t="str">
        <f t="shared" si="74"/>
        <v>mars</v>
      </c>
      <c r="C578" s="90" t="str">
        <f t="shared" si="75"/>
        <v>2022</v>
      </c>
      <c r="D578" s="90" t="str">
        <f t="shared" si="76"/>
        <v>mars2022</v>
      </c>
      <c r="E578" s="91" t="s">
        <v>507</v>
      </c>
      <c r="F578" s="91">
        <v>150</v>
      </c>
      <c r="G578" s="94">
        <f t="shared" si="77"/>
        <v>0.15</v>
      </c>
      <c r="H578" s="92" t="s">
        <v>38</v>
      </c>
      <c r="I578" s="96">
        <f t="shared" ref="I578:I641" si="81">VLOOKUP(H578,Segment1,2,FALSE)</f>
        <v>1</v>
      </c>
      <c r="J578" s="96">
        <f t="shared" ref="J578:J641" si="82">VLOOKUP(H578,Segment2,2,FALSE)</f>
        <v>0</v>
      </c>
      <c r="K578" s="92">
        <f>VLOOKUP(H578,'Taux émission CO2e'!$A$5:$D$16,4,FALSE)</f>
        <v>0.24099999999999999</v>
      </c>
      <c r="L578" s="93">
        <f t="shared" si="78"/>
        <v>1.2287746499999999</v>
      </c>
      <c r="M578" s="92">
        <f>VLOOKUP(H578,'Taux émission CO2e'!$A$20:$D$31,4,FALSE)</f>
        <v>0</v>
      </c>
      <c r="N578" s="105">
        <f t="shared" si="79"/>
        <v>0</v>
      </c>
      <c r="O578" s="93">
        <f t="shared" si="80"/>
        <v>1.2287746499999999</v>
      </c>
      <c r="P578" s="92">
        <v>80</v>
      </c>
      <c r="Q578" s="92" t="s">
        <v>67</v>
      </c>
      <c r="R578" s="92" t="s">
        <v>55</v>
      </c>
      <c r="S578" s="20">
        <v>33.991</v>
      </c>
    </row>
    <row r="579" spans="1:19" x14ac:dyDescent="0.15">
      <c r="A579" s="90">
        <v>44628</v>
      </c>
      <c r="B579" s="90" t="str">
        <f t="shared" ref="B579:B642" si="83">TEXT(A579,"mmmm")</f>
        <v>mars</v>
      </c>
      <c r="C579" s="90" t="str">
        <f t="shared" ref="C579:C642" si="84">TEXT(A579,"aaaa")</f>
        <v>2022</v>
      </c>
      <c r="D579" s="90" t="str">
        <f t="shared" ref="D579:D642" si="85">B579&amp;C579</f>
        <v>mars2022</v>
      </c>
      <c r="E579" s="91" t="s">
        <v>508</v>
      </c>
      <c r="F579" s="91">
        <v>150</v>
      </c>
      <c r="G579" s="94">
        <f t="shared" ref="G579:G642" si="86">F579/1000</f>
        <v>0.15</v>
      </c>
      <c r="H579" s="92" t="s">
        <v>45</v>
      </c>
      <c r="I579" s="96">
        <f t="shared" si="81"/>
        <v>0.3</v>
      </c>
      <c r="J579" s="96">
        <f t="shared" si="82"/>
        <v>0.7</v>
      </c>
      <c r="K579" s="92">
        <f>VLOOKUP(H579,'Taux émission CO2e'!$A$5:$D$16,4,FALSE)</f>
        <v>0.16</v>
      </c>
      <c r="L579" s="93">
        <f t="shared" ref="L579:L642" si="87">IFERROR(I579*K579*G579*S579,"0")</f>
        <v>2.0026439999999996</v>
      </c>
      <c r="M579" s="92">
        <f>VLOOKUP(H579,'Taux émission CO2e'!$A$20:$D$31,4,FALSE)</f>
        <v>6.7400000000000002E-2</v>
      </c>
      <c r="N579" s="105">
        <f t="shared" ref="N579:N642" si="88">IFERROR(J579*M579*G579*S579,"0")</f>
        <v>1.9684321649999998</v>
      </c>
      <c r="O579" s="93">
        <f t="shared" ref="O579:O642" si="89">L579+N579</f>
        <v>3.9710761649999995</v>
      </c>
      <c r="P579" s="92">
        <v>158</v>
      </c>
      <c r="Q579" s="92" t="s">
        <v>74</v>
      </c>
      <c r="R579" s="92" t="s">
        <v>55</v>
      </c>
      <c r="S579" s="20">
        <v>278.14499999999998</v>
      </c>
    </row>
    <row r="580" spans="1:19" x14ac:dyDescent="0.15">
      <c r="A580" s="90">
        <v>44628</v>
      </c>
      <c r="B580" s="90" t="str">
        <f t="shared" si="83"/>
        <v>mars</v>
      </c>
      <c r="C580" s="90" t="str">
        <f t="shared" si="84"/>
        <v>2022</v>
      </c>
      <c r="D580" s="90" t="str">
        <f t="shared" si="85"/>
        <v>mars2022</v>
      </c>
      <c r="E580" s="91" t="s">
        <v>509</v>
      </c>
      <c r="F580" s="91">
        <v>200</v>
      </c>
      <c r="G580" s="94">
        <f t="shared" si="86"/>
        <v>0.2</v>
      </c>
      <c r="H580" s="92" t="s">
        <v>46</v>
      </c>
      <c r="I580" s="96">
        <f t="shared" si="81"/>
        <v>0.3</v>
      </c>
      <c r="J580" s="96">
        <f t="shared" si="82"/>
        <v>0.7</v>
      </c>
      <c r="K580" s="92">
        <f>VLOOKUP(H580,'Taux émission CO2e'!$A$5:$D$16,4,FALSE)</f>
        <v>0.16</v>
      </c>
      <c r="L580" s="93">
        <f t="shared" si="87"/>
        <v>3.6536256000000003</v>
      </c>
      <c r="M580" s="92">
        <f>VLOOKUP(H580,'Taux émission CO2e'!$A$20:$D$31,4,FALSE)</f>
        <v>6.7400000000000002E-2</v>
      </c>
      <c r="N580" s="105">
        <f t="shared" si="88"/>
        <v>3.5912094960000003</v>
      </c>
      <c r="O580" s="93">
        <f t="shared" si="89"/>
        <v>7.244835096000001</v>
      </c>
      <c r="P580" s="92">
        <v>166</v>
      </c>
      <c r="Q580" s="92" t="s">
        <v>91</v>
      </c>
      <c r="R580" s="92" t="s">
        <v>55</v>
      </c>
      <c r="S580" s="20">
        <v>380.58600000000001</v>
      </c>
    </row>
    <row r="581" spans="1:19" x14ac:dyDescent="0.15">
      <c r="A581" s="90">
        <v>44629</v>
      </c>
      <c r="B581" s="90" t="str">
        <f t="shared" si="83"/>
        <v>mars</v>
      </c>
      <c r="C581" s="90" t="str">
        <f t="shared" si="84"/>
        <v>2022</v>
      </c>
      <c r="D581" s="90" t="str">
        <f t="shared" si="85"/>
        <v>mars2022</v>
      </c>
      <c r="E581" s="91" t="s">
        <v>510</v>
      </c>
      <c r="F581" s="91">
        <v>60</v>
      </c>
      <c r="G581" s="94">
        <f t="shared" si="86"/>
        <v>0.06</v>
      </c>
      <c r="H581" s="92" t="s">
        <v>46</v>
      </c>
      <c r="I581" s="96">
        <f t="shared" si="81"/>
        <v>0.3</v>
      </c>
      <c r="J581" s="96">
        <f t="shared" si="82"/>
        <v>0.7</v>
      </c>
      <c r="K581" s="92">
        <f>VLOOKUP(H581,'Taux émission CO2e'!$A$5:$D$16,4,FALSE)</f>
        <v>0.16</v>
      </c>
      <c r="L581" s="93">
        <f t="shared" si="87"/>
        <v>1.05157152</v>
      </c>
      <c r="M581" s="92">
        <f>VLOOKUP(H581,'Taux émission CO2e'!$A$20:$D$31,4,FALSE)</f>
        <v>6.7400000000000002E-2</v>
      </c>
      <c r="N581" s="105">
        <f t="shared" si="88"/>
        <v>1.0336071732000001</v>
      </c>
      <c r="O581" s="93">
        <f t="shared" si="89"/>
        <v>2.0851786932</v>
      </c>
      <c r="P581" s="92">
        <v>105</v>
      </c>
      <c r="Q581" s="92" t="s">
        <v>58</v>
      </c>
      <c r="R581" s="92" t="s">
        <v>511</v>
      </c>
      <c r="S581" s="20">
        <v>365.12900000000002</v>
      </c>
    </row>
    <row r="582" spans="1:19" x14ac:dyDescent="0.15">
      <c r="A582" s="90">
        <v>44629</v>
      </c>
      <c r="B582" s="90" t="str">
        <f t="shared" si="83"/>
        <v>mars</v>
      </c>
      <c r="C582" s="90" t="str">
        <f t="shared" si="84"/>
        <v>2022</v>
      </c>
      <c r="D582" s="90" t="str">
        <f t="shared" si="85"/>
        <v>mars2022</v>
      </c>
      <c r="E582" s="91" t="s">
        <v>512</v>
      </c>
      <c r="F582" s="91">
        <v>60</v>
      </c>
      <c r="G582" s="94">
        <f t="shared" si="86"/>
        <v>0.06</v>
      </c>
      <c r="H582" s="92" t="s">
        <v>46</v>
      </c>
      <c r="I582" s="96">
        <f t="shared" si="81"/>
        <v>0.3</v>
      </c>
      <c r="J582" s="96">
        <f t="shared" si="82"/>
        <v>0.7</v>
      </c>
      <c r="K582" s="92">
        <f>VLOOKUP(H582,'Taux émission CO2e'!$A$5:$D$16,4,FALSE)</f>
        <v>0.16</v>
      </c>
      <c r="L582" s="93">
        <f t="shared" si="87"/>
        <v>0.98963712000000004</v>
      </c>
      <c r="M582" s="92">
        <f>VLOOKUP(H582,'Taux émission CO2e'!$A$20:$D$31,4,FALSE)</f>
        <v>6.7400000000000002E-2</v>
      </c>
      <c r="N582" s="105">
        <f t="shared" si="88"/>
        <v>0.97273081920000004</v>
      </c>
      <c r="O582" s="93">
        <f t="shared" si="89"/>
        <v>1.9623679392</v>
      </c>
      <c r="P582" s="92">
        <v>107.25</v>
      </c>
      <c r="Q582" s="92" t="s">
        <v>58</v>
      </c>
      <c r="R582" s="92" t="s">
        <v>513</v>
      </c>
      <c r="S582" s="20">
        <v>343.62400000000002</v>
      </c>
    </row>
    <row r="583" spans="1:19" x14ac:dyDescent="0.15">
      <c r="A583" s="90">
        <v>44629</v>
      </c>
      <c r="B583" s="90" t="str">
        <f t="shared" si="83"/>
        <v>mars</v>
      </c>
      <c r="C583" s="90" t="str">
        <f t="shared" si="84"/>
        <v>2022</v>
      </c>
      <c r="D583" s="90" t="str">
        <f t="shared" si="85"/>
        <v>mars2022</v>
      </c>
      <c r="E583" s="91" t="s">
        <v>514</v>
      </c>
      <c r="F583" s="91">
        <v>60</v>
      </c>
      <c r="G583" s="94">
        <f t="shared" si="86"/>
        <v>0.06</v>
      </c>
      <c r="H583" s="92" t="s">
        <v>46</v>
      </c>
      <c r="I583" s="96">
        <f t="shared" si="81"/>
        <v>0.3</v>
      </c>
      <c r="J583" s="96">
        <f t="shared" si="82"/>
        <v>0.7</v>
      </c>
      <c r="K583" s="92">
        <f>VLOOKUP(H583,'Taux émission CO2e'!$A$5:$D$16,4,FALSE)</f>
        <v>0.16</v>
      </c>
      <c r="L583" s="93">
        <f t="shared" si="87"/>
        <v>1.2462307199999998</v>
      </c>
      <c r="M583" s="92">
        <f>VLOOKUP(H583,'Taux émission CO2e'!$A$20:$D$31,4,FALSE)</f>
        <v>6.7400000000000002E-2</v>
      </c>
      <c r="N583" s="105">
        <f t="shared" si="88"/>
        <v>1.2249409452</v>
      </c>
      <c r="O583" s="93">
        <f t="shared" si="89"/>
        <v>2.4711716652</v>
      </c>
      <c r="P583" s="92">
        <v>130</v>
      </c>
      <c r="Q583" s="92" t="s">
        <v>58</v>
      </c>
      <c r="R583" s="92" t="s">
        <v>515</v>
      </c>
      <c r="S583" s="20">
        <v>432.71899999999999</v>
      </c>
    </row>
    <row r="584" spans="1:19" x14ac:dyDescent="0.15">
      <c r="A584" s="90">
        <v>44629</v>
      </c>
      <c r="B584" s="90" t="str">
        <f t="shared" si="83"/>
        <v>mars</v>
      </c>
      <c r="C584" s="90" t="str">
        <f t="shared" si="84"/>
        <v>2022</v>
      </c>
      <c r="D584" s="90" t="str">
        <f t="shared" si="85"/>
        <v>mars2022</v>
      </c>
      <c r="E584" s="91" t="s">
        <v>516</v>
      </c>
      <c r="F584" s="91">
        <v>300</v>
      </c>
      <c r="G584" s="94">
        <f t="shared" si="86"/>
        <v>0.3</v>
      </c>
      <c r="H584" s="92" t="s">
        <v>45</v>
      </c>
      <c r="I584" s="96">
        <f t="shared" si="81"/>
        <v>0.3</v>
      </c>
      <c r="J584" s="96">
        <f t="shared" si="82"/>
        <v>0.7</v>
      </c>
      <c r="K584" s="92">
        <f>VLOOKUP(H584,'Taux émission CO2e'!$A$5:$D$16,4,FALSE)</f>
        <v>0.16</v>
      </c>
      <c r="L584" s="93">
        <f t="shared" si="87"/>
        <v>3.8354832000000001</v>
      </c>
      <c r="M584" s="92">
        <f>VLOOKUP(H584,'Taux émission CO2e'!$A$20:$D$31,4,FALSE)</f>
        <v>6.7400000000000002E-2</v>
      </c>
      <c r="N584" s="105">
        <f t="shared" si="88"/>
        <v>3.769960362</v>
      </c>
      <c r="O584" s="93">
        <f t="shared" si="89"/>
        <v>7.6054435619999996</v>
      </c>
      <c r="P584" s="92">
        <v>158</v>
      </c>
      <c r="Q584" s="92" t="s">
        <v>77</v>
      </c>
      <c r="R584" s="92" t="s">
        <v>55</v>
      </c>
      <c r="S584" s="20">
        <v>266.35300000000001</v>
      </c>
    </row>
    <row r="585" spans="1:19" x14ac:dyDescent="0.15">
      <c r="A585" s="90">
        <v>44629</v>
      </c>
      <c r="B585" s="90" t="str">
        <f t="shared" si="83"/>
        <v>mars</v>
      </c>
      <c r="C585" s="90" t="str">
        <f t="shared" si="84"/>
        <v>2022</v>
      </c>
      <c r="D585" s="90" t="str">
        <f t="shared" si="85"/>
        <v>mars2022</v>
      </c>
      <c r="E585" s="91" t="s">
        <v>517</v>
      </c>
      <c r="F585" s="91">
        <v>350</v>
      </c>
      <c r="G585" s="94">
        <f t="shared" si="86"/>
        <v>0.35</v>
      </c>
      <c r="H585" s="92" t="s">
        <v>46</v>
      </c>
      <c r="I585" s="96">
        <f t="shared" si="81"/>
        <v>0.3</v>
      </c>
      <c r="J585" s="96">
        <f t="shared" si="82"/>
        <v>0.7</v>
      </c>
      <c r="K585" s="92">
        <f>VLOOKUP(H585,'Taux émission CO2e'!$A$5:$D$16,4,FALSE)</f>
        <v>0.16</v>
      </c>
      <c r="L585" s="93">
        <f t="shared" si="87"/>
        <v>4.4715887999999993</v>
      </c>
      <c r="M585" s="92">
        <f>VLOOKUP(H585,'Taux émission CO2e'!$A$20:$D$31,4,FALSE)</f>
        <v>6.7400000000000002E-2</v>
      </c>
      <c r="N585" s="105">
        <f t="shared" si="88"/>
        <v>4.3951991579999996</v>
      </c>
      <c r="O585" s="93">
        <f t="shared" si="89"/>
        <v>8.8667879579999997</v>
      </c>
      <c r="P585" s="92">
        <v>220</v>
      </c>
      <c r="Q585" s="92" t="s">
        <v>58</v>
      </c>
      <c r="R585" s="92" t="s">
        <v>53</v>
      </c>
      <c r="S585" s="20">
        <v>266.166</v>
      </c>
    </row>
    <row r="586" spans="1:19" x14ac:dyDescent="0.15">
      <c r="A586" s="90">
        <v>44629</v>
      </c>
      <c r="B586" s="90" t="str">
        <f t="shared" si="83"/>
        <v>mars</v>
      </c>
      <c r="C586" s="90" t="str">
        <f t="shared" si="84"/>
        <v>2022</v>
      </c>
      <c r="D586" s="90" t="str">
        <f t="shared" si="85"/>
        <v>mars2022</v>
      </c>
      <c r="E586" s="91" t="s">
        <v>518</v>
      </c>
      <c r="F586" s="91">
        <v>600</v>
      </c>
      <c r="G586" s="94">
        <f t="shared" si="86"/>
        <v>0.6</v>
      </c>
      <c r="H586" s="92" t="s">
        <v>46</v>
      </c>
      <c r="I586" s="96">
        <f t="shared" si="81"/>
        <v>0.3</v>
      </c>
      <c r="J586" s="96">
        <f t="shared" si="82"/>
        <v>0.7</v>
      </c>
      <c r="K586" s="92">
        <f>VLOOKUP(H586,'Taux émission CO2e'!$A$5:$D$16,4,FALSE)</f>
        <v>0.16</v>
      </c>
      <c r="L586" s="93">
        <f t="shared" si="87"/>
        <v>21.324816000000002</v>
      </c>
      <c r="M586" s="92">
        <f>VLOOKUP(H586,'Taux émission CO2e'!$A$20:$D$31,4,FALSE)</f>
        <v>6.7400000000000002E-2</v>
      </c>
      <c r="N586" s="105">
        <f t="shared" si="88"/>
        <v>20.960517060000001</v>
      </c>
      <c r="O586" s="93">
        <f t="shared" si="89"/>
        <v>42.285333059999999</v>
      </c>
      <c r="P586" s="92">
        <v>444.15</v>
      </c>
      <c r="Q586" s="92" t="s">
        <v>58</v>
      </c>
      <c r="R586" s="92" t="s">
        <v>59</v>
      </c>
      <c r="S586" s="20">
        <v>740.44500000000005</v>
      </c>
    </row>
    <row r="587" spans="1:19" x14ac:dyDescent="0.15">
      <c r="A587" s="90">
        <v>44630</v>
      </c>
      <c r="B587" s="90" t="str">
        <f t="shared" si="83"/>
        <v>mars</v>
      </c>
      <c r="C587" s="90" t="str">
        <f t="shared" si="84"/>
        <v>2022</v>
      </c>
      <c r="D587" s="90" t="str">
        <f t="shared" si="85"/>
        <v>mars2022</v>
      </c>
      <c r="E587" s="91" t="s">
        <v>519</v>
      </c>
      <c r="F587" s="91">
        <v>150</v>
      </c>
      <c r="G587" s="94">
        <f t="shared" si="86"/>
        <v>0.15</v>
      </c>
      <c r="H587" s="92" t="s">
        <v>46</v>
      </c>
      <c r="I587" s="96">
        <f t="shared" si="81"/>
        <v>0.3</v>
      </c>
      <c r="J587" s="96">
        <f t="shared" si="82"/>
        <v>0.7</v>
      </c>
      <c r="K587" s="92">
        <f>VLOOKUP(H587,'Taux émission CO2e'!$A$5:$D$16,4,FALSE)</f>
        <v>0.16</v>
      </c>
      <c r="L587" s="93">
        <f t="shared" si="87"/>
        <v>3.8809008</v>
      </c>
      <c r="M587" s="92">
        <f>VLOOKUP(H587,'Taux émission CO2e'!$A$20:$D$31,4,FALSE)</f>
        <v>6.7400000000000002E-2</v>
      </c>
      <c r="N587" s="105">
        <f t="shared" si="88"/>
        <v>3.8146020780000001</v>
      </c>
      <c r="O587" s="93">
        <f t="shared" si="89"/>
        <v>7.6955028780000001</v>
      </c>
      <c r="P587" s="92">
        <v>133</v>
      </c>
      <c r="Q587" s="92" t="s">
        <v>58</v>
      </c>
      <c r="R587" s="92" t="s">
        <v>405</v>
      </c>
      <c r="S587" s="20">
        <v>539.01400000000001</v>
      </c>
    </row>
    <row r="588" spans="1:19" x14ac:dyDescent="0.15">
      <c r="A588" s="90">
        <v>44630</v>
      </c>
      <c r="B588" s="90" t="str">
        <f t="shared" si="83"/>
        <v>mars</v>
      </c>
      <c r="C588" s="90" t="str">
        <f t="shared" si="84"/>
        <v>2022</v>
      </c>
      <c r="D588" s="90" t="str">
        <f t="shared" si="85"/>
        <v>mars2022</v>
      </c>
      <c r="E588" s="91" t="s">
        <v>520</v>
      </c>
      <c r="F588" s="91">
        <v>150</v>
      </c>
      <c r="G588" s="94">
        <f t="shared" si="86"/>
        <v>0.15</v>
      </c>
      <c r="H588" s="92" t="s">
        <v>46</v>
      </c>
      <c r="I588" s="96">
        <f t="shared" si="81"/>
        <v>0.3</v>
      </c>
      <c r="J588" s="96">
        <f t="shared" si="82"/>
        <v>0.7</v>
      </c>
      <c r="K588" s="92">
        <f>VLOOKUP(H588,'Taux émission CO2e'!$A$5:$D$16,4,FALSE)</f>
        <v>0.16</v>
      </c>
      <c r="L588" s="93">
        <f t="shared" si="87"/>
        <v>3.8989871999999997</v>
      </c>
      <c r="M588" s="92">
        <f>VLOOKUP(H588,'Taux émission CO2e'!$A$20:$D$31,4,FALSE)</f>
        <v>6.7400000000000002E-2</v>
      </c>
      <c r="N588" s="105">
        <f t="shared" si="88"/>
        <v>3.8323795019999998</v>
      </c>
      <c r="O588" s="93">
        <f t="shared" si="89"/>
        <v>7.731366701999999</v>
      </c>
      <c r="P588" s="92">
        <v>196</v>
      </c>
      <c r="Q588" s="92" t="s">
        <v>62</v>
      </c>
      <c r="R588" s="92" t="s">
        <v>55</v>
      </c>
      <c r="S588" s="20">
        <v>541.52599999999995</v>
      </c>
    </row>
    <row r="589" spans="1:19" x14ac:dyDescent="0.15">
      <c r="A589" s="90">
        <v>44630</v>
      </c>
      <c r="B589" s="90" t="str">
        <f t="shared" si="83"/>
        <v>mars</v>
      </c>
      <c r="C589" s="90" t="str">
        <f t="shared" si="84"/>
        <v>2022</v>
      </c>
      <c r="D589" s="90" t="str">
        <f t="shared" si="85"/>
        <v>mars2022</v>
      </c>
      <c r="E589" s="91" t="s">
        <v>521</v>
      </c>
      <c r="F589" s="91">
        <v>600</v>
      </c>
      <c r="G589" s="94">
        <f t="shared" si="86"/>
        <v>0.6</v>
      </c>
      <c r="H589" s="92" t="s">
        <v>45</v>
      </c>
      <c r="I589" s="96">
        <f t="shared" si="81"/>
        <v>0.3</v>
      </c>
      <c r="J589" s="96">
        <f t="shared" si="82"/>
        <v>0.7</v>
      </c>
      <c r="K589" s="92">
        <f>VLOOKUP(H589,'Taux émission CO2e'!$A$5:$D$16,4,FALSE)</f>
        <v>0.16</v>
      </c>
      <c r="L589" s="93">
        <f t="shared" si="87"/>
        <v>7.2080063999999995</v>
      </c>
      <c r="M589" s="92">
        <f>VLOOKUP(H589,'Taux émission CO2e'!$A$20:$D$31,4,FALSE)</f>
        <v>6.7400000000000002E-2</v>
      </c>
      <c r="N589" s="105">
        <f t="shared" si="88"/>
        <v>7.0848696239999995</v>
      </c>
      <c r="O589" s="93">
        <f t="shared" si="89"/>
        <v>14.292876023999998</v>
      </c>
      <c r="P589" s="92">
        <v>206</v>
      </c>
      <c r="Q589" s="92" t="s">
        <v>89</v>
      </c>
      <c r="R589" s="92" t="s">
        <v>55</v>
      </c>
      <c r="S589" s="20">
        <v>250.27799999999999</v>
      </c>
    </row>
    <row r="590" spans="1:19" x14ac:dyDescent="0.15">
      <c r="A590" s="90">
        <v>44630</v>
      </c>
      <c r="B590" s="90" t="str">
        <f t="shared" si="83"/>
        <v>mars</v>
      </c>
      <c r="C590" s="90" t="str">
        <f t="shared" si="84"/>
        <v>2022</v>
      </c>
      <c r="D590" s="90" t="str">
        <f t="shared" si="85"/>
        <v>mars2022</v>
      </c>
      <c r="E590" s="91" t="s">
        <v>522</v>
      </c>
      <c r="F590" s="91">
        <v>650</v>
      </c>
      <c r="G590" s="94">
        <f t="shared" si="86"/>
        <v>0.65</v>
      </c>
      <c r="H590" s="92" t="s">
        <v>46</v>
      </c>
      <c r="I590" s="96">
        <f t="shared" si="81"/>
        <v>0.3</v>
      </c>
      <c r="J590" s="96">
        <f t="shared" si="82"/>
        <v>0.7</v>
      </c>
      <c r="K590" s="92">
        <f>VLOOKUP(H590,'Taux émission CO2e'!$A$5:$D$16,4,FALSE)</f>
        <v>0.16</v>
      </c>
      <c r="L590" s="93">
        <f t="shared" si="87"/>
        <v>8.3043791999999996</v>
      </c>
      <c r="M590" s="92">
        <f>VLOOKUP(H590,'Taux émission CO2e'!$A$20:$D$31,4,FALSE)</f>
        <v>6.7400000000000002E-2</v>
      </c>
      <c r="N590" s="105">
        <f t="shared" si="88"/>
        <v>8.1625127220000007</v>
      </c>
      <c r="O590" s="93">
        <f t="shared" si="89"/>
        <v>16.466891922000002</v>
      </c>
      <c r="P590" s="92">
        <v>360</v>
      </c>
      <c r="Q590" s="92" t="s">
        <v>58</v>
      </c>
      <c r="R590" s="92" t="s">
        <v>53</v>
      </c>
      <c r="S590" s="20">
        <v>266.166</v>
      </c>
    </row>
    <row r="591" spans="1:19" x14ac:dyDescent="0.15">
      <c r="A591" s="90">
        <v>44631</v>
      </c>
      <c r="B591" s="90" t="str">
        <f t="shared" si="83"/>
        <v>mars</v>
      </c>
      <c r="C591" s="90" t="str">
        <f t="shared" si="84"/>
        <v>2022</v>
      </c>
      <c r="D591" s="90" t="str">
        <f t="shared" si="85"/>
        <v>mars2022</v>
      </c>
      <c r="E591" s="91" t="s">
        <v>523</v>
      </c>
      <c r="F591" s="91">
        <v>70</v>
      </c>
      <c r="G591" s="94">
        <f t="shared" si="86"/>
        <v>7.0000000000000007E-2</v>
      </c>
      <c r="H591" s="92" t="s">
        <v>46</v>
      </c>
      <c r="I591" s="96">
        <f t="shared" si="81"/>
        <v>0.3</v>
      </c>
      <c r="J591" s="96">
        <f t="shared" si="82"/>
        <v>0.7</v>
      </c>
      <c r="K591" s="92">
        <f>VLOOKUP(H591,'Taux émission CO2e'!$A$5:$D$16,4,FALSE)</f>
        <v>0.16</v>
      </c>
      <c r="L591" s="93">
        <f t="shared" si="87"/>
        <v>0.82588128000000016</v>
      </c>
      <c r="M591" s="92">
        <f>VLOOKUP(H591,'Taux émission CO2e'!$A$20:$D$31,4,FALSE)</f>
        <v>6.7400000000000002E-2</v>
      </c>
      <c r="N591" s="105">
        <f t="shared" si="88"/>
        <v>0.81177247480000003</v>
      </c>
      <c r="O591" s="93">
        <f t="shared" si="89"/>
        <v>1.6376537548000001</v>
      </c>
      <c r="P591" s="92">
        <v>100</v>
      </c>
      <c r="Q591" s="92" t="s">
        <v>58</v>
      </c>
      <c r="R591" s="92" t="s">
        <v>105</v>
      </c>
      <c r="S591" s="20">
        <v>245.798</v>
      </c>
    </row>
    <row r="592" spans="1:19" x14ac:dyDescent="0.15">
      <c r="A592" s="90">
        <v>44631</v>
      </c>
      <c r="B592" s="90" t="str">
        <f t="shared" si="83"/>
        <v>mars</v>
      </c>
      <c r="C592" s="90" t="str">
        <f t="shared" si="84"/>
        <v>2022</v>
      </c>
      <c r="D592" s="90" t="str">
        <f t="shared" si="85"/>
        <v>mars2022</v>
      </c>
      <c r="E592" s="91" t="s">
        <v>524</v>
      </c>
      <c r="F592" s="91">
        <v>120</v>
      </c>
      <c r="G592" s="94">
        <f t="shared" si="86"/>
        <v>0.12</v>
      </c>
      <c r="H592" s="92" t="s">
        <v>46</v>
      </c>
      <c r="I592" s="96">
        <f t="shared" si="81"/>
        <v>0.3</v>
      </c>
      <c r="J592" s="96">
        <f t="shared" si="82"/>
        <v>0.7</v>
      </c>
      <c r="K592" s="92">
        <f>VLOOKUP(H592,'Taux émission CO2e'!$A$5:$D$16,4,FALSE)</f>
        <v>0.16</v>
      </c>
      <c r="L592" s="93">
        <f t="shared" si="87"/>
        <v>1.5295391999999999</v>
      </c>
      <c r="M592" s="92">
        <f>VLOOKUP(H592,'Taux émission CO2e'!$A$20:$D$31,4,FALSE)</f>
        <v>6.7400000000000002E-2</v>
      </c>
      <c r="N592" s="105">
        <f t="shared" si="88"/>
        <v>1.503409572</v>
      </c>
      <c r="O592" s="93">
        <f t="shared" si="89"/>
        <v>3.0329487720000001</v>
      </c>
      <c r="P592" s="92">
        <v>100</v>
      </c>
      <c r="Q592" s="92" t="s">
        <v>58</v>
      </c>
      <c r="R592" s="92" t="s">
        <v>71</v>
      </c>
      <c r="S592" s="20">
        <v>265.54500000000002</v>
      </c>
    </row>
    <row r="593" spans="1:19" x14ac:dyDescent="0.15">
      <c r="A593" s="90">
        <v>44631</v>
      </c>
      <c r="B593" s="90" t="str">
        <f t="shared" si="83"/>
        <v>mars</v>
      </c>
      <c r="C593" s="90" t="str">
        <f t="shared" si="84"/>
        <v>2022</v>
      </c>
      <c r="D593" s="90" t="str">
        <f t="shared" si="85"/>
        <v>mars2022</v>
      </c>
      <c r="E593" s="91" t="s">
        <v>525</v>
      </c>
      <c r="F593" s="91">
        <v>175</v>
      </c>
      <c r="G593" s="94">
        <f t="shared" si="86"/>
        <v>0.17499999999999999</v>
      </c>
      <c r="H593" s="92" t="s">
        <v>46</v>
      </c>
      <c r="I593" s="96">
        <f t="shared" si="81"/>
        <v>0.3</v>
      </c>
      <c r="J593" s="96">
        <f t="shared" si="82"/>
        <v>0.7</v>
      </c>
      <c r="K593" s="92">
        <f>VLOOKUP(H593,'Taux émission CO2e'!$A$5:$D$16,4,FALSE)</f>
        <v>0.16</v>
      </c>
      <c r="L593" s="93">
        <f t="shared" si="87"/>
        <v>2.1048635999999998</v>
      </c>
      <c r="M593" s="92">
        <f>VLOOKUP(H593,'Taux émission CO2e'!$A$20:$D$31,4,FALSE)</f>
        <v>6.7400000000000002E-2</v>
      </c>
      <c r="N593" s="105">
        <f t="shared" si="88"/>
        <v>2.0689055134999998</v>
      </c>
      <c r="O593" s="93">
        <f t="shared" si="89"/>
        <v>4.1737691134999997</v>
      </c>
      <c r="P593" s="92">
        <v>100</v>
      </c>
      <c r="Q593" s="92" t="s">
        <v>58</v>
      </c>
      <c r="R593" s="92" t="s">
        <v>79</v>
      </c>
      <c r="S593" s="20">
        <v>250.57900000000001</v>
      </c>
    </row>
    <row r="594" spans="1:19" x14ac:dyDescent="0.15">
      <c r="A594" s="90">
        <v>44631</v>
      </c>
      <c r="B594" s="90" t="str">
        <f t="shared" si="83"/>
        <v>mars</v>
      </c>
      <c r="C594" s="90" t="str">
        <f t="shared" si="84"/>
        <v>2022</v>
      </c>
      <c r="D594" s="90" t="str">
        <f t="shared" si="85"/>
        <v>mars2022</v>
      </c>
      <c r="E594" s="91" t="s">
        <v>526</v>
      </c>
      <c r="F594" s="91">
        <v>150</v>
      </c>
      <c r="G594" s="94">
        <f t="shared" si="86"/>
        <v>0.15</v>
      </c>
      <c r="H594" s="92" t="s">
        <v>46</v>
      </c>
      <c r="I594" s="96">
        <f t="shared" si="81"/>
        <v>0.3</v>
      </c>
      <c r="J594" s="96">
        <f t="shared" si="82"/>
        <v>0.7</v>
      </c>
      <c r="K594" s="92">
        <f>VLOOKUP(H594,'Taux émission CO2e'!$A$5:$D$16,4,FALSE)</f>
        <v>0.16</v>
      </c>
      <c r="L594" s="93">
        <f t="shared" si="87"/>
        <v>1.2509711999999999</v>
      </c>
      <c r="M594" s="92">
        <f>VLOOKUP(H594,'Taux émission CO2e'!$A$20:$D$31,4,FALSE)</f>
        <v>6.7400000000000002E-2</v>
      </c>
      <c r="N594" s="105">
        <f t="shared" si="88"/>
        <v>1.229600442</v>
      </c>
      <c r="O594" s="93">
        <f t="shared" si="89"/>
        <v>2.4805716420000001</v>
      </c>
      <c r="P594" s="92">
        <v>108</v>
      </c>
      <c r="Q594" s="92" t="s">
        <v>58</v>
      </c>
      <c r="R594" s="92" t="s">
        <v>485</v>
      </c>
      <c r="S594" s="20">
        <v>173.74600000000001</v>
      </c>
    </row>
    <row r="595" spans="1:19" x14ac:dyDescent="0.15">
      <c r="A595" s="90">
        <v>44631</v>
      </c>
      <c r="B595" s="90" t="str">
        <f t="shared" si="83"/>
        <v>mars</v>
      </c>
      <c r="C595" s="90" t="str">
        <f t="shared" si="84"/>
        <v>2022</v>
      </c>
      <c r="D595" s="90" t="str">
        <f t="shared" si="85"/>
        <v>mars2022</v>
      </c>
      <c r="E595" s="91" t="s">
        <v>527</v>
      </c>
      <c r="F595" s="91">
        <v>180</v>
      </c>
      <c r="G595" s="94">
        <f t="shared" si="86"/>
        <v>0.18</v>
      </c>
      <c r="H595" s="92" t="s">
        <v>46</v>
      </c>
      <c r="I595" s="96">
        <f t="shared" si="81"/>
        <v>0.3</v>
      </c>
      <c r="J595" s="96">
        <f t="shared" si="82"/>
        <v>0.7</v>
      </c>
      <c r="K595" s="92">
        <f>VLOOKUP(H595,'Taux émission CO2e'!$A$5:$D$16,4,FALSE)</f>
        <v>0.16</v>
      </c>
      <c r="L595" s="93">
        <f t="shared" si="87"/>
        <v>4.6757951999999996</v>
      </c>
      <c r="M595" s="92">
        <f>VLOOKUP(H595,'Taux émission CO2e'!$A$20:$D$31,4,FALSE)</f>
        <v>6.7400000000000002E-2</v>
      </c>
      <c r="N595" s="105">
        <f t="shared" si="88"/>
        <v>4.5959170319999991</v>
      </c>
      <c r="O595" s="93">
        <f t="shared" si="89"/>
        <v>9.2717122319999987</v>
      </c>
      <c r="P595" s="92">
        <v>123</v>
      </c>
      <c r="Q595" s="92" t="s">
        <v>58</v>
      </c>
      <c r="R595" s="92" t="s">
        <v>65</v>
      </c>
      <c r="S595" s="20">
        <v>541.17999999999995</v>
      </c>
    </row>
    <row r="596" spans="1:19" x14ac:dyDescent="0.15">
      <c r="A596" s="90">
        <v>44631</v>
      </c>
      <c r="B596" s="90" t="str">
        <f t="shared" si="83"/>
        <v>mars</v>
      </c>
      <c r="C596" s="90" t="str">
        <f t="shared" si="84"/>
        <v>2022</v>
      </c>
      <c r="D596" s="90" t="str">
        <f t="shared" si="85"/>
        <v>mars2022</v>
      </c>
      <c r="E596" s="91" t="s">
        <v>528</v>
      </c>
      <c r="F596" s="91">
        <v>70</v>
      </c>
      <c r="G596" s="94">
        <f t="shared" si="86"/>
        <v>7.0000000000000007E-2</v>
      </c>
      <c r="H596" s="92" t="s">
        <v>46</v>
      </c>
      <c r="I596" s="96">
        <f t="shared" si="81"/>
        <v>0.3</v>
      </c>
      <c r="J596" s="96">
        <f t="shared" si="82"/>
        <v>0.7</v>
      </c>
      <c r="K596" s="92">
        <f>VLOOKUP(H596,'Taux émission CO2e'!$A$5:$D$16,4,FALSE)</f>
        <v>0.16</v>
      </c>
      <c r="L596" s="93">
        <f t="shared" si="87"/>
        <v>1.4992017600000003</v>
      </c>
      <c r="M596" s="92">
        <f>VLOOKUP(H596,'Taux émission CO2e'!$A$20:$D$31,4,FALSE)</f>
        <v>6.7400000000000002E-2</v>
      </c>
      <c r="N596" s="105">
        <f t="shared" si="88"/>
        <v>1.4735903965999999</v>
      </c>
      <c r="O596" s="93">
        <f t="shared" si="89"/>
        <v>2.9727921566000002</v>
      </c>
      <c r="P596" s="92">
        <v>130</v>
      </c>
      <c r="Q596" s="92" t="s">
        <v>58</v>
      </c>
      <c r="R596" s="92" t="s">
        <v>529</v>
      </c>
      <c r="S596" s="20">
        <v>446.19099999999997</v>
      </c>
    </row>
    <row r="597" spans="1:19" x14ac:dyDescent="0.15">
      <c r="A597" s="90">
        <v>44631</v>
      </c>
      <c r="B597" s="90" t="str">
        <f t="shared" si="83"/>
        <v>mars</v>
      </c>
      <c r="C597" s="90" t="str">
        <f t="shared" si="84"/>
        <v>2022</v>
      </c>
      <c r="D597" s="90" t="str">
        <f t="shared" si="85"/>
        <v>mars2022</v>
      </c>
      <c r="E597" s="91" t="s">
        <v>530</v>
      </c>
      <c r="F597" s="91">
        <v>100</v>
      </c>
      <c r="G597" s="94">
        <f t="shared" si="86"/>
        <v>0.1</v>
      </c>
      <c r="H597" s="92" t="s">
        <v>46</v>
      </c>
      <c r="I597" s="96">
        <f t="shared" si="81"/>
        <v>0.3</v>
      </c>
      <c r="J597" s="96">
        <f t="shared" si="82"/>
        <v>0.7</v>
      </c>
      <c r="K597" s="92">
        <f>VLOOKUP(H597,'Taux émission CO2e'!$A$5:$D$16,4,FALSE)</f>
        <v>0.16</v>
      </c>
      <c r="L597" s="93">
        <f t="shared" si="87"/>
        <v>0.90519840000000007</v>
      </c>
      <c r="M597" s="92">
        <f>VLOOKUP(H597,'Taux émission CO2e'!$A$20:$D$31,4,FALSE)</f>
        <v>6.7400000000000002E-2</v>
      </c>
      <c r="N597" s="105">
        <f t="shared" si="88"/>
        <v>0.88973459399999999</v>
      </c>
      <c r="O597" s="93">
        <f t="shared" si="89"/>
        <v>1.7949329940000001</v>
      </c>
      <c r="P597" s="92">
        <v>130</v>
      </c>
      <c r="Q597" s="92" t="s">
        <v>58</v>
      </c>
      <c r="R597" s="92" t="s">
        <v>531</v>
      </c>
      <c r="S597" s="20">
        <v>188.583</v>
      </c>
    </row>
    <row r="598" spans="1:19" x14ac:dyDescent="0.15">
      <c r="A598" s="90">
        <v>44631</v>
      </c>
      <c r="B598" s="90" t="str">
        <f t="shared" si="83"/>
        <v>mars</v>
      </c>
      <c r="C598" s="90" t="str">
        <f t="shared" si="84"/>
        <v>2022</v>
      </c>
      <c r="D598" s="90" t="str">
        <f t="shared" si="85"/>
        <v>mars2022</v>
      </c>
      <c r="E598" s="91" t="s">
        <v>532</v>
      </c>
      <c r="F598" s="91">
        <v>300</v>
      </c>
      <c r="G598" s="94">
        <f t="shared" si="86"/>
        <v>0.3</v>
      </c>
      <c r="H598" s="92" t="s">
        <v>45</v>
      </c>
      <c r="I598" s="96">
        <f t="shared" si="81"/>
        <v>0.3</v>
      </c>
      <c r="J598" s="96">
        <f t="shared" si="82"/>
        <v>0.7</v>
      </c>
      <c r="K598" s="92">
        <f>VLOOKUP(H598,'Taux émission CO2e'!$A$5:$D$16,4,FALSE)</f>
        <v>0.16</v>
      </c>
      <c r="L598" s="93">
        <f t="shared" si="87"/>
        <v>4.0103568000000003</v>
      </c>
      <c r="M598" s="92">
        <f>VLOOKUP(H598,'Taux émission CO2e'!$A$20:$D$31,4,FALSE)</f>
        <v>6.7400000000000002E-2</v>
      </c>
      <c r="N598" s="105">
        <f t="shared" si="88"/>
        <v>3.9418465380000001</v>
      </c>
      <c r="O598" s="93">
        <f t="shared" si="89"/>
        <v>7.9522033380000003</v>
      </c>
      <c r="P598" s="92">
        <v>131</v>
      </c>
      <c r="Q598" s="92" t="s">
        <v>90</v>
      </c>
      <c r="R598" s="92" t="s">
        <v>55</v>
      </c>
      <c r="S598" s="20">
        <v>278.49700000000001</v>
      </c>
    </row>
    <row r="599" spans="1:19" x14ac:dyDescent="0.15">
      <c r="A599" s="90">
        <v>44631</v>
      </c>
      <c r="B599" s="90" t="str">
        <f t="shared" si="83"/>
        <v>mars</v>
      </c>
      <c r="C599" s="90" t="str">
        <f t="shared" si="84"/>
        <v>2022</v>
      </c>
      <c r="D599" s="90" t="str">
        <f t="shared" si="85"/>
        <v>mars2022</v>
      </c>
      <c r="E599" s="91" t="s">
        <v>533</v>
      </c>
      <c r="F599" s="91">
        <v>300</v>
      </c>
      <c r="G599" s="94">
        <f t="shared" si="86"/>
        <v>0.3</v>
      </c>
      <c r="H599" s="92" t="s">
        <v>45</v>
      </c>
      <c r="I599" s="96">
        <f t="shared" si="81"/>
        <v>0.3</v>
      </c>
      <c r="J599" s="96">
        <f t="shared" si="82"/>
        <v>0.7</v>
      </c>
      <c r="K599" s="92">
        <f>VLOOKUP(H599,'Taux émission CO2e'!$A$5:$D$16,4,FALSE)</f>
        <v>0.16</v>
      </c>
      <c r="L599" s="93">
        <f t="shared" si="87"/>
        <v>7.7786639999999991</v>
      </c>
      <c r="M599" s="92">
        <f>VLOOKUP(H599,'Taux émission CO2e'!$A$20:$D$31,4,FALSE)</f>
        <v>6.7400000000000002E-2</v>
      </c>
      <c r="N599" s="105">
        <f t="shared" si="88"/>
        <v>7.6457784899999988</v>
      </c>
      <c r="O599" s="93">
        <f t="shared" si="89"/>
        <v>15.424442489999997</v>
      </c>
      <c r="P599" s="92">
        <v>200</v>
      </c>
      <c r="Q599" s="92" t="s">
        <v>52</v>
      </c>
      <c r="R599" s="92" t="s">
        <v>53</v>
      </c>
      <c r="S599" s="20">
        <v>540.18499999999995</v>
      </c>
    </row>
    <row r="600" spans="1:19" x14ac:dyDescent="0.15">
      <c r="A600" s="90">
        <v>44631</v>
      </c>
      <c r="B600" s="90" t="str">
        <f t="shared" si="83"/>
        <v>mars</v>
      </c>
      <c r="C600" s="90" t="str">
        <f t="shared" si="84"/>
        <v>2022</v>
      </c>
      <c r="D600" s="90" t="str">
        <f t="shared" si="85"/>
        <v>mars2022</v>
      </c>
      <c r="E600" s="91" t="s">
        <v>534</v>
      </c>
      <c r="F600" s="91">
        <v>300</v>
      </c>
      <c r="G600" s="94">
        <f t="shared" si="86"/>
        <v>0.3</v>
      </c>
      <c r="H600" s="92" t="s">
        <v>46</v>
      </c>
      <c r="I600" s="96">
        <f t="shared" si="81"/>
        <v>0.3</v>
      </c>
      <c r="J600" s="96">
        <f t="shared" si="82"/>
        <v>0.7</v>
      </c>
      <c r="K600" s="92">
        <f>VLOOKUP(H600,'Taux émission CO2e'!$A$5:$D$16,4,FALSE)</f>
        <v>0.16</v>
      </c>
      <c r="L600" s="93">
        <f t="shared" si="87"/>
        <v>10.748404799999999</v>
      </c>
      <c r="M600" s="92">
        <f>VLOOKUP(H600,'Taux émission CO2e'!$A$20:$D$31,4,FALSE)</f>
        <v>6.7400000000000002E-2</v>
      </c>
      <c r="N600" s="105">
        <f t="shared" si="88"/>
        <v>10.564786218</v>
      </c>
      <c r="O600" s="93">
        <f t="shared" si="89"/>
        <v>21.313191017999998</v>
      </c>
      <c r="P600" s="92">
        <v>220</v>
      </c>
      <c r="Q600" s="92" t="s">
        <v>503</v>
      </c>
      <c r="R600" s="92" t="s">
        <v>55</v>
      </c>
      <c r="S600" s="20">
        <v>746.41700000000003</v>
      </c>
    </row>
    <row r="601" spans="1:19" x14ac:dyDescent="0.15">
      <c r="A601" s="90">
        <v>44631</v>
      </c>
      <c r="B601" s="90" t="str">
        <f t="shared" si="83"/>
        <v>mars</v>
      </c>
      <c r="C601" s="90" t="str">
        <f t="shared" si="84"/>
        <v>2022</v>
      </c>
      <c r="D601" s="90" t="str">
        <f t="shared" si="85"/>
        <v>mars2022</v>
      </c>
      <c r="E601" s="91" t="s">
        <v>535</v>
      </c>
      <c r="F601" s="92">
        <v>1800</v>
      </c>
      <c r="G601" s="94">
        <f t="shared" si="86"/>
        <v>1.8</v>
      </c>
      <c r="H601" s="92" t="s">
        <v>41</v>
      </c>
      <c r="I601" s="96">
        <f t="shared" si="81"/>
        <v>1</v>
      </c>
      <c r="J601" s="96">
        <f t="shared" si="82"/>
        <v>0</v>
      </c>
      <c r="K601" s="92">
        <f>VLOOKUP(H601,'Taux émission CO2e'!$A$5:$D$16,4,FALSE)</f>
        <v>0.16</v>
      </c>
      <c r="L601" s="93">
        <f t="shared" si="87"/>
        <v>15.771168000000003</v>
      </c>
      <c r="M601" s="92">
        <f>VLOOKUP(H601,'Taux émission CO2e'!$A$20:$D$31,4,FALSE)</f>
        <v>0</v>
      </c>
      <c r="N601" s="105">
        <f t="shared" si="88"/>
        <v>0</v>
      </c>
      <c r="O601" s="93">
        <f t="shared" si="89"/>
        <v>15.771168000000003</v>
      </c>
      <c r="P601" s="92">
        <v>235</v>
      </c>
      <c r="Q601" s="92" t="s">
        <v>56</v>
      </c>
      <c r="R601" s="92" t="s">
        <v>55</v>
      </c>
      <c r="S601" s="20">
        <v>54.761000000000003</v>
      </c>
    </row>
    <row r="602" spans="1:19" x14ac:dyDescent="0.15">
      <c r="A602" s="90">
        <v>44631</v>
      </c>
      <c r="B602" s="90" t="str">
        <f t="shared" si="83"/>
        <v>mars</v>
      </c>
      <c r="C602" s="90" t="str">
        <f t="shared" si="84"/>
        <v>2022</v>
      </c>
      <c r="D602" s="90" t="str">
        <f t="shared" si="85"/>
        <v>mars2022</v>
      </c>
      <c r="E602" s="91" t="s">
        <v>536</v>
      </c>
      <c r="F602" s="91">
        <v>600</v>
      </c>
      <c r="G602" s="94">
        <f t="shared" si="86"/>
        <v>0.6</v>
      </c>
      <c r="H602" s="92" t="s">
        <v>45</v>
      </c>
      <c r="I602" s="96">
        <f t="shared" si="81"/>
        <v>0.3</v>
      </c>
      <c r="J602" s="96">
        <f t="shared" si="82"/>
        <v>0.7</v>
      </c>
      <c r="K602" s="92">
        <f>VLOOKUP(H602,'Taux émission CO2e'!$A$5:$D$16,4,FALSE)</f>
        <v>0.16</v>
      </c>
      <c r="L602" s="93">
        <f t="shared" si="87"/>
        <v>14.874451200000001</v>
      </c>
      <c r="M602" s="92">
        <f>VLOOKUP(H602,'Taux émission CO2e'!$A$20:$D$31,4,FALSE)</f>
        <v>6.7400000000000002E-2</v>
      </c>
      <c r="N602" s="105">
        <f t="shared" si="88"/>
        <v>14.620345992000001</v>
      </c>
      <c r="O602" s="93">
        <f t="shared" si="89"/>
        <v>29.494797192</v>
      </c>
      <c r="P602" s="92">
        <v>253</v>
      </c>
      <c r="Q602" s="92" t="s">
        <v>52</v>
      </c>
      <c r="R602" s="92" t="s">
        <v>55</v>
      </c>
      <c r="S602" s="20">
        <v>516.47400000000005</v>
      </c>
    </row>
    <row r="603" spans="1:19" x14ac:dyDescent="0.15">
      <c r="A603" s="90">
        <v>44631</v>
      </c>
      <c r="B603" s="90" t="str">
        <f t="shared" si="83"/>
        <v>mars</v>
      </c>
      <c r="C603" s="90" t="str">
        <f t="shared" si="84"/>
        <v>2022</v>
      </c>
      <c r="D603" s="90" t="str">
        <f t="shared" si="85"/>
        <v>mars2022</v>
      </c>
      <c r="E603" s="91" t="s">
        <v>537</v>
      </c>
      <c r="F603" s="91">
        <v>270</v>
      </c>
      <c r="G603" s="94">
        <f t="shared" si="86"/>
        <v>0.27</v>
      </c>
      <c r="H603" s="92" t="s">
        <v>46</v>
      </c>
      <c r="I603" s="96">
        <f t="shared" si="81"/>
        <v>0.3</v>
      </c>
      <c r="J603" s="96">
        <f t="shared" si="82"/>
        <v>0.7</v>
      </c>
      <c r="K603" s="92">
        <f>VLOOKUP(H603,'Taux émission CO2e'!$A$5:$D$16,4,FALSE)</f>
        <v>0.16</v>
      </c>
      <c r="L603" s="93">
        <f t="shared" si="87"/>
        <v>6.3384249600000011</v>
      </c>
      <c r="M603" s="92">
        <f>VLOOKUP(H603,'Taux émission CO2e'!$A$20:$D$31,4,FALSE)</f>
        <v>6.7400000000000002E-2</v>
      </c>
      <c r="N603" s="105">
        <f t="shared" si="88"/>
        <v>6.2301435336000006</v>
      </c>
      <c r="O603" s="93">
        <f t="shared" si="89"/>
        <v>12.568568493600001</v>
      </c>
      <c r="P603" s="92">
        <v>285</v>
      </c>
      <c r="Q603" s="92" t="s">
        <v>58</v>
      </c>
      <c r="R603" s="92" t="s">
        <v>538</v>
      </c>
      <c r="S603" s="20">
        <v>489.07600000000002</v>
      </c>
    </row>
    <row r="604" spans="1:19" x14ac:dyDescent="0.15">
      <c r="A604" s="90">
        <v>44634</v>
      </c>
      <c r="B604" s="90" t="str">
        <f t="shared" si="83"/>
        <v>mars</v>
      </c>
      <c r="C604" s="90" t="str">
        <f t="shared" si="84"/>
        <v>2022</v>
      </c>
      <c r="D604" s="90" t="str">
        <f t="shared" si="85"/>
        <v>mars2022</v>
      </c>
      <c r="E604" s="91" t="s">
        <v>539</v>
      </c>
      <c r="F604" s="91">
        <v>100</v>
      </c>
      <c r="G604" s="94">
        <f t="shared" si="86"/>
        <v>0.1</v>
      </c>
      <c r="H604" s="92" t="s">
        <v>45</v>
      </c>
      <c r="I604" s="96">
        <f t="shared" si="81"/>
        <v>0.3</v>
      </c>
      <c r="J604" s="96">
        <f t="shared" si="82"/>
        <v>0.7</v>
      </c>
      <c r="K604" s="92">
        <f>VLOOKUP(H604,'Taux émission CO2e'!$A$5:$D$16,4,FALSE)</f>
        <v>0.16</v>
      </c>
      <c r="L604" s="93">
        <f t="shared" si="87"/>
        <v>0.22380960000000003</v>
      </c>
      <c r="M604" s="92">
        <f>VLOOKUP(H604,'Taux émission CO2e'!$A$20:$D$31,4,FALSE)</f>
        <v>6.7400000000000002E-2</v>
      </c>
      <c r="N604" s="105">
        <f t="shared" si="88"/>
        <v>0.219986186</v>
      </c>
      <c r="O604" s="93">
        <f t="shared" si="89"/>
        <v>0.44379578600000003</v>
      </c>
      <c r="P604" s="92">
        <v>80</v>
      </c>
      <c r="Q604" s="92" t="s">
        <v>58</v>
      </c>
      <c r="R604" s="92" t="s">
        <v>421</v>
      </c>
      <c r="S604" s="20">
        <v>46.627000000000002</v>
      </c>
    </row>
    <row r="605" spans="1:19" x14ac:dyDescent="0.15">
      <c r="A605" s="90">
        <v>44634</v>
      </c>
      <c r="B605" s="90" t="str">
        <f t="shared" si="83"/>
        <v>mars</v>
      </c>
      <c r="C605" s="90" t="str">
        <f t="shared" si="84"/>
        <v>2022</v>
      </c>
      <c r="D605" s="90" t="str">
        <f t="shared" si="85"/>
        <v>mars2022</v>
      </c>
      <c r="E605" s="91" t="s">
        <v>540</v>
      </c>
      <c r="F605" s="91">
        <v>150</v>
      </c>
      <c r="G605" s="94">
        <f t="shared" si="86"/>
        <v>0.15</v>
      </c>
      <c r="H605" s="92" t="s">
        <v>46</v>
      </c>
      <c r="I605" s="96">
        <f t="shared" si="81"/>
        <v>0.3</v>
      </c>
      <c r="J605" s="96">
        <f t="shared" si="82"/>
        <v>0.7</v>
      </c>
      <c r="K605" s="92">
        <f>VLOOKUP(H605,'Taux émission CO2e'!$A$5:$D$16,4,FALSE)</f>
        <v>0.16</v>
      </c>
      <c r="L605" s="93">
        <f t="shared" si="87"/>
        <v>1.2509711999999999</v>
      </c>
      <c r="M605" s="92">
        <f>VLOOKUP(H605,'Taux émission CO2e'!$A$20:$D$31,4,FALSE)</f>
        <v>6.7400000000000002E-2</v>
      </c>
      <c r="N605" s="105">
        <f t="shared" si="88"/>
        <v>1.229600442</v>
      </c>
      <c r="O605" s="93">
        <f t="shared" si="89"/>
        <v>2.4805716420000001</v>
      </c>
      <c r="P605" s="92">
        <v>89</v>
      </c>
      <c r="Q605" s="92" t="s">
        <v>58</v>
      </c>
      <c r="R605" s="92" t="s">
        <v>485</v>
      </c>
      <c r="S605" s="20">
        <v>173.74600000000001</v>
      </c>
    </row>
    <row r="606" spans="1:19" x14ac:dyDescent="0.15">
      <c r="A606" s="90">
        <v>44634</v>
      </c>
      <c r="B606" s="90" t="str">
        <f t="shared" si="83"/>
        <v>mars</v>
      </c>
      <c r="C606" s="90" t="str">
        <f t="shared" si="84"/>
        <v>2022</v>
      </c>
      <c r="D606" s="90" t="str">
        <f t="shared" si="85"/>
        <v>mars2022</v>
      </c>
      <c r="E606" s="91" t="s">
        <v>541</v>
      </c>
      <c r="F606" s="91">
        <v>130</v>
      </c>
      <c r="G606" s="94">
        <f t="shared" si="86"/>
        <v>0.13</v>
      </c>
      <c r="H606" s="92" t="s">
        <v>45</v>
      </c>
      <c r="I606" s="96">
        <f t="shared" si="81"/>
        <v>0.3</v>
      </c>
      <c r="J606" s="96">
        <f t="shared" si="82"/>
        <v>0.7</v>
      </c>
      <c r="K606" s="92">
        <f>VLOOKUP(H606,'Taux émission CO2e'!$A$5:$D$16,4,FALSE)</f>
        <v>0.16</v>
      </c>
      <c r="L606" s="93">
        <f t="shared" si="87"/>
        <v>0.28049424000000006</v>
      </c>
      <c r="M606" s="92">
        <f>VLOOKUP(H606,'Taux émission CO2e'!$A$20:$D$31,4,FALSE)</f>
        <v>6.7400000000000002E-2</v>
      </c>
      <c r="N606" s="105">
        <f t="shared" si="88"/>
        <v>0.27570246339999999</v>
      </c>
      <c r="O606" s="93">
        <f t="shared" si="89"/>
        <v>0.55619670340000005</v>
      </c>
      <c r="P606" s="92">
        <v>100</v>
      </c>
      <c r="Q606" s="92" t="s">
        <v>58</v>
      </c>
      <c r="R606" s="92" t="s">
        <v>78</v>
      </c>
      <c r="S606" s="20">
        <v>44.951000000000001</v>
      </c>
    </row>
    <row r="607" spans="1:19" x14ac:dyDescent="0.15">
      <c r="A607" s="90">
        <v>44634</v>
      </c>
      <c r="B607" s="90" t="str">
        <f t="shared" si="83"/>
        <v>mars</v>
      </c>
      <c r="C607" s="90" t="str">
        <f t="shared" si="84"/>
        <v>2022</v>
      </c>
      <c r="D607" s="90" t="str">
        <f t="shared" si="85"/>
        <v>mars2022</v>
      </c>
      <c r="E607" s="91" t="s">
        <v>542</v>
      </c>
      <c r="F607" s="91">
        <v>130</v>
      </c>
      <c r="G607" s="94">
        <f t="shared" si="86"/>
        <v>0.13</v>
      </c>
      <c r="H607" s="92" t="s">
        <v>46</v>
      </c>
      <c r="I607" s="96">
        <f t="shared" si="81"/>
        <v>0.3</v>
      </c>
      <c r="J607" s="96">
        <f t="shared" si="82"/>
        <v>0.7</v>
      </c>
      <c r="K607" s="92">
        <f>VLOOKUP(H607,'Taux émission CO2e'!$A$5:$D$16,4,FALSE)</f>
        <v>0.16</v>
      </c>
      <c r="L607" s="93">
        <f t="shared" si="87"/>
        <v>1.5524932800000002</v>
      </c>
      <c r="M607" s="92">
        <f>VLOOKUP(H607,'Taux émission CO2e'!$A$20:$D$31,4,FALSE)</f>
        <v>6.7400000000000002E-2</v>
      </c>
      <c r="N607" s="105">
        <f t="shared" si="88"/>
        <v>1.5259715197999999</v>
      </c>
      <c r="O607" s="93">
        <f t="shared" si="89"/>
        <v>3.0784647997999999</v>
      </c>
      <c r="P607" s="92">
        <v>100</v>
      </c>
      <c r="Q607" s="92" t="s">
        <v>58</v>
      </c>
      <c r="R607" s="92" t="s">
        <v>82</v>
      </c>
      <c r="S607" s="20">
        <v>248.797</v>
      </c>
    </row>
    <row r="608" spans="1:19" x14ac:dyDescent="0.15">
      <c r="A608" s="90">
        <v>44634</v>
      </c>
      <c r="B608" s="90" t="str">
        <f t="shared" si="83"/>
        <v>mars</v>
      </c>
      <c r="C608" s="90" t="str">
        <f t="shared" si="84"/>
        <v>2022</v>
      </c>
      <c r="D608" s="90" t="str">
        <f t="shared" si="85"/>
        <v>mars2022</v>
      </c>
      <c r="E608" s="91" t="s">
        <v>543</v>
      </c>
      <c r="F608" s="91">
        <v>80</v>
      </c>
      <c r="G608" s="94">
        <f t="shared" si="86"/>
        <v>0.08</v>
      </c>
      <c r="H608" s="92" t="s">
        <v>46</v>
      </c>
      <c r="I608" s="96">
        <f t="shared" si="81"/>
        <v>0.3</v>
      </c>
      <c r="J608" s="96">
        <f t="shared" si="82"/>
        <v>0.7</v>
      </c>
      <c r="K608" s="92">
        <f>VLOOKUP(H608,'Taux émission CO2e'!$A$5:$D$16,4,FALSE)</f>
        <v>0.16</v>
      </c>
      <c r="L608" s="93">
        <f t="shared" si="87"/>
        <v>2.7456307200000003</v>
      </c>
      <c r="M608" s="92">
        <f>VLOOKUP(H608,'Taux émission CO2e'!$A$20:$D$31,4,FALSE)</f>
        <v>6.7400000000000002E-2</v>
      </c>
      <c r="N608" s="105">
        <f t="shared" si="88"/>
        <v>2.6987261952000003</v>
      </c>
      <c r="O608" s="93">
        <f t="shared" si="89"/>
        <v>5.4443569152000002</v>
      </c>
      <c r="P608" s="92">
        <v>130</v>
      </c>
      <c r="Q608" s="92" t="s">
        <v>58</v>
      </c>
      <c r="R608" s="92" t="s">
        <v>544</v>
      </c>
      <c r="S608" s="20">
        <v>715.00800000000004</v>
      </c>
    </row>
    <row r="609" spans="1:19" x14ac:dyDescent="0.15">
      <c r="A609" s="90">
        <v>44634</v>
      </c>
      <c r="B609" s="90" t="str">
        <f t="shared" si="83"/>
        <v>mars</v>
      </c>
      <c r="C609" s="90" t="str">
        <f t="shared" si="84"/>
        <v>2022</v>
      </c>
      <c r="D609" s="90" t="str">
        <f t="shared" si="85"/>
        <v>mars2022</v>
      </c>
      <c r="E609" s="91" t="s">
        <v>545</v>
      </c>
      <c r="F609" s="91">
        <v>500</v>
      </c>
      <c r="G609" s="94">
        <f t="shared" si="86"/>
        <v>0.5</v>
      </c>
      <c r="H609" s="92" t="s">
        <v>46</v>
      </c>
      <c r="I609" s="96">
        <f t="shared" si="81"/>
        <v>0.3</v>
      </c>
      <c r="J609" s="96">
        <f t="shared" si="82"/>
        <v>0.7</v>
      </c>
      <c r="K609" s="92">
        <f>VLOOKUP(H609,'Taux émission CO2e'!$A$5:$D$16,4,FALSE)</f>
        <v>0.16</v>
      </c>
      <c r="L609" s="93">
        <f t="shared" si="87"/>
        <v>5.9156400000000007</v>
      </c>
      <c r="M609" s="92">
        <f>VLOOKUP(H609,'Taux émission CO2e'!$A$20:$D$31,4,FALSE)</f>
        <v>6.7400000000000002E-2</v>
      </c>
      <c r="N609" s="105">
        <f t="shared" si="88"/>
        <v>5.8145811500000004</v>
      </c>
      <c r="O609" s="93">
        <f t="shared" si="89"/>
        <v>11.730221150000002</v>
      </c>
      <c r="P609" s="92">
        <v>340</v>
      </c>
      <c r="Q609" s="92" t="s">
        <v>58</v>
      </c>
      <c r="R609" s="92" t="s">
        <v>127</v>
      </c>
      <c r="S609" s="20">
        <v>246.48500000000001</v>
      </c>
    </row>
    <row r="610" spans="1:19" x14ac:dyDescent="0.15">
      <c r="A610" s="90">
        <v>44635</v>
      </c>
      <c r="B610" s="90" t="str">
        <f t="shared" si="83"/>
        <v>mars</v>
      </c>
      <c r="C610" s="90" t="str">
        <f t="shared" si="84"/>
        <v>2022</v>
      </c>
      <c r="D610" s="90" t="str">
        <f t="shared" si="85"/>
        <v>mars2022</v>
      </c>
      <c r="E610" s="91" t="s">
        <v>546</v>
      </c>
      <c r="F610" s="91">
        <v>150</v>
      </c>
      <c r="G610" s="94">
        <f t="shared" si="86"/>
        <v>0.15</v>
      </c>
      <c r="H610" s="92" t="s">
        <v>38</v>
      </c>
      <c r="I610" s="96">
        <f t="shared" si="81"/>
        <v>1</v>
      </c>
      <c r="J610" s="96">
        <f t="shared" si="82"/>
        <v>0</v>
      </c>
      <c r="K610" s="92">
        <f>VLOOKUP(H610,'Taux émission CO2e'!$A$5:$D$16,4,FALSE)</f>
        <v>0.24099999999999999</v>
      </c>
      <c r="L610" s="93">
        <f t="shared" si="87"/>
        <v>1.2287746499999999</v>
      </c>
      <c r="M610" s="92">
        <f>VLOOKUP(H610,'Taux émission CO2e'!$A$20:$D$31,4,FALSE)</f>
        <v>0</v>
      </c>
      <c r="N610" s="105">
        <f t="shared" si="88"/>
        <v>0</v>
      </c>
      <c r="O610" s="93">
        <f t="shared" si="89"/>
        <v>1.2287746499999999</v>
      </c>
      <c r="P610" s="92">
        <v>80</v>
      </c>
      <c r="Q610" s="92" t="s">
        <v>67</v>
      </c>
      <c r="R610" s="92" t="s">
        <v>55</v>
      </c>
      <c r="S610" s="20">
        <v>33.991</v>
      </c>
    </row>
    <row r="611" spans="1:19" x14ac:dyDescent="0.15">
      <c r="A611" s="90">
        <v>44635</v>
      </c>
      <c r="B611" s="90" t="str">
        <f t="shared" si="83"/>
        <v>mars</v>
      </c>
      <c r="C611" s="90" t="str">
        <f t="shared" si="84"/>
        <v>2022</v>
      </c>
      <c r="D611" s="90" t="str">
        <f t="shared" si="85"/>
        <v>mars2022</v>
      </c>
      <c r="E611" s="91" t="s">
        <v>547</v>
      </c>
      <c r="F611" s="91">
        <v>50</v>
      </c>
      <c r="G611" s="94">
        <f t="shared" si="86"/>
        <v>0.05</v>
      </c>
      <c r="H611" s="92" t="s">
        <v>46</v>
      </c>
      <c r="I611" s="96">
        <f t="shared" si="81"/>
        <v>0.3</v>
      </c>
      <c r="J611" s="96">
        <f t="shared" si="82"/>
        <v>0.7</v>
      </c>
      <c r="K611" s="92">
        <f>VLOOKUP(H611,'Taux émission CO2e'!$A$5:$D$16,4,FALSE)</f>
        <v>0.16</v>
      </c>
      <c r="L611" s="93">
        <f t="shared" si="87"/>
        <v>0.41699040000000004</v>
      </c>
      <c r="M611" s="92">
        <f>VLOOKUP(H611,'Taux émission CO2e'!$A$20:$D$31,4,FALSE)</f>
        <v>6.7400000000000002E-2</v>
      </c>
      <c r="N611" s="105">
        <f t="shared" si="88"/>
        <v>0.40986681400000002</v>
      </c>
      <c r="O611" s="93">
        <f t="shared" si="89"/>
        <v>0.82685721400000012</v>
      </c>
      <c r="P611" s="92">
        <v>89</v>
      </c>
      <c r="Q611" s="92" t="s">
        <v>58</v>
      </c>
      <c r="R611" s="92" t="s">
        <v>485</v>
      </c>
      <c r="S611" s="20">
        <v>173.74600000000001</v>
      </c>
    </row>
    <row r="612" spans="1:19" x14ac:dyDescent="0.15">
      <c r="A612" s="90">
        <v>44635</v>
      </c>
      <c r="B612" s="90" t="str">
        <f t="shared" si="83"/>
        <v>mars</v>
      </c>
      <c r="C612" s="90" t="str">
        <f t="shared" si="84"/>
        <v>2022</v>
      </c>
      <c r="D612" s="90" t="str">
        <f t="shared" si="85"/>
        <v>mars2022</v>
      </c>
      <c r="E612" s="91" t="s">
        <v>548</v>
      </c>
      <c r="F612" s="91">
        <v>180</v>
      </c>
      <c r="G612" s="94">
        <f t="shared" si="86"/>
        <v>0.18</v>
      </c>
      <c r="H612" s="92" t="s">
        <v>46</v>
      </c>
      <c r="I612" s="96">
        <f t="shared" si="81"/>
        <v>0.3</v>
      </c>
      <c r="J612" s="96">
        <f t="shared" si="82"/>
        <v>0.7</v>
      </c>
      <c r="K612" s="92">
        <f>VLOOKUP(H612,'Taux émission CO2e'!$A$5:$D$16,4,FALSE)</f>
        <v>0.16</v>
      </c>
      <c r="L612" s="93">
        <f t="shared" si="87"/>
        <v>2.2996742399999999</v>
      </c>
      <c r="M612" s="92">
        <f>VLOOKUP(H612,'Taux émission CO2e'!$A$20:$D$31,4,FALSE)</f>
        <v>6.7400000000000002E-2</v>
      </c>
      <c r="N612" s="105">
        <f t="shared" si="88"/>
        <v>2.2603881383999997</v>
      </c>
      <c r="O612" s="93">
        <f t="shared" si="89"/>
        <v>4.5600623783999996</v>
      </c>
      <c r="P612" s="92">
        <v>100</v>
      </c>
      <c r="Q612" s="92" t="s">
        <v>58</v>
      </c>
      <c r="R612" s="92" t="s">
        <v>53</v>
      </c>
      <c r="S612" s="20">
        <v>266.166</v>
      </c>
    </row>
    <row r="613" spans="1:19" x14ac:dyDescent="0.15">
      <c r="A613" s="90">
        <v>44635</v>
      </c>
      <c r="B613" s="90" t="str">
        <f t="shared" si="83"/>
        <v>mars</v>
      </c>
      <c r="C613" s="90" t="str">
        <f t="shared" si="84"/>
        <v>2022</v>
      </c>
      <c r="D613" s="90" t="str">
        <f t="shared" si="85"/>
        <v>mars2022</v>
      </c>
      <c r="E613" s="91" t="s">
        <v>549</v>
      </c>
      <c r="F613" s="91">
        <v>100</v>
      </c>
      <c r="G613" s="94">
        <f t="shared" si="86"/>
        <v>0.1</v>
      </c>
      <c r="H613" s="92" t="s">
        <v>46</v>
      </c>
      <c r="I613" s="96">
        <f t="shared" si="81"/>
        <v>0.3</v>
      </c>
      <c r="J613" s="96">
        <f t="shared" si="82"/>
        <v>0.7</v>
      </c>
      <c r="K613" s="92">
        <f>VLOOKUP(H613,'Taux émission CO2e'!$A$5:$D$16,4,FALSE)</f>
        <v>0.16</v>
      </c>
      <c r="L613" s="93">
        <f t="shared" si="87"/>
        <v>1.826184</v>
      </c>
      <c r="M613" s="92">
        <f>VLOOKUP(H613,'Taux émission CO2e'!$A$20:$D$31,4,FALSE)</f>
        <v>6.7400000000000002E-2</v>
      </c>
      <c r="N613" s="105">
        <f t="shared" si="88"/>
        <v>1.79498669</v>
      </c>
      <c r="O613" s="93">
        <f t="shared" si="89"/>
        <v>3.62117069</v>
      </c>
      <c r="P613" s="92">
        <v>130</v>
      </c>
      <c r="Q613" s="92" t="s">
        <v>58</v>
      </c>
      <c r="R613" s="92" t="s">
        <v>83</v>
      </c>
      <c r="S613" s="20">
        <v>380.45499999999998</v>
      </c>
    </row>
    <row r="614" spans="1:19" x14ac:dyDescent="0.15">
      <c r="A614" s="90">
        <v>44635</v>
      </c>
      <c r="B614" s="90" t="str">
        <f t="shared" si="83"/>
        <v>mars</v>
      </c>
      <c r="C614" s="90" t="str">
        <f t="shared" si="84"/>
        <v>2022</v>
      </c>
      <c r="D614" s="90" t="str">
        <f t="shared" si="85"/>
        <v>mars2022</v>
      </c>
      <c r="E614" s="91" t="s">
        <v>550</v>
      </c>
      <c r="F614" s="91">
        <v>200</v>
      </c>
      <c r="G614" s="94">
        <f t="shared" si="86"/>
        <v>0.2</v>
      </c>
      <c r="H614" s="92" t="s">
        <v>46</v>
      </c>
      <c r="I614" s="96">
        <f t="shared" si="81"/>
        <v>0.3</v>
      </c>
      <c r="J614" s="96">
        <f t="shared" si="82"/>
        <v>0.7</v>
      </c>
      <c r="K614" s="92">
        <f>VLOOKUP(H614,'Taux émission CO2e'!$A$5:$D$16,4,FALSE)</f>
        <v>0.16</v>
      </c>
      <c r="L614" s="93">
        <f t="shared" si="87"/>
        <v>2.4772128000000002</v>
      </c>
      <c r="M614" s="92">
        <f>VLOOKUP(H614,'Taux émission CO2e'!$A$20:$D$31,4,FALSE)</f>
        <v>6.7400000000000002E-2</v>
      </c>
      <c r="N614" s="105">
        <f t="shared" si="88"/>
        <v>2.4348937479999999</v>
      </c>
      <c r="O614" s="93">
        <f t="shared" si="89"/>
        <v>4.9121065480000006</v>
      </c>
      <c r="P614" s="92">
        <v>131</v>
      </c>
      <c r="Q614" s="92" t="s">
        <v>102</v>
      </c>
      <c r="R614" s="92" t="s">
        <v>55</v>
      </c>
      <c r="S614" s="20">
        <v>258.04300000000001</v>
      </c>
    </row>
    <row r="615" spans="1:19" x14ac:dyDescent="0.15">
      <c r="A615" s="90">
        <v>44635</v>
      </c>
      <c r="B615" s="90" t="str">
        <f t="shared" si="83"/>
        <v>mars</v>
      </c>
      <c r="C615" s="90" t="str">
        <f t="shared" si="84"/>
        <v>2022</v>
      </c>
      <c r="D615" s="90" t="str">
        <f t="shared" si="85"/>
        <v>mars2022</v>
      </c>
      <c r="E615" s="91" t="s">
        <v>551</v>
      </c>
      <c r="F615" s="91">
        <v>150</v>
      </c>
      <c r="G615" s="94">
        <f t="shared" si="86"/>
        <v>0.15</v>
      </c>
      <c r="H615" s="92" t="s">
        <v>46</v>
      </c>
      <c r="I615" s="96">
        <f t="shared" si="81"/>
        <v>0.3</v>
      </c>
      <c r="J615" s="96">
        <f t="shared" si="82"/>
        <v>0.7</v>
      </c>
      <c r="K615" s="92">
        <f>VLOOKUP(H615,'Taux émission CO2e'!$A$5:$D$16,4,FALSE)</f>
        <v>0.16</v>
      </c>
      <c r="L615" s="93">
        <f t="shared" si="87"/>
        <v>3.8809008</v>
      </c>
      <c r="M615" s="92">
        <f>VLOOKUP(H615,'Taux émission CO2e'!$A$20:$D$31,4,FALSE)</f>
        <v>6.7400000000000002E-2</v>
      </c>
      <c r="N615" s="105">
        <f t="shared" si="88"/>
        <v>3.8146020780000001</v>
      </c>
      <c r="O615" s="93">
        <f t="shared" si="89"/>
        <v>7.6955028780000001</v>
      </c>
      <c r="P615" s="92">
        <v>133</v>
      </c>
      <c r="Q615" s="92" t="s">
        <v>58</v>
      </c>
      <c r="R615" s="92" t="s">
        <v>405</v>
      </c>
      <c r="S615" s="20">
        <v>539.01400000000001</v>
      </c>
    </row>
    <row r="616" spans="1:19" x14ac:dyDescent="0.15">
      <c r="A616" s="90">
        <v>44635</v>
      </c>
      <c r="B616" s="90" t="str">
        <f t="shared" si="83"/>
        <v>mars</v>
      </c>
      <c r="C616" s="90" t="str">
        <f t="shared" si="84"/>
        <v>2022</v>
      </c>
      <c r="D616" s="90" t="str">
        <f t="shared" si="85"/>
        <v>mars2022</v>
      </c>
      <c r="E616" s="91" t="s">
        <v>552</v>
      </c>
      <c r="F616" s="91">
        <v>100</v>
      </c>
      <c r="G616" s="94">
        <f t="shared" si="86"/>
        <v>0.1</v>
      </c>
      <c r="H616" s="92" t="s">
        <v>46</v>
      </c>
      <c r="I616" s="96">
        <f t="shared" si="81"/>
        <v>0.3</v>
      </c>
      <c r="J616" s="96">
        <f t="shared" si="82"/>
        <v>0.7</v>
      </c>
      <c r="K616" s="92">
        <f>VLOOKUP(H616,'Taux émission CO2e'!$A$5:$D$16,4,FALSE)</f>
        <v>0.16</v>
      </c>
      <c r="L616" s="93">
        <f t="shared" si="87"/>
        <v>2.4758304000000004</v>
      </c>
      <c r="M616" s="92">
        <f>VLOOKUP(H616,'Taux émission CO2e'!$A$20:$D$31,4,FALSE)</f>
        <v>6.7400000000000002E-2</v>
      </c>
      <c r="N616" s="105">
        <f t="shared" si="88"/>
        <v>2.4335349640000001</v>
      </c>
      <c r="O616" s="93">
        <f t="shared" si="89"/>
        <v>4.909365364000001</v>
      </c>
      <c r="P616" s="92">
        <v>140</v>
      </c>
      <c r="Q616" s="92" t="s">
        <v>58</v>
      </c>
      <c r="R616" s="92" t="s">
        <v>57</v>
      </c>
      <c r="S616" s="20">
        <v>515.798</v>
      </c>
    </row>
    <row r="617" spans="1:19" x14ac:dyDescent="0.15">
      <c r="A617" s="90">
        <v>44635</v>
      </c>
      <c r="B617" s="90" t="str">
        <f t="shared" si="83"/>
        <v>mars</v>
      </c>
      <c r="C617" s="90" t="str">
        <f t="shared" si="84"/>
        <v>2022</v>
      </c>
      <c r="D617" s="90" t="str">
        <f t="shared" si="85"/>
        <v>mars2022</v>
      </c>
      <c r="E617" s="91" t="s">
        <v>553</v>
      </c>
      <c r="F617" s="91">
        <v>150</v>
      </c>
      <c r="G617" s="94">
        <f t="shared" si="86"/>
        <v>0.15</v>
      </c>
      <c r="H617" s="92" t="s">
        <v>45</v>
      </c>
      <c r="I617" s="96">
        <f t="shared" si="81"/>
        <v>0.3</v>
      </c>
      <c r="J617" s="96">
        <f t="shared" si="82"/>
        <v>0.7</v>
      </c>
      <c r="K617" s="92">
        <f>VLOOKUP(H617,'Taux émission CO2e'!$A$5:$D$16,4,FALSE)</f>
        <v>0.16</v>
      </c>
      <c r="L617" s="93">
        <f t="shared" si="87"/>
        <v>2.0026439999999996</v>
      </c>
      <c r="M617" s="92">
        <f>VLOOKUP(H617,'Taux émission CO2e'!$A$20:$D$31,4,FALSE)</f>
        <v>6.7400000000000002E-2</v>
      </c>
      <c r="N617" s="105">
        <f t="shared" si="88"/>
        <v>1.9684321649999998</v>
      </c>
      <c r="O617" s="93">
        <f t="shared" si="89"/>
        <v>3.9710761649999995</v>
      </c>
      <c r="P617" s="92">
        <v>158</v>
      </c>
      <c r="Q617" s="92" t="s">
        <v>74</v>
      </c>
      <c r="R617" s="92" t="s">
        <v>55</v>
      </c>
      <c r="S617" s="20">
        <v>278.14499999999998</v>
      </c>
    </row>
    <row r="618" spans="1:19" x14ac:dyDescent="0.15">
      <c r="A618" s="90">
        <v>44635</v>
      </c>
      <c r="B618" s="90" t="str">
        <f t="shared" si="83"/>
        <v>mars</v>
      </c>
      <c r="C618" s="90" t="str">
        <f t="shared" si="84"/>
        <v>2022</v>
      </c>
      <c r="D618" s="90" t="str">
        <f t="shared" si="85"/>
        <v>mars2022</v>
      </c>
      <c r="E618" s="91" t="s">
        <v>554</v>
      </c>
      <c r="F618" s="92">
        <v>1000</v>
      </c>
      <c r="G618" s="94">
        <f t="shared" si="86"/>
        <v>1</v>
      </c>
      <c r="H618" s="92" t="s">
        <v>45</v>
      </c>
      <c r="I618" s="96">
        <f t="shared" si="81"/>
        <v>0.3</v>
      </c>
      <c r="J618" s="96">
        <f t="shared" si="82"/>
        <v>0.7</v>
      </c>
      <c r="K618" s="92">
        <f>VLOOKUP(H618,'Taux émission CO2e'!$A$5:$D$16,4,FALSE)</f>
        <v>0.16</v>
      </c>
      <c r="L618" s="93">
        <f t="shared" si="87"/>
        <v>25.928879999999999</v>
      </c>
      <c r="M618" s="92">
        <f>VLOOKUP(H618,'Taux émission CO2e'!$A$20:$D$31,4,FALSE)</f>
        <v>6.7400000000000002E-2</v>
      </c>
      <c r="N618" s="105">
        <f t="shared" si="88"/>
        <v>25.485928299999998</v>
      </c>
      <c r="O618" s="93">
        <f t="shared" si="89"/>
        <v>51.414808299999997</v>
      </c>
      <c r="P618" s="92">
        <v>785</v>
      </c>
      <c r="Q618" s="92" t="s">
        <v>52</v>
      </c>
      <c r="R618" s="92" t="s">
        <v>53</v>
      </c>
      <c r="S618" s="20">
        <v>540.18499999999995</v>
      </c>
    </row>
    <row r="619" spans="1:19" x14ac:dyDescent="0.15">
      <c r="A619" s="90">
        <v>44636</v>
      </c>
      <c r="B619" s="90" t="str">
        <f t="shared" si="83"/>
        <v>mars</v>
      </c>
      <c r="C619" s="90" t="str">
        <f t="shared" si="84"/>
        <v>2022</v>
      </c>
      <c r="D619" s="90" t="str">
        <f t="shared" si="85"/>
        <v>mars2022</v>
      </c>
      <c r="E619" s="91" t="s">
        <v>555</v>
      </c>
      <c r="F619" s="91">
        <v>100</v>
      </c>
      <c r="G619" s="94">
        <f t="shared" si="86"/>
        <v>0.1</v>
      </c>
      <c r="H619" s="92" t="s">
        <v>46</v>
      </c>
      <c r="I619" s="96">
        <f t="shared" si="81"/>
        <v>0.3</v>
      </c>
      <c r="J619" s="96">
        <f t="shared" si="82"/>
        <v>0.7</v>
      </c>
      <c r="K619" s="92">
        <f>VLOOKUP(H619,'Taux émission CO2e'!$A$5:$D$16,4,FALSE)</f>
        <v>0.16</v>
      </c>
      <c r="L619" s="93">
        <f t="shared" si="87"/>
        <v>2.2008336000000002</v>
      </c>
      <c r="M619" s="92">
        <f>VLOOKUP(H619,'Taux émission CO2e'!$A$20:$D$31,4,FALSE)</f>
        <v>6.7400000000000002E-2</v>
      </c>
      <c r="N619" s="105">
        <f t="shared" si="88"/>
        <v>2.1632360259999999</v>
      </c>
      <c r="O619" s="93">
        <f t="shared" si="89"/>
        <v>4.364069626</v>
      </c>
      <c r="P619" s="92">
        <v>118</v>
      </c>
      <c r="Q619" s="92" t="s">
        <v>58</v>
      </c>
      <c r="R619" s="92" t="s">
        <v>427</v>
      </c>
      <c r="S619" s="20">
        <v>458.50700000000001</v>
      </c>
    </row>
    <row r="620" spans="1:19" x14ac:dyDescent="0.15">
      <c r="A620" s="90">
        <v>44636</v>
      </c>
      <c r="B620" s="90" t="str">
        <f t="shared" si="83"/>
        <v>mars</v>
      </c>
      <c r="C620" s="90" t="str">
        <f t="shared" si="84"/>
        <v>2022</v>
      </c>
      <c r="D620" s="90" t="str">
        <f t="shared" si="85"/>
        <v>mars2022</v>
      </c>
      <c r="E620" s="91" t="s">
        <v>556</v>
      </c>
      <c r="F620" s="91">
        <v>71</v>
      </c>
      <c r="G620" s="94">
        <f t="shared" si="86"/>
        <v>7.0999999999999994E-2</v>
      </c>
      <c r="H620" s="92" t="s">
        <v>46</v>
      </c>
      <c r="I620" s="96">
        <f t="shared" si="81"/>
        <v>0.3</v>
      </c>
      <c r="J620" s="96">
        <f t="shared" si="82"/>
        <v>0.7</v>
      </c>
      <c r="K620" s="92">
        <f>VLOOKUP(H620,'Taux émission CO2e'!$A$5:$D$16,4,FALSE)</f>
        <v>0.16</v>
      </c>
      <c r="L620" s="93">
        <f t="shared" si="87"/>
        <v>2.4367472639999996</v>
      </c>
      <c r="M620" s="92">
        <f>VLOOKUP(H620,'Taux émission CO2e'!$A$20:$D$31,4,FALSE)</f>
        <v>6.7400000000000002E-2</v>
      </c>
      <c r="N620" s="105">
        <f t="shared" si="88"/>
        <v>2.3951194982399997</v>
      </c>
      <c r="O620" s="93">
        <f t="shared" si="89"/>
        <v>4.8318667622399989</v>
      </c>
      <c r="P620" s="92">
        <v>173</v>
      </c>
      <c r="Q620" s="92" t="s">
        <v>58</v>
      </c>
      <c r="R620" s="92" t="s">
        <v>544</v>
      </c>
      <c r="S620" s="20">
        <v>715.00800000000004</v>
      </c>
    </row>
    <row r="621" spans="1:19" x14ac:dyDescent="0.15">
      <c r="A621" s="90">
        <v>44636</v>
      </c>
      <c r="B621" s="90" t="str">
        <f t="shared" si="83"/>
        <v>mars</v>
      </c>
      <c r="C621" s="90" t="str">
        <f t="shared" si="84"/>
        <v>2022</v>
      </c>
      <c r="D621" s="90" t="str">
        <f t="shared" si="85"/>
        <v>mars2022</v>
      </c>
      <c r="E621" s="91" t="s">
        <v>557</v>
      </c>
      <c r="F621" s="92">
        <v>2000</v>
      </c>
      <c r="G621" s="94">
        <f t="shared" si="86"/>
        <v>2</v>
      </c>
      <c r="H621" s="92" t="s">
        <v>41</v>
      </c>
      <c r="I621" s="96">
        <f t="shared" si="81"/>
        <v>1</v>
      </c>
      <c r="J621" s="96">
        <f t="shared" si="82"/>
        <v>0</v>
      </c>
      <c r="K621" s="92">
        <f>VLOOKUP(H621,'Taux émission CO2e'!$A$5:$D$16,4,FALSE)</f>
        <v>0.16</v>
      </c>
      <c r="L621" s="93">
        <f t="shared" si="87"/>
        <v>17.523520000000001</v>
      </c>
      <c r="M621" s="92">
        <f>VLOOKUP(H621,'Taux émission CO2e'!$A$20:$D$31,4,FALSE)</f>
        <v>0</v>
      </c>
      <c r="N621" s="105">
        <f t="shared" si="88"/>
        <v>0</v>
      </c>
      <c r="O621" s="93">
        <f t="shared" si="89"/>
        <v>17.523520000000001</v>
      </c>
      <c r="P621" s="92">
        <v>250</v>
      </c>
      <c r="Q621" s="92" t="s">
        <v>56</v>
      </c>
      <c r="R621" s="92" t="s">
        <v>55</v>
      </c>
      <c r="S621" s="20">
        <v>54.761000000000003</v>
      </c>
    </row>
    <row r="622" spans="1:19" x14ac:dyDescent="0.15">
      <c r="A622" s="90">
        <v>44636</v>
      </c>
      <c r="B622" s="90" t="str">
        <f t="shared" si="83"/>
        <v>mars</v>
      </c>
      <c r="C622" s="90" t="str">
        <f t="shared" si="84"/>
        <v>2022</v>
      </c>
      <c r="D622" s="90" t="str">
        <f t="shared" si="85"/>
        <v>mars2022</v>
      </c>
      <c r="E622" s="91" t="s">
        <v>558</v>
      </c>
      <c r="F622" s="91">
        <v>436</v>
      </c>
      <c r="G622" s="94">
        <f t="shared" si="86"/>
        <v>0.436</v>
      </c>
      <c r="H622" s="92" t="s">
        <v>46</v>
      </c>
      <c r="I622" s="96">
        <f t="shared" si="81"/>
        <v>0.3</v>
      </c>
      <c r="J622" s="96">
        <f t="shared" si="82"/>
        <v>0.7</v>
      </c>
      <c r="K622" s="92">
        <f>VLOOKUP(H622,'Taux émission CO2e'!$A$5:$D$16,4,FALSE)</f>
        <v>0.16</v>
      </c>
      <c r="L622" s="93">
        <f t="shared" si="87"/>
        <v>10.794620543999999</v>
      </c>
      <c r="M622" s="92">
        <f>VLOOKUP(H622,'Taux émission CO2e'!$A$20:$D$31,4,FALSE)</f>
        <v>6.7400000000000002E-2</v>
      </c>
      <c r="N622" s="105">
        <f t="shared" si="88"/>
        <v>10.61021244304</v>
      </c>
      <c r="O622" s="93">
        <f t="shared" si="89"/>
        <v>21.404832987039999</v>
      </c>
      <c r="P622" s="92">
        <v>330</v>
      </c>
      <c r="Q622" s="92" t="s">
        <v>58</v>
      </c>
      <c r="R622" s="92" t="s">
        <v>57</v>
      </c>
      <c r="S622" s="20">
        <v>515.798</v>
      </c>
    </row>
    <row r="623" spans="1:19" x14ac:dyDescent="0.15">
      <c r="A623" s="90">
        <v>44636</v>
      </c>
      <c r="B623" s="90" t="str">
        <f t="shared" si="83"/>
        <v>mars</v>
      </c>
      <c r="C623" s="90" t="str">
        <f t="shared" si="84"/>
        <v>2022</v>
      </c>
      <c r="D623" s="90" t="str">
        <f t="shared" si="85"/>
        <v>mars2022</v>
      </c>
      <c r="E623" s="91" t="s">
        <v>559</v>
      </c>
      <c r="F623" s="91">
        <v>436</v>
      </c>
      <c r="G623" s="94">
        <f t="shared" si="86"/>
        <v>0.436</v>
      </c>
      <c r="H623" s="92" t="s">
        <v>46</v>
      </c>
      <c r="I623" s="96">
        <f t="shared" si="81"/>
        <v>0.3</v>
      </c>
      <c r="J623" s="96">
        <f t="shared" si="82"/>
        <v>0.7</v>
      </c>
      <c r="K623" s="92">
        <f>VLOOKUP(H623,'Taux émission CO2e'!$A$5:$D$16,4,FALSE)</f>
        <v>0.16</v>
      </c>
      <c r="L623" s="93">
        <f t="shared" si="87"/>
        <v>7.9621622399999987</v>
      </c>
      <c r="M623" s="92">
        <f>VLOOKUP(H623,'Taux émission CO2e'!$A$20:$D$31,4,FALSE)</f>
        <v>6.7400000000000002E-2</v>
      </c>
      <c r="N623" s="105">
        <f t="shared" si="88"/>
        <v>7.8261419683999991</v>
      </c>
      <c r="O623" s="93">
        <f t="shared" si="89"/>
        <v>15.788304208399998</v>
      </c>
      <c r="P623" s="92">
        <v>360</v>
      </c>
      <c r="Q623" s="92" t="s">
        <v>58</v>
      </c>
      <c r="R623" s="92" t="s">
        <v>83</v>
      </c>
      <c r="S623" s="20">
        <v>380.45499999999998</v>
      </c>
    </row>
    <row r="624" spans="1:19" x14ac:dyDescent="0.15">
      <c r="A624" s="90">
        <v>44636</v>
      </c>
      <c r="B624" s="90" t="str">
        <f t="shared" si="83"/>
        <v>mars</v>
      </c>
      <c r="C624" s="90" t="str">
        <f t="shared" si="84"/>
        <v>2022</v>
      </c>
      <c r="D624" s="90" t="str">
        <f t="shared" si="85"/>
        <v>mars2022</v>
      </c>
      <c r="E624" s="91" t="s">
        <v>560</v>
      </c>
      <c r="F624" s="91">
        <v>693</v>
      </c>
      <c r="G624" s="94">
        <f t="shared" si="86"/>
        <v>0.69299999999999995</v>
      </c>
      <c r="H624" s="92" t="s">
        <v>46</v>
      </c>
      <c r="I624" s="96">
        <f t="shared" si="81"/>
        <v>0.3</v>
      </c>
      <c r="J624" s="96">
        <f t="shared" si="82"/>
        <v>0.7</v>
      </c>
      <c r="K624" s="92">
        <f>VLOOKUP(H624,'Taux émission CO2e'!$A$5:$D$16,4,FALSE)</f>
        <v>0.16</v>
      </c>
      <c r="L624" s="93">
        <f t="shared" si="87"/>
        <v>24.630162479999999</v>
      </c>
      <c r="M624" s="92">
        <f>VLOOKUP(H624,'Taux émission CO2e'!$A$20:$D$31,4,FALSE)</f>
        <v>6.7400000000000002E-2</v>
      </c>
      <c r="N624" s="105">
        <f t="shared" si="88"/>
        <v>24.209397204299997</v>
      </c>
      <c r="O624" s="93">
        <f t="shared" si="89"/>
        <v>48.839559684299999</v>
      </c>
      <c r="P624" s="92">
        <v>444.15</v>
      </c>
      <c r="Q624" s="92" t="s">
        <v>58</v>
      </c>
      <c r="R624" s="92" t="s">
        <v>59</v>
      </c>
      <c r="S624" s="20">
        <v>740.44500000000005</v>
      </c>
    </row>
    <row r="625" spans="1:19" x14ac:dyDescent="0.15">
      <c r="A625" s="90">
        <v>44637</v>
      </c>
      <c r="B625" s="90" t="str">
        <f t="shared" si="83"/>
        <v>mars</v>
      </c>
      <c r="C625" s="90" t="str">
        <f t="shared" si="84"/>
        <v>2022</v>
      </c>
      <c r="D625" s="90" t="str">
        <f t="shared" si="85"/>
        <v>mars2022</v>
      </c>
      <c r="E625" s="91" t="s">
        <v>561</v>
      </c>
      <c r="F625" s="91">
        <v>240</v>
      </c>
      <c r="G625" s="94">
        <f t="shared" si="86"/>
        <v>0.24</v>
      </c>
      <c r="H625" s="92" t="s">
        <v>38</v>
      </c>
      <c r="I625" s="96">
        <f t="shared" si="81"/>
        <v>1</v>
      </c>
      <c r="J625" s="96">
        <f t="shared" si="82"/>
        <v>0</v>
      </c>
      <c r="K625" s="92">
        <f>VLOOKUP(H625,'Taux émission CO2e'!$A$5:$D$16,4,FALSE)</f>
        <v>0.24099999999999999</v>
      </c>
      <c r="L625" s="93">
        <f t="shared" si="87"/>
        <v>1.9715342399999998</v>
      </c>
      <c r="M625" s="92">
        <f>VLOOKUP(H625,'Taux émission CO2e'!$A$20:$D$31,4,FALSE)</f>
        <v>0</v>
      </c>
      <c r="N625" s="105">
        <f t="shared" si="88"/>
        <v>0</v>
      </c>
      <c r="O625" s="93">
        <f t="shared" si="89"/>
        <v>1.9715342399999998</v>
      </c>
      <c r="P625" s="92">
        <v>100</v>
      </c>
      <c r="Q625" s="92" t="s">
        <v>58</v>
      </c>
      <c r="R625" s="92" t="s">
        <v>98</v>
      </c>
      <c r="S625" s="20">
        <v>34.085999999999999</v>
      </c>
    </row>
    <row r="626" spans="1:19" x14ac:dyDescent="0.15">
      <c r="A626" s="90">
        <v>44637</v>
      </c>
      <c r="B626" s="90" t="str">
        <f t="shared" si="83"/>
        <v>mars</v>
      </c>
      <c r="C626" s="90" t="str">
        <f t="shared" si="84"/>
        <v>2022</v>
      </c>
      <c r="D626" s="90" t="str">
        <f t="shared" si="85"/>
        <v>mars2022</v>
      </c>
      <c r="E626" s="91" t="s">
        <v>562</v>
      </c>
      <c r="F626" s="91">
        <v>150</v>
      </c>
      <c r="G626" s="94">
        <f t="shared" si="86"/>
        <v>0.15</v>
      </c>
      <c r="H626" s="92" t="s">
        <v>46</v>
      </c>
      <c r="I626" s="96">
        <f t="shared" si="81"/>
        <v>0.3</v>
      </c>
      <c r="J626" s="96">
        <f t="shared" si="82"/>
        <v>0.7</v>
      </c>
      <c r="K626" s="92">
        <f>VLOOKUP(H626,'Taux émission CO2e'!$A$5:$D$16,4,FALSE)</f>
        <v>0.16</v>
      </c>
      <c r="L626" s="93">
        <f t="shared" si="87"/>
        <v>2.7402191999999999</v>
      </c>
      <c r="M626" s="92">
        <f>VLOOKUP(H626,'Taux émission CO2e'!$A$20:$D$31,4,FALSE)</f>
        <v>6.7400000000000002E-2</v>
      </c>
      <c r="N626" s="105">
        <f t="shared" si="88"/>
        <v>2.693407122</v>
      </c>
      <c r="O626" s="93">
        <f t="shared" si="89"/>
        <v>5.4336263220000003</v>
      </c>
      <c r="P626" s="92">
        <v>166</v>
      </c>
      <c r="Q626" s="92" t="s">
        <v>91</v>
      </c>
      <c r="R626" s="92" t="s">
        <v>55</v>
      </c>
      <c r="S626" s="20">
        <v>380.58600000000001</v>
      </c>
    </row>
    <row r="627" spans="1:19" x14ac:dyDescent="0.15">
      <c r="A627" s="90">
        <v>44637</v>
      </c>
      <c r="B627" s="90" t="str">
        <f t="shared" si="83"/>
        <v>mars</v>
      </c>
      <c r="C627" s="90" t="str">
        <f t="shared" si="84"/>
        <v>2022</v>
      </c>
      <c r="D627" s="90" t="str">
        <f t="shared" si="85"/>
        <v>mars2022</v>
      </c>
      <c r="E627" s="91" t="s">
        <v>563</v>
      </c>
      <c r="F627" s="91">
        <v>300</v>
      </c>
      <c r="G627" s="94">
        <f t="shared" si="86"/>
        <v>0.3</v>
      </c>
      <c r="H627" s="92" t="s">
        <v>45</v>
      </c>
      <c r="I627" s="96">
        <f t="shared" si="81"/>
        <v>0.3</v>
      </c>
      <c r="J627" s="96">
        <f t="shared" si="82"/>
        <v>0.7</v>
      </c>
      <c r="K627" s="92">
        <f>VLOOKUP(H627,'Taux émission CO2e'!$A$5:$D$16,4,FALSE)</f>
        <v>0.16</v>
      </c>
      <c r="L627" s="93">
        <f t="shared" si="87"/>
        <v>7.7786639999999991</v>
      </c>
      <c r="M627" s="92">
        <f>VLOOKUP(H627,'Taux émission CO2e'!$A$20:$D$31,4,FALSE)</f>
        <v>6.7400000000000002E-2</v>
      </c>
      <c r="N627" s="105">
        <f t="shared" si="88"/>
        <v>7.6457784899999988</v>
      </c>
      <c r="O627" s="93">
        <f t="shared" si="89"/>
        <v>15.424442489999997</v>
      </c>
      <c r="P627" s="92">
        <v>200</v>
      </c>
      <c r="Q627" s="92" t="s">
        <v>52</v>
      </c>
      <c r="R627" s="92" t="s">
        <v>53</v>
      </c>
      <c r="S627" s="20">
        <v>540.18499999999995</v>
      </c>
    </row>
    <row r="628" spans="1:19" x14ac:dyDescent="0.15">
      <c r="A628" s="90">
        <v>44637</v>
      </c>
      <c r="B628" s="90" t="str">
        <f t="shared" si="83"/>
        <v>mars</v>
      </c>
      <c r="C628" s="90" t="str">
        <f t="shared" si="84"/>
        <v>2022</v>
      </c>
      <c r="D628" s="90" t="str">
        <f t="shared" si="85"/>
        <v>mars2022</v>
      </c>
      <c r="E628" s="91" t="s">
        <v>564</v>
      </c>
      <c r="F628" s="91">
        <v>200</v>
      </c>
      <c r="G628" s="94">
        <f t="shared" si="86"/>
        <v>0.2</v>
      </c>
      <c r="H628" s="92" t="s">
        <v>46</v>
      </c>
      <c r="I628" s="96">
        <f t="shared" si="81"/>
        <v>0.3</v>
      </c>
      <c r="J628" s="96">
        <f t="shared" si="82"/>
        <v>0.7</v>
      </c>
      <c r="K628" s="92">
        <f>VLOOKUP(H628,'Taux émission CO2e'!$A$5:$D$16,4,FALSE)</f>
        <v>0.16</v>
      </c>
      <c r="L628" s="93">
        <f t="shared" si="87"/>
        <v>5.1986496000000004</v>
      </c>
      <c r="M628" s="92">
        <f>VLOOKUP(H628,'Taux émission CO2e'!$A$20:$D$31,4,FALSE)</f>
        <v>6.7400000000000002E-2</v>
      </c>
      <c r="N628" s="105">
        <f t="shared" si="88"/>
        <v>5.1098393359999994</v>
      </c>
      <c r="O628" s="93">
        <f t="shared" si="89"/>
        <v>10.308488936</v>
      </c>
      <c r="P628" s="92">
        <v>239</v>
      </c>
      <c r="Q628" s="92" t="s">
        <v>62</v>
      </c>
      <c r="R628" s="92" t="s">
        <v>55</v>
      </c>
      <c r="S628" s="20">
        <v>541.52599999999995</v>
      </c>
    </row>
    <row r="629" spans="1:19" x14ac:dyDescent="0.15">
      <c r="A629" s="90">
        <v>44638</v>
      </c>
      <c r="B629" s="90" t="str">
        <f t="shared" si="83"/>
        <v>mars</v>
      </c>
      <c r="C629" s="90" t="str">
        <f t="shared" si="84"/>
        <v>2022</v>
      </c>
      <c r="D629" s="90" t="str">
        <f t="shared" si="85"/>
        <v>mars2022</v>
      </c>
      <c r="E629" s="91" t="s">
        <v>565</v>
      </c>
      <c r="F629" s="91">
        <v>150</v>
      </c>
      <c r="G629" s="94">
        <f t="shared" si="86"/>
        <v>0.15</v>
      </c>
      <c r="H629" s="92" t="s">
        <v>45</v>
      </c>
      <c r="I629" s="96">
        <f t="shared" si="81"/>
        <v>0.3</v>
      </c>
      <c r="J629" s="96">
        <f t="shared" si="82"/>
        <v>0.7</v>
      </c>
      <c r="K629" s="92">
        <f>VLOOKUP(H629,'Taux émission CO2e'!$A$5:$D$16,4,FALSE)</f>
        <v>0.16</v>
      </c>
      <c r="L629" s="93">
        <f t="shared" si="87"/>
        <v>1.8020015999999999</v>
      </c>
      <c r="M629" s="92">
        <f>VLOOKUP(H629,'Taux émission CO2e'!$A$20:$D$31,4,FALSE)</f>
        <v>6.7400000000000002E-2</v>
      </c>
      <c r="N629" s="105">
        <f t="shared" si="88"/>
        <v>1.7712174059999999</v>
      </c>
      <c r="O629" s="93">
        <f t="shared" si="89"/>
        <v>3.5732190059999995</v>
      </c>
      <c r="P629" s="92">
        <v>100</v>
      </c>
      <c r="Q629" s="92" t="s">
        <v>89</v>
      </c>
      <c r="R629" s="92" t="s">
        <v>55</v>
      </c>
      <c r="S629" s="20">
        <v>250.27799999999999</v>
      </c>
    </row>
    <row r="630" spans="1:19" x14ac:dyDescent="0.15">
      <c r="A630" s="90">
        <v>44638</v>
      </c>
      <c r="B630" s="90" t="str">
        <f t="shared" si="83"/>
        <v>mars</v>
      </c>
      <c r="C630" s="90" t="str">
        <f t="shared" si="84"/>
        <v>2022</v>
      </c>
      <c r="D630" s="90" t="str">
        <f t="shared" si="85"/>
        <v>mars2022</v>
      </c>
      <c r="E630" s="91" t="s">
        <v>566</v>
      </c>
      <c r="F630" s="91">
        <v>200</v>
      </c>
      <c r="G630" s="94">
        <f t="shared" si="86"/>
        <v>0.2</v>
      </c>
      <c r="H630" s="92" t="s">
        <v>46</v>
      </c>
      <c r="I630" s="96">
        <f t="shared" si="81"/>
        <v>0.3</v>
      </c>
      <c r="J630" s="96">
        <f t="shared" si="82"/>
        <v>0.7</v>
      </c>
      <c r="K630" s="92">
        <f>VLOOKUP(H630,'Taux émission CO2e'!$A$5:$D$16,4,FALSE)</f>
        <v>0.16</v>
      </c>
      <c r="L630" s="93">
        <f t="shared" si="87"/>
        <v>1.6067520000000002</v>
      </c>
      <c r="M630" s="92">
        <f>VLOOKUP(H630,'Taux émission CO2e'!$A$20:$D$31,4,FALSE)</f>
        <v>6.7400000000000002E-2</v>
      </c>
      <c r="N630" s="105">
        <f t="shared" si="88"/>
        <v>1.57930332</v>
      </c>
      <c r="O630" s="93">
        <f t="shared" si="89"/>
        <v>3.1860553200000004</v>
      </c>
      <c r="P630" s="92">
        <v>108</v>
      </c>
      <c r="Q630" s="92" t="s">
        <v>58</v>
      </c>
      <c r="R630" s="92" t="s">
        <v>112</v>
      </c>
      <c r="S630" s="20">
        <v>167.37</v>
      </c>
    </row>
    <row r="631" spans="1:19" x14ac:dyDescent="0.15">
      <c r="A631" s="90">
        <v>44638</v>
      </c>
      <c r="B631" s="90" t="str">
        <f t="shared" si="83"/>
        <v>mars</v>
      </c>
      <c r="C631" s="90" t="str">
        <f t="shared" si="84"/>
        <v>2022</v>
      </c>
      <c r="D631" s="90" t="str">
        <f t="shared" si="85"/>
        <v>mars2022</v>
      </c>
      <c r="E631" s="91" t="s">
        <v>567</v>
      </c>
      <c r="F631" s="91">
        <v>300</v>
      </c>
      <c r="G631" s="94">
        <f t="shared" si="86"/>
        <v>0.3</v>
      </c>
      <c r="H631" s="92" t="s">
        <v>45</v>
      </c>
      <c r="I631" s="96">
        <f t="shared" si="81"/>
        <v>0.3</v>
      </c>
      <c r="J631" s="96">
        <f t="shared" si="82"/>
        <v>0.7</v>
      </c>
      <c r="K631" s="92">
        <f>VLOOKUP(H631,'Taux émission CO2e'!$A$5:$D$16,4,FALSE)</f>
        <v>0.16</v>
      </c>
      <c r="L631" s="93">
        <f t="shared" si="87"/>
        <v>4.0103568000000003</v>
      </c>
      <c r="M631" s="92">
        <f>VLOOKUP(H631,'Taux émission CO2e'!$A$20:$D$31,4,FALSE)</f>
        <v>6.7400000000000002E-2</v>
      </c>
      <c r="N631" s="105">
        <f t="shared" si="88"/>
        <v>3.9418465380000001</v>
      </c>
      <c r="O631" s="93">
        <f t="shared" si="89"/>
        <v>7.9522033380000003</v>
      </c>
      <c r="P631" s="92">
        <v>131</v>
      </c>
      <c r="Q631" s="92" t="s">
        <v>90</v>
      </c>
      <c r="R631" s="92" t="s">
        <v>55</v>
      </c>
      <c r="S631" s="20">
        <v>278.49700000000001</v>
      </c>
    </row>
    <row r="632" spans="1:19" x14ac:dyDescent="0.15">
      <c r="A632" s="90">
        <v>44638</v>
      </c>
      <c r="B632" s="90" t="str">
        <f t="shared" si="83"/>
        <v>mars</v>
      </c>
      <c r="C632" s="90" t="str">
        <f t="shared" si="84"/>
        <v>2022</v>
      </c>
      <c r="D632" s="90" t="str">
        <f t="shared" si="85"/>
        <v>mars2022</v>
      </c>
      <c r="E632" s="91" t="s">
        <v>568</v>
      </c>
      <c r="F632" s="91">
        <v>100</v>
      </c>
      <c r="G632" s="94">
        <f t="shared" si="86"/>
        <v>0.1</v>
      </c>
      <c r="H632" s="92" t="s">
        <v>46</v>
      </c>
      <c r="I632" s="96">
        <f t="shared" si="81"/>
        <v>0.3</v>
      </c>
      <c r="J632" s="96">
        <f t="shared" si="82"/>
        <v>0.7</v>
      </c>
      <c r="K632" s="92">
        <f>VLOOKUP(H632,'Taux émission CO2e'!$A$5:$D$16,4,FALSE)</f>
        <v>0.16</v>
      </c>
      <c r="L632" s="93">
        <f t="shared" si="87"/>
        <v>2.4758304000000004</v>
      </c>
      <c r="M632" s="92">
        <f>VLOOKUP(H632,'Taux émission CO2e'!$A$20:$D$31,4,FALSE)</f>
        <v>6.7400000000000002E-2</v>
      </c>
      <c r="N632" s="105">
        <f t="shared" si="88"/>
        <v>2.4335349640000001</v>
      </c>
      <c r="O632" s="93">
        <f t="shared" si="89"/>
        <v>4.909365364000001</v>
      </c>
      <c r="P632" s="92">
        <v>140</v>
      </c>
      <c r="Q632" s="92" t="s">
        <v>58</v>
      </c>
      <c r="R632" s="92" t="s">
        <v>57</v>
      </c>
      <c r="S632" s="20">
        <v>515.798</v>
      </c>
    </row>
    <row r="633" spans="1:19" x14ac:dyDescent="0.15">
      <c r="A633" s="90">
        <v>44638</v>
      </c>
      <c r="B633" s="90" t="str">
        <f t="shared" si="83"/>
        <v>mars</v>
      </c>
      <c r="C633" s="90" t="str">
        <f t="shared" si="84"/>
        <v>2022</v>
      </c>
      <c r="D633" s="90" t="str">
        <f t="shared" si="85"/>
        <v>mars2022</v>
      </c>
      <c r="E633" s="91" t="s">
        <v>569</v>
      </c>
      <c r="F633" s="91">
        <v>100</v>
      </c>
      <c r="G633" s="94">
        <f t="shared" si="86"/>
        <v>0.1</v>
      </c>
      <c r="H633" s="92" t="s">
        <v>45</v>
      </c>
      <c r="I633" s="96">
        <f t="shared" si="81"/>
        <v>0.3</v>
      </c>
      <c r="J633" s="96">
        <f t="shared" si="82"/>
        <v>0.7</v>
      </c>
      <c r="K633" s="92">
        <f>VLOOKUP(H633,'Taux émission CO2e'!$A$5:$D$16,4,FALSE)</f>
        <v>0.16</v>
      </c>
      <c r="L633" s="93">
        <f t="shared" si="87"/>
        <v>2.1891216000000004</v>
      </c>
      <c r="M633" s="92">
        <f>VLOOKUP(H633,'Taux émission CO2e'!$A$20:$D$31,4,FALSE)</f>
        <v>6.7400000000000002E-2</v>
      </c>
      <c r="N633" s="105">
        <f t="shared" si="88"/>
        <v>2.1517241060000001</v>
      </c>
      <c r="O633" s="93">
        <f t="shared" si="89"/>
        <v>4.3408457060000005</v>
      </c>
      <c r="P633" s="92">
        <v>145</v>
      </c>
      <c r="Q633" s="92" t="s">
        <v>570</v>
      </c>
      <c r="R633" s="92" t="s">
        <v>55</v>
      </c>
      <c r="S633" s="20">
        <v>456.06700000000001</v>
      </c>
    </row>
    <row r="634" spans="1:19" x14ac:dyDescent="0.15">
      <c r="A634" s="90">
        <v>44638</v>
      </c>
      <c r="B634" s="90" t="str">
        <f t="shared" si="83"/>
        <v>mars</v>
      </c>
      <c r="C634" s="90" t="str">
        <f t="shared" si="84"/>
        <v>2022</v>
      </c>
      <c r="D634" s="90" t="str">
        <f t="shared" si="85"/>
        <v>mars2022</v>
      </c>
      <c r="E634" s="91" t="s">
        <v>571</v>
      </c>
      <c r="F634" s="91">
        <v>150</v>
      </c>
      <c r="G634" s="94">
        <f t="shared" si="86"/>
        <v>0.15</v>
      </c>
      <c r="H634" s="92" t="s">
        <v>45</v>
      </c>
      <c r="I634" s="96">
        <f t="shared" si="81"/>
        <v>0.3</v>
      </c>
      <c r="J634" s="96">
        <f t="shared" si="82"/>
        <v>0.7</v>
      </c>
      <c r="K634" s="92">
        <f>VLOOKUP(H634,'Taux émission CO2e'!$A$5:$D$16,4,FALSE)</f>
        <v>0.16</v>
      </c>
      <c r="L634" s="93">
        <f t="shared" si="87"/>
        <v>1.4951159999999999</v>
      </c>
      <c r="M634" s="92">
        <f>VLOOKUP(H634,'Taux émission CO2e'!$A$20:$D$31,4,FALSE)</f>
        <v>6.7400000000000002E-2</v>
      </c>
      <c r="N634" s="105">
        <f t="shared" si="88"/>
        <v>1.469574435</v>
      </c>
      <c r="O634" s="93">
        <f t="shared" si="89"/>
        <v>2.9646904349999996</v>
      </c>
      <c r="P634" s="92">
        <v>150</v>
      </c>
      <c r="Q634" s="92" t="s">
        <v>113</v>
      </c>
      <c r="R634" s="92" t="s">
        <v>572</v>
      </c>
      <c r="S634" s="20">
        <v>207.655</v>
      </c>
    </row>
    <row r="635" spans="1:19" x14ac:dyDescent="0.15">
      <c r="A635" s="90">
        <v>44638</v>
      </c>
      <c r="B635" s="90" t="str">
        <f t="shared" si="83"/>
        <v>mars</v>
      </c>
      <c r="C635" s="90" t="str">
        <f t="shared" si="84"/>
        <v>2022</v>
      </c>
      <c r="D635" s="90" t="str">
        <f t="shared" si="85"/>
        <v>mars2022</v>
      </c>
      <c r="E635" s="91" t="s">
        <v>573</v>
      </c>
      <c r="F635" s="91">
        <v>100</v>
      </c>
      <c r="G635" s="94">
        <f t="shared" si="86"/>
        <v>0.1</v>
      </c>
      <c r="H635" s="92" t="s">
        <v>46</v>
      </c>
      <c r="I635" s="96">
        <f t="shared" si="81"/>
        <v>0.3</v>
      </c>
      <c r="J635" s="96">
        <f t="shared" si="82"/>
        <v>0.7</v>
      </c>
      <c r="K635" s="92">
        <f>VLOOKUP(H635,'Taux émission CO2e'!$A$5:$D$16,4,FALSE)</f>
        <v>0.16</v>
      </c>
      <c r="L635" s="93">
        <f t="shared" si="87"/>
        <v>3.4946928000000006</v>
      </c>
      <c r="M635" s="92">
        <f>VLOOKUP(H635,'Taux émission CO2e'!$A$20:$D$31,4,FALSE)</f>
        <v>6.7400000000000002E-2</v>
      </c>
      <c r="N635" s="105">
        <f t="shared" si="88"/>
        <v>3.434991798</v>
      </c>
      <c r="O635" s="93">
        <f t="shared" si="89"/>
        <v>6.9296845980000006</v>
      </c>
      <c r="P635" s="92">
        <v>159</v>
      </c>
      <c r="Q635" s="92" t="s">
        <v>58</v>
      </c>
      <c r="R635" s="92" t="s">
        <v>574</v>
      </c>
      <c r="S635" s="20">
        <v>728.06100000000004</v>
      </c>
    </row>
    <row r="636" spans="1:19" x14ac:dyDescent="0.15">
      <c r="A636" s="90">
        <v>44638</v>
      </c>
      <c r="B636" s="90" t="str">
        <f t="shared" si="83"/>
        <v>mars</v>
      </c>
      <c r="C636" s="90" t="str">
        <f t="shared" si="84"/>
        <v>2022</v>
      </c>
      <c r="D636" s="90" t="str">
        <f t="shared" si="85"/>
        <v>mars2022</v>
      </c>
      <c r="E636" s="91" t="s">
        <v>575</v>
      </c>
      <c r="F636" s="91">
        <v>300</v>
      </c>
      <c r="G636" s="94">
        <f t="shared" si="86"/>
        <v>0.3</v>
      </c>
      <c r="H636" s="92" t="s">
        <v>46</v>
      </c>
      <c r="I636" s="96">
        <f t="shared" si="81"/>
        <v>0.3</v>
      </c>
      <c r="J636" s="96">
        <f t="shared" si="82"/>
        <v>0.7</v>
      </c>
      <c r="K636" s="92">
        <f>VLOOKUP(H636,'Taux émission CO2e'!$A$5:$D$16,4,FALSE)</f>
        <v>0.16</v>
      </c>
      <c r="L636" s="93">
        <f t="shared" si="87"/>
        <v>3.7158191999999999</v>
      </c>
      <c r="M636" s="92">
        <f>VLOOKUP(H636,'Taux émission CO2e'!$A$20:$D$31,4,FALSE)</f>
        <v>6.7400000000000002E-2</v>
      </c>
      <c r="N636" s="105">
        <f t="shared" si="88"/>
        <v>3.6523406220000001</v>
      </c>
      <c r="O636" s="93">
        <f t="shared" si="89"/>
        <v>7.368159822</v>
      </c>
      <c r="P636" s="92">
        <v>178</v>
      </c>
      <c r="Q636" s="92" t="s">
        <v>102</v>
      </c>
      <c r="R636" s="92" t="s">
        <v>55</v>
      </c>
      <c r="S636" s="20">
        <v>258.04300000000001</v>
      </c>
    </row>
    <row r="637" spans="1:19" x14ac:dyDescent="0.15">
      <c r="A637" s="90">
        <v>44638</v>
      </c>
      <c r="B637" s="90" t="str">
        <f t="shared" si="83"/>
        <v>mars</v>
      </c>
      <c r="C637" s="90" t="str">
        <f t="shared" si="84"/>
        <v>2022</v>
      </c>
      <c r="D637" s="90" t="str">
        <f t="shared" si="85"/>
        <v>mars2022</v>
      </c>
      <c r="E637" s="91" t="s">
        <v>576</v>
      </c>
      <c r="F637" s="91">
        <v>300</v>
      </c>
      <c r="G637" s="94">
        <f t="shared" si="86"/>
        <v>0.3</v>
      </c>
      <c r="H637" s="92" t="s">
        <v>45</v>
      </c>
      <c r="I637" s="96">
        <f t="shared" si="81"/>
        <v>0.3</v>
      </c>
      <c r="J637" s="96">
        <f t="shared" si="82"/>
        <v>0.7</v>
      </c>
      <c r="K637" s="92">
        <f>VLOOKUP(H637,'Taux émission CO2e'!$A$5:$D$16,4,FALSE)</f>
        <v>0.16</v>
      </c>
      <c r="L637" s="93">
        <f t="shared" si="87"/>
        <v>3.8354832000000001</v>
      </c>
      <c r="M637" s="92">
        <f>VLOOKUP(H637,'Taux émission CO2e'!$A$20:$D$31,4,FALSE)</f>
        <v>6.7400000000000002E-2</v>
      </c>
      <c r="N637" s="105">
        <f t="shared" si="88"/>
        <v>3.769960362</v>
      </c>
      <c r="O637" s="93">
        <f t="shared" si="89"/>
        <v>7.6054435619999996</v>
      </c>
      <c r="P637" s="92">
        <v>252</v>
      </c>
      <c r="Q637" s="92" t="s">
        <v>77</v>
      </c>
      <c r="R637" s="92" t="s">
        <v>55</v>
      </c>
      <c r="S637" s="20">
        <v>266.35300000000001</v>
      </c>
    </row>
    <row r="638" spans="1:19" x14ac:dyDescent="0.15">
      <c r="A638" s="90">
        <v>44638</v>
      </c>
      <c r="B638" s="90" t="str">
        <f t="shared" si="83"/>
        <v>mars</v>
      </c>
      <c r="C638" s="90" t="str">
        <f t="shared" si="84"/>
        <v>2022</v>
      </c>
      <c r="D638" s="90" t="str">
        <f t="shared" si="85"/>
        <v>mars2022</v>
      </c>
      <c r="E638" s="91" t="s">
        <v>577</v>
      </c>
      <c r="F638" s="91">
        <v>450</v>
      </c>
      <c r="G638" s="94">
        <f t="shared" si="86"/>
        <v>0.45</v>
      </c>
      <c r="H638" s="92" t="s">
        <v>46</v>
      </c>
      <c r="I638" s="96">
        <f t="shared" si="81"/>
        <v>0.3</v>
      </c>
      <c r="J638" s="96">
        <f t="shared" si="82"/>
        <v>0.7</v>
      </c>
      <c r="K638" s="92">
        <f>VLOOKUP(H638,'Taux émission CO2e'!$A$5:$D$16,4,FALSE)</f>
        <v>0.16</v>
      </c>
      <c r="L638" s="93">
        <f t="shared" si="87"/>
        <v>16.551453599999999</v>
      </c>
      <c r="M638" s="92">
        <f>VLOOKUP(H638,'Taux émission CO2e'!$A$20:$D$31,4,FALSE)</f>
        <v>6.7400000000000002E-2</v>
      </c>
      <c r="N638" s="105">
        <f t="shared" si="88"/>
        <v>16.268699600999998</v>
      </c>
      <c r="O638" s="93">
        <f t="shared" si="89"/>
        <v>32.820153200999997</v>
      </c>
      <c r="P638" s="92">
        <v>720</v>
      </c>
      <c r="Q638" s="92" t="s">
        <v>58</v>
      </c>
      <c r="R638" s="92" t="s">
        <v>578</v>
      </c>
      <c r="S638" s="20">
        <v>766.27099999999996</v>
      </c>
    </row>
    <row r="639" spans="1:19" x14ac:dyDescent="0.15">
      <c r="A639" s="90">
        <v>44641</v>
      </c>
      <c r="B639" s="90" t="str">
        <f t="shared" si="83"/>
        <v>mars</v>
      </c>
      <c r="C639" s="90" t="str">
        <f t="shared" si="84"/>
        <v>2022</v>
      </c>
      <c r="D639" s="90" t="str">
        <f t="shared" si="85"/>
        <v>mars2022</v>
      </c>
      <c r="E639" s="91" t="s">
        <v>579</v>
      </c>
      <c r="F639" s="91">
        <v>300</v>
      </c>
      <c r="G639" s="94">
        <f t="shared" si="86"/>
        <v>0.3</v>
      </c>
      <c r="H639" s="92" t="s">
        <v>45</v>
      </c>
      <c r="I639" s="96">
        <f t="shared" si="81"/>
        <v>0.3</v>
      </c>
      <c r="J639" s="96">
        <f t="shared" si="82"/>
        <v>0.7</v>
      </c>
      <c r="K639" s="92">
        <f>VLOOKUP(H639,'Taux émission CO2e'!$A$5:$D$16,4,FALSE)</f>
        <v>0.16</v>
      </c>
      <c r="L639" s="93">
        <f t="shared" si="87"/>
        <v>0.65044800000000003</v>
      </c>
      <c r="M639" s="92">
        <f>VLOOKUP(H639,'Taux émission CO2e'!$A$20:$D$31,4,FALSE)</f>
        <v>6.7400000000000002E-2</v>
      </c>
      <c r="N639" s="105">
        <f t="shared" si="88"/>
        <v>0.63933618000000003</v>
      </c>
      <c r="O639" s="93">
        <f t="shared" si="89"/>
        <v>1.2897841800000001</v>
      </c>
      <c r="P639" s="92">
        <v>60</v>
      </c>
      <c r="Q639" s="92" t="s">
        <v>58</v>
      </c>
      <c r="R639" s="92" t="s">
        <v>580</v>
      </c>
      <c r="S639" s="20">
        <v>45.17</v>
      </c>
    </row>
    <row r="640" spans="1:19" x14ac:dyDescent="0.15">
      <c r="A640" s="90">
        <v>44641</v>
      </c>
      <c r="B640" s="90" t="str">
        <f t="shared" si="83"/>
        <v>mars</v>
      </c>
      <c r="C640" s="90" t="str">
        <f t="shared" si="84"/>
        <v>2022</v>
      </c>
      <c r="D640" s="90" t="str">
        <f t="shared" si="85"/>
        <v>mars2022</v>
      </c>
      <c r="E640" s="91" t="s">
        <v>581</v>
      </c>
      <c r="F640" s="91">
        <v>150</v>
      </c>
      <c r="G640" s="94">
        <f t="shared" si="86"/>
        <v>0.15</v>
      </c>
      <c r="H640" s="92" t="s">
        <v>38</v>
      </c>
      <c r="I640" s="96">
        <f t="shared" si="81"/>
        <v>1</v>
      </c>
      <c r="J640" s="96">
        <f t="shared" si="82"/>
        <v>0</v>
      </c>
      <c r="K640" s="92">
        <f>VLOOKUP(H640,'Taux émission CO2e'!$A$5:$D$16,4,FALSE)</f>
        <v>0.24099999999999999</v>
      </c>
      <c r="L640" s="93">
        <f t="shared" si="87"/>
        <v>35.464089899999991</v>
      </c>
      <c r="M640" s="92">
        <f>VLOOKUP(H640,'Taux émission CO2e'!$A$20:$D$31,4,FALSE)</f>
        <v>0</v>
      </c>
      <c r="N640" s="105">
        <f t="shared" si="88"/>
        <v>0</v>
      </c>
      <c r="O640" s="93">
        <f t="shared" si="89"/>
        <v>35.464089899999991</v>
      </c>
      <c r="P640" s="92">
        <v>90</v>
      </c>
      <c r="Q640" s="92" t="s">
        <v>109</v>
      </c>
      <c r="R640" s="92" t="s">
        <v>578</v>
      </c>
      <c r="S640" s="20">
        <v>981.02599999999995</v>
      </c>
    </row>
    <row r="641" spans="1:19" x14ac:dyDescent="0.15">
      <c r="A641" s="90">
        <v>44641</v>
      </c>
      <c r="B641" s="90" t="str">
        <f t="shared" si="83"/>
        <v>mars</v>
      </c>
      <c r="C641" s="90" t="str">
        <f t="shared" si="84"/>
        <v>2022</v>
      </c>
      <c r="D641" s="90" t="str">
        <f t="shared" si="85"/>
        <v>mars2022</v>
      </c>
      <c r="E641" s="91" t="s">
        <v>582</v>
      </c>
      <c r="F641" s="91">
        <v>208</v>
      </c>
      <c r="G641" s="94">
        <f t="shared" si="86"/>
        <v>0.20799999999999999</v>
      </c>
      <c r="H641" s="92" t="s">
        <v>46</v>
      </c>
      <c r="I641" s="96">
        <f t="shared" si="81"/>
        <v>0.3</v>
      </c>
      <c r="J641" s="96">
        <f t="shared" si="82"/>
        <v>0.7</v>
      </c>
      <c r="K641" s="92">
        <f>VLOOKUP(H641,'Taux émission CO2e'!$A$5:$D$16,4,FALSE)</f>
        <v>0.16</v>
      </c>
      <c r="L641" s="93">
        <f t="shared" si="87"/>
        <v>2.4839892479999999</v>
      </c>
      <c r="M641" s="92">
        <f>VLOOKUP(H641,'Taux émission CO2e'!$A$20:$D$31,4,FALSE)</f>
        <v>6.7400000000000002E-2</v>
      </c>
      <c r="N641" s="105">
        <f t="shared" si="88"/>
        <v>2.4415544316799997</v>
      </c>
      <c r="O641" s="93">
        <f t="shared" si="89"/>
        <v>4.9255436796799996</v>
      </c>
      <c r="P641" s="92">
        <v>100</v>
      </c>
      <c r="Q641" s="92" t="s">
        <v>58</v>
      </c>
      <c r="R641" s="92" t="s">
        <v>82</v>
      </c>
      <c r="S641" s="20">
        <v>248.797</v>
      </c>
    </row>
    <row r="642" spans="1:19" x14ac:dyDescent="0.15">
      <c r="A642" s="90">
        <v>44641</v>
      </c>
      <c r="B642" s="90" t="str">
        <f t="shared" si="83"/>
        <v>mars</v>
      </c>
      <c r="C642" s="90" t="str">
        <f t="shared" si="84"/>
        <v>2022</v>
      </c>
      <c r="D642" s="90" t="str">
        <f t="shared" si="85"/>
        <v>mars2022</v>
      </c>
      <c r="E642" s="91" t="s">
        <v>583</v>
      </c>
      <c r="F642" s="91">
        <v>120</v>
      </c>
      <c r="G642" s="94">
        <f t="shared" si="86"/>
        <v>0.12</v>
      </c>
      <c r="H642" s="92" t="s">
        <v>46</v>
      </c>
      <c r="I642" s="96">
        <f t="shared" ref="I642:I705" si="90">VLOOKUP(H642,Segment1,2,FALSE)</f>
        <v>0.3</v>
      </c>
      <c r="J642" s="96">
        <f t="shared" ref="J642:J705" si="91">VLOOKUP(H642,Segment2,2,FALSE)</f>
        <v>0.7</v>
      </c>
      <c r="K642" s="92">
        <f>VLOOKUP(H642,'Taux émission CO2e'!$A$5:$D$16,4,FALSE)</f>
        <v>0.16</v>
      </c>
      <c r="L642" s="93">
        <f t="shared" si="87"/>
        <v>0.9679564799999999</v>
      </c>
      <c r="M642" s="92">
        <f>VLOOKUP(H642,'Taux émission CO2e'!$A$20:$D$31,4,FALSE)</f>
        <v>6.7400000000000002E-2</v>
      </c>
      <c r="N642" s="105">
        <f t="shared" si="88"/>
        <v>0.95142055680000004</v>
      </c>
      <c r="O642" s="93">
        <f t="shared" si="89"/>
        <v>1.9193770367999998</v>
      </c>
      <c r="P642" s="92">
        <v>130</v>
      </c>
      <c r="Q642" s="92" t="s">
        <v>58</v>
      </c>
      <c r="R642" s="92" t="s">
        <v>99</v>
      </c>
      <c r="S642" s="20">
        <v>168.048</v>
      </c>
    </row>
    <row r="643" spans="1:19" x14ac:dyDescent="0.15">
      <c r="A643" s="90">
        <v>44641</v>
      </c>
      <c r="B643" s="90" t="str">
        <f t="shared" ref="B643:B706" si="92">TEXT(A643,"mmmm")</f>
        <v>mars</v>
      </c>
      <c r="C643" s="90" t="str">
        <f t="shared" ref="C643:C706" si="93">TEXT(A643,"aaaa")</f>
        <v>2022</v>
      </c>
      <c r="D643" s="90" t="str">
        <f t="shared" ref="D643:D706" si="94">B643&amp;C643</f>
        <v>mars2022</v>
      </c>
      <c r="E643" s="91" t="s">
        <v>584</v>
      </c>
      <c r="F643" s="91">
        <v>150</v>
      </c>
      <c r="G643" s="94">
        <f t="shared" ref="G643:G706" si="95">F643/1000</f>
        <v>0.15</v>
      </c>
      <c r="H643" s="92" t="s">
        <v>46</v>
      </c>
      <c r="I643" s="96">
        <f t="shared" si="90"/>
        <v>0.3</v>
      </c>
      <c r="J643" s="96">
        <f t="shared" si="91"/>
        <v>0.7</v>
      </c>
      <c r="K643" s="92">
        <f>VLOOKUP(H643,'Taux émission CO2e'!$A$5:$D$16,4,FALSE)</f>
        <v>0.16</v>
      </c>
      <c r="L643" s="93">
        <f t="shared" ref="L643:L706" si="96">IFERROR(I643*K643*G643*S643,"0")</f>
        <v>2.7402191999999999</v>
      </c>
      <c r="M643" s="92">
        <f>VLOOKUP(H643,'Taux émission CO2e'!$A$20:$D$31,4,FALSE)</f>
        <v>6.7400000000000002E-2</v>
      </c>
      <c r="N643" s="105">
        <f t="shared" ref="N643:N706" si="97">IFERROR(J643*M643*G643*S643,"0")</f>
        <v>2.693407122</v>
      </c>
      <c r="O643" s="93">
        <f t="shared" ref="O643:O706" si="98">L643+N643</f>
        <v>5.4336263220000003</v>
      </c>
      <c r="P643" s="92">
        <v>166</v>
      </c>
      <c r="Q643" s="92" t="s">
        <v>91</v>
      </c>
      <c r="R643" s="92" t="s">
        <v>55</v>
      </c>
      <c r="S643" s="20">
        <v>380.58600000000001</v>
      </c>
    </row>
    <row r="644" spans="1:19" x14ac:dyDescent="0.15">
      <c r="A644" s="90">
        <v>44641</v>
      </c>
      <c r="B644" s="90" t="str">
        <f t="shared" si="92"/>
        <v>mars</v>
      </c>
      <c r="C644" s="90" t="str">
        <f t="shared" si="93"/>
        <v>2022</v>
      </c>
      <c r="D644" s="90" t="str">
        <f t="shared" si="94"/>
        <v>mars2022</v>
      </c>
      <c r="E644" s="91" t="s">
        <v>585</v>
      </c>
      <c r="F644" s="91">
        <v>300</v>
      </c>
      <c r="G644" s="94">
        <f t="shared" si="95"/>
        <v>0.3</v>
      </c>
      <c r="H644" s="92" t="s">
        <v>46</v>
      </c>
      <c r="I644" s="96">
        <f t="shared" si="90"/>
        <v>0.3</v>
      </c>
      <c r="J644" s="96">
        <f t="shared" si="91"/>
        <v>0.7</v>
      </c>
      <c r="K644" s="92">
        <f>VLOOKUP(H644,'Taux émission CO2e'!$A$5:$D$16,4,FALSE)</f>
        <v>0.16</v>
      </c>
      <c r="L644" s="93">
        <f t="shared" si="96"/>
        <v>10.657411199999999</v>
      </c>
      <c r="M644" s="92">
        <f>VLOOKUP(H644,'Taux émission CO2e'!$A$20:$D$31,4,FALSE)</f>
        <v>6.7400000000000002E-2</v>
      </c>
      <c r="N644" s="105">
        <f t="shared" si="97"/>
        <v>10.475347092</v>
      </c>
      <c r="O644" s="93">
        <f t="shared" si="98"/>
        <v>21.132758291999998</v>
      </c>
      <c r="P644" s="92">
        <v>220</v>
      </c>
      <c r="Q644" s="92" t="s">
        <v>473</v>
      </c>
      <c r="R644" s="92" t="s">
        <v>55</v>
      </c>
      <c r="S644" s="20">
        <v>740.09799999999996</v>
      </c>
    </row>
    <row r="645" spans="1:19" x14ac:dyDescent="0.15">
      <c r="A645" s="90">
        <v>44641</v>
      </c>
      <c r="B645" s="90" t="str">
        <f t="shared" si="92"/>
        <v>mars</v>
      </c>
      <c r="C645" s="90" t="str">
        <f t="shared" si="93"/>
        <v>2022</v>
      </c>
      <c r="D645" s="90" t="str">
        <f t="shared" si="94"/>
        <v>mars2022</v>
      </c>
      <c r="E645" s="91" t="s">
        <v>586</v>
      </c>
      <c r="F645" s="92">
        <v>2000</v>
      </c>
      <c r="G645" s="94">
        <f t="shared" si="95"/>
        <v>2</v>
      </c>
      <c r="H645" s="92" t="s">
        <v>41</v>
      </c>
      <c r="I645" s="96">
        <f t="shared" si="90"/>
        <v>1</v>
      </c>
      <c r="J645" s="96">
        <f t="shared" si="91"/>
        <v>0</v>
      </c>
      <c r="K645" s="92">
        <f>VLOOKUP(H645,'Taux émission CO2e'!$A$5:$D$16,4,FALSE)</f>
        <v>0.16</v>
      </c>
      <c r="L645" s="93">
        <f t="shared" si="96"/>
        <v>17.523520000000001</v>
      </c>
      <c r="M645" s="92">
        <f>VLOOKUP(H645,'Taux émission CO2e'!$A$20:$D$31,4,FALSE)</f>
        <v>0</v>
      </c>
      <c r="N645" s="105">
        <f t="shared" si="97"/>
        <v>0</v>
      </c>
      <c r="O645" s="93">
        <f t="shared" si="98"/>
        <v>17.523520000000001</v>
      </c>
      <c r="P645" s="92">
        <v>250</v>
      </c>
      <c r="Q645" s="92" t="s">
        <v>56</v>
      </c>
      <c r="R645" s="92" t="s">
        <v>55</v>
      </c>
      <c r="S645" s="20">
        <v>54.761000000000003</v>
      </c>
    </row>
    <row r="646" spans="1:19" x14ac:dyDescent="0.15">
      <c r="A646" s="90">
        <v>44641</v>
      </c>
      <c r="B646" s="90" t="str">
        <f t="shared" si="92"/>
        <v>mars</v>
      </c>
      <c r="C646" s="90" t="str">
        <f t="shared" si="93"/>
        <v>2022</v>
      </c>
      <c r="D646" s="90" t="str">
        <f t="shared" si="94"/>
        <v>mars2022</v>
      </c>
      <c r="E646" s="91" t="s">
        <v>587</v>
      </c>
      <c r="F646" s="92">
        <v>1000</v>
      </c>
      <c r="G646" s="94">
        <f t="shared" si="95"/>
        <v>1</v>
      </c>
      <c r="H646" s="92" t="s">
        <v>45</v>
      </c>
      <c r="I646" s="96">
        <f t="shared" si="90"/>
        <v>0.3</v>
      </c>
      <c r="J646" s="96">
        <f t="shared" si="91"/>
        <v>0.7</v>
      </c>
      <c r="K646" s="92">
        <f>VLOOKUP(H646,'Taux émission CO2e'!$A$5:$D$16,4,FALSE)</f>
        <v>0.16</v>
      </c>
      <c r="L646" s="93">
        <f t="shared" si="96"/>
        <v>24.790752000000001</v>
      </c>
      <c r="M646" s="92">
        <f>VLOOKUP(H646,'Taux émission CO2e'!$A$20:$D$31,4,FALSE)</f>
        <v>6.7400000000000002E-2</v>
      </c>
      <c r="N646" s="105">
        <f t="shared" si="97"/>
        <v>24.367243320000004</v>
      </c>
      <c r="O646" s="93">
        <f t="shared" si="98"/>
        <v>49.157995320000005</v>
      </c>
      <c r="P646" s="92">
        <v>350</v>
      </c>
      <c r="Q646" s="92" t="s">
        <v>52</v>
      </c>
      <c r="R646" s="92" t="s">
        <v>55</v>
      </c>
      <c r="S646" s="20">
        <v>516.47400000000005</v>
      </c>
    </row>
    <row r="647" spans="1:19" x14ac:dyDescent="0.15">
      <c r="A647" s="90">
        <v>44642</v>
      </c>
      <c r="B647" s="90" t="str">
        <f t="shared" si="92"/>
        <v>mars</v>
      </c>
      <c r="C647" s="90" t="str">
        <f t="shared" si="93"/>
        <v>2022</v>
      </c>
      <c r="D647" s="90" t="str">
        <f t="shared" si="94"/>
        <v>mars2022</v>
      </c>
      <c r="E647" s="91" t="s">
        <v>588</v>
      </c>
      <c r="F647" s="91">
        <v>150</v>
      </c>
      <c r="G647" s="94">
        <f t="shared" si="95"/>
        <v>0.15</v>
      </c>
      <c r="H647" s="92" t="s">
        <v>45</v>
      </c>
      <c r="I647" s="96">
        <f t="shared" si="90"/>
        <v>0.3</v>
      </c>
      <c r="J647" s="96">
        <f t="shared" si="91"/>
        <v>0.7</v>
      </c>
      <c r="K647" s="92">
        <f>VLOOKUP(H647,'Taux émission CO2e'!$A$5:$D$16,4,FALSE)</f>
        <v>0.16</v>
      </c>
      <c r="L647" s="93">
        <f t="shared" si="96"/>
        <v>0.38862720000000001</v>
      </c>
      <c r="M647" s="92">
        <f>VLOOKUP(H647,'Taux émission CO2e'!$A$20:$D$31,4,FALSE)</f>
        <v>6.7400000000000002E-2</v>
      </c>
      <c r="N647" s="105">
        <f t="shared" si="97"/>
        <v>0.38198815199999997</v>
      </c>
      <c r="O647" s="93">
        <f t="shared" si="98"/>
        <v>0.77061535199999998</v>
      </c>
      <c r="P647" s="92">
        <v>98</v>
      </c>
      <c r="Q647" s="92" t="s">
        <v>58</v>
      </c>
      <c r="R647" s="92" t="s">
        <v>63</v>
      </c>
      <c r="S647" s="20">
        <v>53.975999999999999</v>
      </c>
    </row>
    <row r="648" spans="1:19" x14ac:dyDescent="0.15">
      <c r="A648" s="90">
        <v>44642</v>
      </c>
      <c r="B648" s="90" t="str">
        <f t="shared" si="92"/>
        <v>mars</v>
      </c>
      <c r="C648" s="90" t="str">
        <f t="shared" si="93"/>
        <v>2022</v>
      </c>
      <c r="D648" s="90" t="str">
        <f t="shared" si="94"/>
        <v>mars2022</v>
      </c>
      <c r="E648" s="91" t="s">
        <v>589</v>
      </c>
      <c r="F648" s="91">
        <v>150</v>
      </c>
      <c r="G648" s="94">
        <f t="shared" si="95"/>
        <v>0.15</v>
      </c>
      <c r="H648" s="92" t="s">
        <v>45</v>
      </c>
      <c r="I648" s="96">
        <f t="shared" si="90"/>
        <v>0.3</v>
      </c>
      <c r="J648" s="96">
        <f t="shared" si="91"/>
        <v>0.7</v>
      </c>
      <c r="K648" s="92">
        <f>VLOOKUP(H648,'Taux émission CO2e'!$A$5:$D$16,4,FALSE)</f>
        <v>0.16</v>
      </c>
      <c r="L648" s="93">
        <f t="shared" si="96"/>
        <v>1.9284912000000001</v>
      </c>
      <c r="M648" s="92">
        <f>VLOOKUP(H648,'Taux émission CO2e'!$A$20:$D$31,4,FALSE)</f>
        <v>6.7400000000000002E-2</v>
      </c>
      <c r="N648" s="105">
        <f t="shared" si="97"/>
        <v>1.8955461419999999</v>
      </c>
      <c r="O648" s="93">
        <f t="shared" si="98"/>
        <v>3.824037342</v>
      </c>
      <c r="P648" s="92">
        <v>190</v>
      </c>
      <c r="Q648" s="92" t="s">
        <v>590</v>
      </c>
      <c r="R648" s="92" t="s">
        <v>55</v>
      </c>
      <c r="S648" s="20">
        <v>267.846</v>
      </c>
    </row>
    <row r="649" spans="1:19" x14ac:dyDescent="0.15">
      <c r="A649" s="90">
        <v>44642</v>
      </c>
      <c r="B649" s="90" t="str">
        <f t="shared" si="92"/>
        <v>mars</v>
      </c>
      <c r="C649" s="90" t="str">
        <f t="shared" si="93"/>
        <v>2022</v>
      </c>
      <c r="D649" s="90" t="str">
        <f t="shared" si="94"/>
        <v>mars2022</v>
      </c>
      <c r="E649" s="91" t="s">
        <v>591</v>
      </c>
      <c r="F649" s="91">
        <v>400</v>
      </c>
      <c r="G649" s="94">
        <f t="shared" si="95"/>
        <v>0.4</v>
      </c>
      <c r="H649" s="92" t="s">
        <v>46</v>
      </c>
      <c r="I649" s="96">
        <f t="shared" si="90"/>
        <v>0.3</v>
      </c>
      <c r="J649" s="96">
        <f t="shared" si="91"/>
        <v>0.7</v>
      </c>
      <c r="K649" s="92">
        <f>VLOOKUP(H649,'Taux émission CO2e'!$A$5:$D$16,4,FALSE)</f>
        <v>0.16</v>
      </c>
      <c r="L649" s="93">
        <f t="shared" si="96"/>
        <v>4.7769024</v>
      </c>
      <c r="M649" s="92">
        <f>VLOOKUP(H649,'Taux émission CO2e'!$A$20:$D$31,4,FALSE)</f>
        <v>6.7400000000000002E-2</v>
      </c>
      <c r="N649" s="105">
        <f t="shared" si="97"/>
        <v>4.6952969839999996</v>
      </c>
      <c r="O649" s="93">
        <f t="shared" si="98"/>
        <v>9.4721993839999996</v>
      </c>
      <c r="P649" s="92">
        <v>234</v>
      </c>
      <c r="Q649" s="92" t="s">
        <v>58</v>
      </c>
      <c r="R649" s="92" t="s">
        <v>82</v>
      </c>
      <c r="S649" s="20">
        <v>248.797</v>
      </c>
    </row>
    <row r="650" spans="1:19" x14ac:dyDescent="0.15">
      <c r="A650" s="90">
        <v>44643</v>
      </c>
      <c r="B650" s="90" t="str">
        <f t="shared" si="92"/>
        <v>mars</v>
      </c>
      <c r="C650" s="90" t="str">
        <f t="shared" si="93"/>
        <v>2022</v>
      </c>
      <c r="D650" s="90" t="str">
        <f t="shared" si="94"/>
        <v>mars2022</v>
      </c>
      <c r="E650" s="91" t="s">
        <v>592</v>
      </c>
      <c r="F650" s="91">
        <v>150</v>
      </c>
      <c r="G650" s="94">
        <f t="shared" si="95"/>
        <v>0.15</v>
      </c>
      <c r="H650" s="92" t="s">
        <v>38</v>
      </c>
      <c r="I650" s="96">
        <f t="shared" si="90"/>
        <v>1</v>
      </c>
      <c r="J650" s="96">
        <f t="shared" si="91"/>
        <v>0</v>
      </c>
      <c r="K650" s="92">
        <f>VLOOKUP(H650,'Taux émission CO2e'!$A$5:$D$16,4,FALSE)</f>
        <v>0.24099999999999999</v>
      </c>
      <c r="L650" s="93">
        <f t="shared" si="96"/>
        <v>1.2287746499999999</v>
      </c>
      <c r="M650" s="92">
        <f>VLOOKUP(H650,'Taux émission CO2e'!$A$20:$D$31,4,FALSE)</f>
        <v>0</v>
      </c>
      <c r="N650" s="105">
        <f t="shared" si="97"/>
        <v>0</v>
      </c>
      <c r="O650" s="93">
        <f t="shared" si="98"/>
        <v>1.2287746499999999</v>
      </c>
      <c r="P650" s="92">
        <v>80</v>
      </c>
      <c r="Q650" s="92" t="s">
        <v>67</v>
      </c>
      <c r="R650" s="92" t="s">
        <v>55</v>
      </c>
      <c r="S650" s="20">
        <v>33.991</v>
      </c>
    </row>
    <row r="651" spans="1:19" x14ac:dyDescent="0.15">
      <c r="A651" s="90">
        <v>44643</v>
      </c>
      <c r="B651" s="90" t="str">
        <f t="shared" si="92"/>
        <v>mars</v>
      </c>
      <c r="C651" s="90" t="str">
        <f t="shared" si="93"/>
        <v>2022</v>
      </c>
      <c r="D651" s="90" t="str">
        <f t="shared" si="94"/>
        <v>mars2022</v>
      </c>
      <c r="E651" s="91" t="s">
        <v>593</v>
      </c>
      <c r="F651" s="91">
        <v>128</v>
      </c>
      <c r="G651" s="94">
        <f t="shared" si="95"/>
        <v>0.128</v>
      </c>
      <c r="H651" s="92" t="s">
        <v>45</v>
      </c>
      <c r="I651" s="96">
        <f t="shared" si="90"/>
        <v>0.3</v>
      </c>
      <c r="J651" s="96">
        <f t="shared" si="91"/>
        <v>0.7</v>
      </c>
      <c r="K651" s="92">
        <f>VLOOKUP(H651,'Taux émission CO2e'!$A$5:$D$16,4,FALSE)</f>
        <v>0.16</v>
      </c>
      <c r="L651" s="93">
        <f t="shared" si="96"/>
        <v>0.28647628800000002</v>
      </c>
      <c r="M651" s="92">
        <f>VLOOKUP(H651,'Taux émission CO2e'!$A$20:$D$31,4,FALSE)</f>
        <v>6.7400000000000002E-2</v>
      </c>
      <c r="N651" s="105">
        <f t="shared" si="97"/>
        <v>0.28158231808</v>
      </c>
      <c r="O651" s="93">
        <f t="shared" si="98"/>
        <v>0.56805860608000003</v>
      </c>
      <c r="P651" s="92">
        <v>80</v>
      </c>
      <c r="Q651" s="92" t="s">
        <v>58</v>
      </c>
      <c r="R651" s="92" t="s">
        <v>421</v>
      </c>
      <c r="S651" s="20">
        <v>46.627000000000002</v>
      </c>
    </row>
    <row r="652" spans="1:19" x14ac:dyDescent="0.15">
      <c r="A652" s="90">
        <v>44643</v>
      </c>
      <c r="B652" s="90" t="str">
        <f t="shared" si="92"/>
        <v>mars</v>
      </c>
      <c r="C652" s="90" t="str">
        <f t="shared" si="93"/>
        <v>2022</v>
      </c>
      <c r="D652" s="90" t="str">
        <f t="shared" si="94"/>
        <v>mars2022</v>
      </c>
      <c r="E652" s="91" t="s">
        <v>594</v>
      </c>
      <c r="F652" s="91">
        <v>150</v>
      </c>
      <c r="G652" s="94">
        <f t="shared" si="95"/>
        <v>0.15</v>
      </c>
      <c r="H652" s="92" t="s">
        <v>45</v>
      </c>
      <c r="I652" s="96">
        <f t="shared" si="90"/>
        <v>0.3</v>
      </c>
      <c r="J652" s="96">
        <f t="shared" si="91"/>
        <v>0.7</v>
      </c>
      <c r="K652" s="92">
        <f>VLOOKUP(H652,'Taux émission CO2e'!$A$5:$D$16,4,FALSE)</f>
        <v>0.16</v>
      </c>
      <c r="L652" s="93">
        <f t="shared" si="96"/>
        <v>1.6228008</v>
      </c>
      <c r="M652" s="92">
        <f>VLOOKUP(H652,'Taux émission CO2e'!$A$20:$D$31,4,FALSE)</f>
        <v>6.7400000000000002E-2</v>
      </c>
      <c r="N652" s="105">
        <f t="shared" si="97"/>
        <v>1.5950779530000001</v>
      </c>
      <c r="O652" s="93">
        <f t="shared" si="98"/>
        <v>3.2178787529999999</v>
      </c>
      <c r="P652" s="92">
        <v>158</v>
      </c>
      <c r="Q652" s="92" t="s">
        <v>153</v>
      </c>
      <c r="R652" s="92" t="s">
        <v>572</v>
      </c>
      <c r="S652" s="20">
        <v>225.38900000000001</v>
      </c>
    </row>
    <row r="653" spans="1:19" x14ac:dyDescent="0.15">
      <c r="A653" s="90">
        <v>44643</v>
      </c>
      <c r="B653" s="90" t="str">
        <f t="shared" si="92"/>
        <v>mars</v>
      </c>
      <c r="C653" s="90" t="str">
        <f t="shared" si="93"/>
        <v>2022</v>
      </c>
      <c r="D653" s="90" t="str">
        <f t="shared" si="94"/>
        <v>mars2022</v>
      </c>
      <c r="E653" s="91" t="s">
        <v>595</v>
      </c>
      <c r="F653" s="91">
        <v>300</v>
      </c>
      <c r="G653" s="94">
        <f t="shared" si="95"/>
        <v>0.3</v>
      </c>
      <c r="H653" s="92" t="s">
        <v>45</v>
      </c>
      <c r="I653" s="96">
        <f t="shared" si="90"/>
        <v>0.3</v>
      </c>
      <c r="J653" s="96">
        <f t="shared" si="91"/>
        <v>0.7</v>
      </c>
      <c r="K653" s="92">
        <f>VLOOKUP(H653,'Taux émission CO2e'!$A$5:$D$16,4,FALSE)</f>
        <v>0.16</v>
      </c>
      <c r="L653" s="93">
        <f t="shared" si="96"/>
        <v>2.9902319999999998</v>
      </c>
      <c r="M653" s="92">
        <f>VLOOKUP(H653,'Taux émission CO2e'!$A$20:$D$31,4,FALSE)</f>
        <v>6.7400000000000002E-2</v>
      </c>
      <c r="N653" s="105">
        <f t="shared" si="97"/>
        <v>2.9391488699999999</v>
      </c>
      <c r="O653" s="93">
        <f t="shared" si="98"/>
        <v>5.9293808699999992</v>
      </c>
      <c r="P653" s="92">
        <v>230</v>
      </c>
      <c r="Q653" s="92" t="s">
        <v>113</v>
      </c>
      <c r="R653" s="92" t="s">
        <v>572</v>
      </c>
      <c r="S653" s="20">
        <v>207.655</v>
      </c>
    </row>
    <row r="654" spans="1:19" x14ac:dyDescent="0.15">
      <c r="A654" s="90">
        <v>44643</v>
      </c>
      <c r="B654" s="90" t="str">
        <f t="shared" si="92"/>
        <v>mars</v>
      </c>
      <c r="C654" s="90" t="str">
        <f t="shared" si="93"/>
        <v>2022</v>
      </c>
      <c r="D654" s="90" t="str">
        <f t="shared" si="94"/>
        <v>mars2022</v>
      </c>
      <c r="E654" s="91" t="s">
        <v>596</v>
      </c>
      <c r="F654" s="91">
        <v>200</v>
      </c>
      <c r="G654" s="94">
        <f t="shared" si="95"/>
        <v>0.2</v>
      </c>
      <c r="H654" s="92" t="s">
        <v>46</v>
      </c>
      <c r="I654" s="96">
        <f t="shared" si="90"/>
        <v>0.3</v>
      </c>
      <c r="J654" s="96">
        <f t="shared" si="91"/>
        <v>0.7</v>
      </c>
      <c r="K654" s="92">
        <f>VLOOKUP(H654,'Taux émission CO2e'!$A$5:$D$16,4,FALSE)</f>
        <v>0.16</v>
      </c>
      <c r="L654" s="93">
        <f t="shared" si="96"/>
        <v>5.1986496000000004</v>
      </c>
      <c r="M654" s="92">
        <f>VLOOKUP(H654,'Taux émission CO2e'!$A$20:$D$31,4,FALSE)</f>
        <v>6.7400000000000002E-2</v>
      </c>
      <c r="N654" s="105">
        <f t="shared" si="97"/>
        <v>5.1098393359999994</v>
      </c>
      <c r="O654" s="93">
        <f t="shared" si="98"/>
        <v>10.308488936</v>
      </c>
      <c r="P654" s="92">
        <v>239</v>
      </c>
      <c r="Q654" s="92" t="s">
        <v>62</v>
      </c>
      <c r="R654" s="92" t="s">
        <v>55</v>
      </c>
      <c r="S654" s="20">
        <v>541.52599999999995</v>
      </c>
    </row>
    <row r="655" spans="1:19" x14ac:dyDescent="0.15">
      <c r="A655" s="90">
        <v>44643</v>
      </c>
      <c r="B655" s="90" t="str">
        <f t="shared" si="92"/>
        <v>mars</v>
      </c>
      <c r="C655" s="90" t="str">
        <f t="shared" si="93"/>
        <v>2022</v>
      </c>
      <c r="D655" s="90" t="str">
        <f t="shared" si="94"/>
        <v>mars2022</v>
      </c>
      <c r="E655" s="91" t="s">
        <v>597</v>
      </c>
      <c r="F655" s="91">
        <v>174</v>
      </c>
      <c r="G655" s="94">
        <f t="shared" si="95"/>
        <v>0.17399999999999999</v>
      </c>
      <c r="H655" s="92" t="s">
        <v>46</v>
      </c>
      <c r="I655" s="96">
        <f t="shared" si="90"/>
        <v>0.3</v>
      </c>
      <c r="J655" s="96">
        <f t="shared" si="91"/>
        <v>0.7</v>
      </c>
      <c r="K655" s="92">
        <f>VLOOKUP(H655,'Taux émission CO2e'!$A$5:$D$16,4,FALSE)</f>
        <v>0.16</v>
      </c>
      <c r="L655" s="93">
        <f t="shared" si="96"/>
        <v>6.0807654720000004</v>
      </c>
      <c r="M655" s="92">
        <f>VLOOKUP(H655,'Taux émission CO2e'!$A$20:$D$31,4,FALSE)</f>
        <v>6.7400000000000002E-2</v>
      </c>
      <c r="N655" s="105">
        <f t="shared" si="97"/>
        <v>5.9768857285199992</v>
      </c>
      <c r="O655" s="93">
        <f t="shared" si="98"/>
        <v>12.057651200519999</v>
      </c>
      <c r="P655" s="92">
        <v>250</v>
      </c>
      <c r="Q655" s="92" t="s">
        <v>58</v>
      </c>
      <c r="R655" s="92" t="s">
        <v>574</v>
      </c>
      <c r="S655" s="20">
        <v>728.06100000000004</v>
      </c>
    </row>
    <row r="656" spans="1:19" x14ac:dyDescent="0.15">
      <c r="A656" s="90">
        <v>44644</v>
      </c>
      <c r="B656" s="90" t="str">
        <f t="shared" si="92"/>
        <v>mars</v>
      </c>
      <c r="C656" s="90" t="str">
        <f t="shared" si="93"/>
        <v>2022</v>
      </c>
      <c r="D656" s="90" t="str">
        <f t="shared" si="94"/>
        <v>mars2022</v>
      </c>
      <c r="E656" s="91" t="s">
        <v>598</v>
      </c>
      <c r="F656" s="91">
        <v>80</v>
      </c>
      <c r="G656" s="94">
        <f t="shared" si="95"/>
        <v>0.08</v>
      </c>
      <c r="H656" s="92" t="s">
        <v>46</v>
      </c>
      <c r="I656" s="96">
        <f t="shared" si="90"/>
        <v>0.3</v>
      </c>
      <c r="J656" s="96">
        <f t="shared" si="91"/>
        <v>0.7</v>
      </c>
      <c r="K656" s="92">
        <f>VLOOKUP(H656,'Taux émission CO2e'!$A$5:$D$16,4,FALSE)</f>
        <v>0.16</v>
      </c>
      <c r="L656" s="93">
        <f t="shared" si="96"/>
        <v>0.5125824000000001</v>
      </c>
      <c r="M656" s="92">
        <f>VLOOKUP(H656,'Taux émission CO2e'!$A$20:$D$31,4,FALSE)</f>
        <v>6.7400000000000002E-2</v>
      </c>
      <c r="N656" s="105">
        <f t="shared" si="97"/>
        <v>0.50382578400000011</v>
      </c>
      <c r="O656" s="93">
        <f t="shared" si="98"/>
        <v>1.0164081840000003</v>
      </c>
      <c r="P656" s="92">
        <v>105</v>
      </c>
      <c r="Q656" s="92" t="s">
        <v>58</v>
      </c>
      <c r="R656" s="92" t="s">
        <v>72</v>
      </c>
      <c r="S656" s="20">
        <v>133.48500000000001</v>
      </c>
    </row>
    <row r="657" spans="1:19" x14ac:dyDescent="0.15">
      <c r="A657" s="90">
        <v>44644</v>
      </c>
      <c r="B657" s="90" t="str">
        <f t="shared" si="92"/>
        <v>mars</v>
      </c>
      <c r="C657" s="90" t="str">
        <f t="shared" si="93"/>
        <v>2022</v>
      </c>
      <c r="D657" s="90" t="str">
        <f t="shared" si="94"/>
        <v>mars2022</v>
      </c>
      <c r="E657" s="91" t="s">
        <v>599</v>
      </c>
      <c r="F657" s="91">
        <v>174</v>
      </c>
      <c r="G657" s="94">
        <f t="shared" si="95"/>
        <v>0.17399999999999999</v>
      </c>
      <c r="H657" s="92" t="s">
        <v>46</v>
      </c>
      <c r="I657" s="96">
        <f t="shared" si="90"/>
        <v>0.3</v>
      </c>
      <c r="J657" s="96">
        <f t="shared" si="91"/>
        <v>0.7</v>
      </c>
      <c r="K657" s="92">
        <f>VLOOKUP(H657,'Taux émission CO2e'!$A$5:$D$16,4,FALSE)</f>
        <v>0.16</v>
      </c>
      <c r="L657" s="93">
        <f t="shared" si="96"/>
        <v>3.8294504640000002</v>
      </c>
      <c r="M657" s="92">
        <f>VLOOKUP(H657,'Taux émission CO2e'!$A$20:$D$31,4,FALSE)</f>
        <v>6.7400000000000002E-2</v>
      </c>
      <c r="N657" s="105">
        <f t="shared" si="97"/>
        <v>3.7640306852399998</v>
      </c>
      <c r="O657" s="93">
        <f t="shared" si="98"/>
        <v>7.5934811492400005</v>
      </c>
      <c r="P657" s="92">
        <v>195</v>
      </c>
      <c r="Q657" s="92" t="s">
        <v>58</v>
      </c>
      <c r="R657" s="92" t="s">
        <v>427</v>
      </c>
      <c r="S657" s="20">
        <v>458.50700000000001</v>
      </c>
    </row>
    <row r="658" spans="1:19" x14ac:dyDescent="0.15">
      <c r="A658" s="90">
        <v>44644</v>
      </c>
      <c r="B658" s="90" t="str">
        <f t="shared" si="92"/>
        <v>mars</v>
      </c>
      <c r="C658" s="90" t="str">
        <f t="shared" si="93"/>
        <v>2022</v>
      </c>
      <c r="D658" s="90" t="str">
        <f t="shared" si="94"/>
        <v>mars2022</v>
      </c>
      <c r="E658" s="91" t="s">
        <v>600</v>
      </c>
      <c r="F658" s="91">
        <v>1200</v>
      </c>
      <c r="G658" s="94">
        <f t="shared" si="95"/>
        <v>1.2</v>
      </c>
      <c r="H658" s="92" t="s">
        <v>32</v>
      </c>
      <c r="I658" s="96">
        <f t="shared" si="90"/>
        <v>1</v>
      </c>
      <c r="J658" s="96">
        <f t="shared" si="91"/>
        <v>0</v>
      </c>
      <c r="K658" s="92">
        <f>VLOOKUP(H658,'Taux émission CO2e'!$A$5:$D$16,4,FALSE)</f>
        <v>6.7400000000000002E-2</v>
      </c>
      <c r="L658" s="93">
        <f t="shared" si="96"/>
        <v>21.542630639999999</v>
      </c>
      <c r="M658" s="92">
        <f>VLOOKUP(H658,'Taux émission CO2e'!$A$20:$D$31,4,FALSE)</f>
        <v>0</v>
      </c>
      <c r="N658" s="105">
        <f t="shared" si="97"/>
        <v>0</v>
      </c>
      <c r="O658" s="93">
        <f t="shared" si="98"/>
        <v>21.542630639999999</v>
      </c>
      <c r="P658" s="92">
        <v>200</v>
      </c>
      <c r="Q658" s="92" t="s">
        <v>77</v>
      </c>
      <c r="R658" s="92" t="s">
        <v>55</v>
      </c>
      <c r="S658" s="20">
        <v>266.35300000000001</v>
      </c>
    </row>
    <row r="659" spans="1:19" x14ac:dyDescent="0.15">
      <c r="A659" s="90">
        <v>44644</v>
      </c>
      <c r="B659" s="90" t="str">
        <f t="shared" si="92"/>
        <v>mars</v>
      </c>
      <c r="C659" s="90" t="str">
        <f t="shared" si="93"/>
        <v>2022</v>
      </c>
      <c r="D659" s="90" t="str">
        <f t="shared" si="94"/>
        <v>mars2022</v>
      </c>
      <c r="E659" s="91" t="s">
        <v>601</v>
      </c>
      <c r="F659" s="91">
        <v>291</v>
      </c>
      <c r="G659" s="94">
        <f t="shared" si="95"/>
        <v>0.29099999999999998</v>
      </c>
      <c r="H659" s="92" t="s">
        <v>46</v>
      </c>
      <c r="I659" s="96">
        <f t="shared" si="90"/>
        <v>0.3</v>
      </c>
      <c r="J659" s="96">
        <f t="shared" si="91"/>
        <v>0.7</v>
      </c>
      <c r="K659" s="92">
        <f>VLOOKUP(H659,'Taux émission CO2e'!$A$5:$D$16,4,FALSE)</f>
        <v>0.16</v>
      </c>
      <c r="L659" s="93">
        <f t="shared" si="96"/>
        <v>2.6341273439999999</v>
      </c>
      <c r="M659" s="92">
        <f>VLOOKUP(H659,'Taux émission CO2e'!$A$20:$D$31,4,FALSE)</f>
        <v>6.7400000000000002E-2</v>
      </c>
      <c r="N659" s="105">
        <f t="shared" si="97"/>
        <v>2.5891276685399998</v>
      </c>
      <c r="O659" s="93">
        <f t="shared" si="98"/>
        <v>5.2232550125399992</v>
      </c>
      <c r="P659" s="92">
        <v>200</v>
      </c>
      <c r="Q659" s="92" t="s">
        <v>58</v>
      </c>
      <c r="R659" s="92" t="s">
        <v>531</v>
      </c>
      <c r="S659" s="20">
        <v>188.583</v>
      </c>
    </row>
    <row r="660" spans="1:19" x14ac:dyDescent="0.15">
      <c r="A660" s="90">
        <v>44644</v>
      </c>
      <c r="B660" s="90" t="str">
        <f t="shared" si="92"/>
        <v>mars</v>
      </c>
      <c r="C660" s="90" t="str">
        <f t="shared" si="93"/>
        <v>2022</v>
      </c>
      <c r="D660" s="90" t="str">
        <f t="shared" si="94"/>
        <v>mars2022</v>
      </c>
      <c r="E660" s="91" t="s">
        <v>602</v>
      </c>
      <c r="F660" s="91">
        <v>150</v>
      </c>
      <c r="G660" s="94">
        <f t="shared" si="95"/>
        <v>0.15</v>
      </c>
      <c r="H660" s="92" t="s">
        <v>45</v>
      </c>
      <c r="I660" s="96">
        <f t="shared" si="90"/>
        <v>0.3</v>
      </c>
      <c r="J660" s="96">
        <f t="shared" si="91"/>
        <v>0.7</v>
      </c>
      <c r="K660" s="92">
        <f>VLOOKUP(H660,'Taux émission CO2e'!$A$5:$D$16,4,FALSE)</f>
        <v>0.16</v>
      </c>
      <c r="L660" s="93">
        <f t="shared" si="96"/>
        <v>1.9284912000000001</v>
      </c>
      <c r="M660" s="92">
        <f>VLOOKUP(H660,'Taux émission CO2e'!$A$20:$D$31,4,FALSE)</f>
        <v>6.7400000000000002E-2</v>
      </c>
      <c r="N660" s="105">
        <f t="shared" si="97"/>
        <v>1.8955461419999999</v>
      </c>
      <c r="O660" s="93">
        <f t="shared" si="98"/>
        <v>3.824037342</v>
      </c>
      <c r="P660" s="92">
        <v>249</v>
      </c>
      <c r="Q660" s="92" t="s">
        <v>590</v>
      </c>
      <c r="R660" s="92" t="s">
        <v>55</v>
      </c>
      <c r="S660" s="20">
        <v>267.846</v>
      </c>
    </row>
    <row r="661" spans="1:19" x14ac:dyDescent="0.15">
      <c r="A661" s="90">
        <v>44644</v>
      </c>
      <c r="B661" s="90" t="str">
        <f t="shared" si="92"/>
        <v>mars</v>
      </c>
      <c r="C661" s="90" t="str">
        <f t="shared" si="93"/>
        <v>2022</v>
      </c>
      <c r="D661" s="90" t="str">
        <f t="shared" si="94"/>
        <v>mars2022</v>
      </c>
      <c r="E661" s="91" t="s">
        <v>603</v>
      </c>
      <c r="F661" s="91">
        <v>432</v>
      </c>
      <c r="G661" s="94">
        <f t="shared" si="95"/>
        <v>0.432</v>
      </c>
      <c r="H661" s="92" t="s">
        <v>46</v>
      </c>
      <c r="I661" s="96">
        <f t="shared" si="90"/>
        <v>0.3</v>
      </c>
      <c r="J661" s="96">
        <f t="shared" si="91"/>
        <v>0.7</v>
      </c>
      <c r="K661" s="92">
        <f>VLOOKUP(H661,'Taux émission CO2e'!$A$5:$D$16,4,FALSE)</f>
        <v>0.16</v>
      </c>
      <c r="L661" s="93">
        <f t="shared" si="96"/>
        <v>10.695587328</v>
      </c>
      <c r="M661" s="92">
        <f>VLOOKUP(H661,'Taux émission CO2e'!$A$20:$D$31,4,FALSE)</f>
        <v>6.7400000000000002E-2</v>
      </c>
      <c r="N661" s="105">
        <f t="shared" si="97"/>
        <v>10.512871044479999</v>
      </c>
      <c r="O661" s="93">
        <f t="shared" si="98"/>
        <v>21.208458372479999</v>
      </c>
      <c r="P661" s="92">
        <v>330</v>
      </c>
      <c r="Q661" s="92" t="s">
        <v>58</v>
      </c>
      <c r="R661" s="92" t="s">
        <v>57</v>
      </c>
      <c r="S661" s="20">
        <v>515.798</v>
      </c>
    </row>
    <row r="662" spans="1:19" x14ac:dyDescent="0.15">
      <c r="A662" s="90">
        <v>44645</v>
      </c>
      <c r="B662" s="90" t="str">
        <f t="shared" si="92"/>
        <v>mars</v>
      </c>
      <c r="C662" s="90" t="str">
        <f t="shared" si="93"/>
        <v>2022</v>
      </c>
      <c r="D662" s="90" t="str">
        <f t="shared" si="94"/>
        <v>mars2022</v>
      </c>
      <c r="E662" s="91" t="s">
        <v>604</v>
      </c>
      <c r="F662" s="91">
        <v>300</v>
      </c>
      <c r="G662" s="94">
        <f t="shared" si="95"/>
        <v>0.3</v>
      </c>
      <c r="H662" s="92" t="s">
        <v>45</v>
      </c>
      <c r="I662" s="96">
        <f t="shared" si="90"/>
        <v>0.3</v>
      </c>
      <c r="J662" s="96">
        <f t="shared" si="91"/>
        <v>0.7</v>
      </c>
      <c r="K662" s="92">
        <f>VLOOKUP(H662,'Taux émission CO2e'!$A$5:$D$16,4,FALSE)</f>
        <v>0.16</v>
      </c>
      <c r="L662" s="93">
        <f t="shared" si="96"/>
        <v>3.6040031999999997</v>
      </c>
      <c r="M662" s="92">
        <f>VLOOKUP(H662,'Taux émission CO2e'!$A$20:$D$31,4,FALSE)</f>
        <v>6.7400000000000002E-2</v>
      </c>
      <c r="N662" s="105">
        <f t="shared" si="97"/>
        <v>3.5424348119999998</v>
      </c>
      <c r="O662" s="93">
        <f t="shared" si="98"/>
        <v>7.1464380119999991</v>
      </c>
      <c r="P662" s="92">
        <v>158</v>
      </c>
      <c r="Q662" s="92" t="s">
        <v>89</v>
      </c>
      <c r="R662" s="92" t="s">
        <v>55</v>
      </c>
      <c r="S662" s="20">
        <v>250.27799999999999</v>
      </c>
    </row>
    <row r="663" spans="1:19" x14ac:dyDescent="0.15">
      <c r="A663" s="90">
        <v>44645</v>
      </c>
      <c r="B663" s="90" t="str">
        <f t="shared" si="92"/>
        <v>mars</v>
      </c>
      <c r="C663" s="90" t="str">
        <f t="shared" si="93"/>
        <v>2022</v>
      </c>
      <c r="D663" s="90" t="str">
        <f t="shared" si="94"/>
        <v>mars2022</v>
      </c>
      <c r="E663" s="91" t="s">
        <v>605</v>
      </c>
      <c r="F663" s="91">
        <v>400</v>
      </c>
      <c r="G663" s="94">
        <f t="shared" si="95"/>
        <v>0.4</v>
      </c>
      <c r="H663" s="92" t="s">
        <v>45</v>
      </c>
      <c r="I663" s="96">
        <f t="shared" si="90"/>
        <v>0.3</v>
      </c>
      <c r="J663" s="96">
        <f t="shared" si="91"/>
        <v>0.7</v>
      </c>
      <c r="K663" s="92">
        <f>VLOOKUP(H663,'Taux émission CO2e'!$A$5:$D$16,4,FALSE)</f>
        <v>0.16</v>
      </c>
      <c r="L663" s="93">
        <f t="shared" si="96"/>
        <v>5.347142400000001</v>
      </c>
      <c r="M663" s="92">
        <f>VLOOKUP(H663,'Taux émission CO2e'!$A$20:$D$31,4,FALSE)</f>
        <v>6.7400000000000002E-2</v>
      </c>
      <c r="N663" s="105">
        <f t="shared" si="97"/>
        <v>5.2557953839999998</v>
      </c>
      <c r="O663" s="93">
        <f t="shared" si="98"/>
        <v>10.602937784000002</v>
      </c>
      <c r="P663" s="92">
        <v>158</v>
      </c>
      <c r="Q663" s="92" t="s">
        <v>90</v>
      </c>
      <c r="R663" s="92" t="s">
        <v>55</v>
      </c>
      <c r="S663" s="20">
        <v>278.49700000000001</v>
      </c>
    </row>
    <row r="664" spans="1:19" x14ac:dyDescent="0.15">
      <c r="A664" s="90">
        <v>44648</v>
      </c>
      <c r="B664" s="90" t="str">
        <f t="shared" si="92"/>
        <v>mars</v>
      </c>
      <c r="C664" s="90" t="str">
        <f t="shared" si="93"/>
        <v>2022</v>
      </c>
      <c r="D664" s="90" t="str">
        <f t="shared" si="94"/>
        <v>mars2022</v>
      </c>
      <c r="E664" s="91" t="s">
        <v>606</v>
      </c>
      <c r="F664" s="91">
        <v>52</v>
      </c>
      <c r="G664" s="94">
        <f t="shared" si="95"/>
        <v>5.1999999999999998E-2</v>
      </c>
      <c r="H664" s="92" t="s">
        <v>46</v>
      </c>
      <c r="I664" s="96">
        <f t="shared" si="90"/>
        <v>0.3</v>
      </c>
      <c r="J664" s="96">
        <f t="shared" si="91"/>
        <v>0.7</v>
      </c>
      <c r="K664" s="92">
        <f>VLOOKUP(H664,'Taux émission CO2e'!$A$5:$D$16,4,FALSE)</f>
        <v>0.16</v>
      </c>
      <c r="L664" s="93">
        <f t="shared" si="96"/>
        <v>0.66435033599999993</v>
      </c>
      <c r="M664" s="92">
        <f>VLOOKUP(H664,'Taux émission CO2e'!$A$20:$D$31,4,FALSE)</f>
        <v>6.7400000000000002E-2</v>
      </c>
      <c r="N664" s="105">
        <f t="shared" si="97"/>
        <v>0.65300101775999997</v>
      </c>
      <c r="O664" s="93">
        <f t="shared" si="98"/>
        <v>1.3173513537599999</v>
      </c>
      <c r="P664" s="92">
        <v>100</v>
      </c>
      <c r="Q664" s="92" t="s">
        <v>58</v>
      </c>
      <c r="R664" s="92" t="s">
        <v>53</v>
      </c>
      <c r="S664" s="20">
        <v>266.166</v>
      </c>
    </row>
    <row r="665" spans="1:19" x14ac:dyDescent="0.15">
      <c r="A665" s="90">
        <v>44648</v>
      </c>
      <c r="B665" s="90" t="str">
        <f t="shared" si="92"/>
        <v>mars</v>
      </c>
      <c r="C665" s="90" t="str">
        <f t="shared" si="93"/>
        <v>2022</v>
      </c>
      <c r="D665" s="90" t="str">
        <f t="shared" si="94"/>
        <v>mars2022</v>
      </c>
      <c r="E665" s="91" t="s">
        <v>607</v>
      </c>
      <c r="F665" s="91">
        <v>128</v>
      </c>
      <c r="G665" s="94">
        <f t="shared" si="95"/>
        <v>0.128</v>
      </c>
      <c r="H665" s="92" t="s">
        <v>46</v>
      </c>
      <c r="I665" s="96">
        <f t="shared" si="90"/>
        <v>0.3</v>
      </c>
      <c r="J665" s="96">
        <f t="shared" si="91"/>
        <v>0.7</v>
      </c>
      <c r="K665" s="92">
        <f>VLOOKUP(H665,'Taux émission CO2e'!$A$5:$D$16,4,FALSE)</f>
        <v>0.16</v>
      </c>
      <c r="L665" s="93">
        <f t="shared" si="96"/>
        <v>1.6315084800000001</v>
      </c>
      <c r="M665" s="92">
        <f>VLOOKUP(H665,'Taux émission CO2e'!$A$20:$D$31,4,FALSE)</f>
        <v>6.7400000000000002E-2</v>
      </c>
      <c r="N665" s="105">
        <f t="shared" si="97"/>
        <v>1.6036368768</v>
      </c>
      <c r="O665" s="93">
        <f t="shared" si="98"/>
        <v>3.2351453568000004</v>
      </c>
      <c r="P665" s="92">
        <v>100</v>
      </c>
      <c r="Q665" s="92" t="s">
        <v>58</v>
      </c>
      <c r="R665" s="92" t="s">
        <v>71</v>
      </c>
      <c r="S665" s="20">
        <v>265.54500000000002</v>
      </c>
    </row>
    <row r="666" spans="1:19" x14ac:dyDescent="0.15">
      <c r="A666" s="90">
        <v>44648</v>
      </c>
      <c r="B666" s="90" t="str">
        <f t="shared" si="92"/>
        <v>mars</v>
      </c>
      <c r="C666" s="90" t="str">
        <f t="shared" si="93"/>
        <v>2022</v>
      </c>
      <c r="D666" s="90" t="str">
        <f t="shared" si="94"/>
        <v>mars2022</v>
      </c>
      <c r="E666" s="91" t="s">
        <v>608</v>
      </c>
      <c r="F666" s="91">
        <v>150</v>
      </c>
      <c r="G666" s="94">
        <f t="shared" si="95"/>
        <v>0.15</v>
      </c>
      <c r="H666" s="92" t="s">
        <v>46</v>
      </c>
      <c r="I666" s="96">
        <f t="shared" si="90"/>
        <v>0.3</v>
      </c>
      <c r="J666" s="96">
        <f t="shared" si="91"/>
        <v>0.7</v>
      </c>
      <c r="K666" s="92">
        <f>VLOOKUP(H666,'Taux émission CO2e'!$A$5:$D$16,4,FALSE)</f>
        <v>0.16</v>
      </c>
      <c r="L666" s="93">
        <f t="shared" si="96"/>
        <v>1.8579095999999999</v>
      </c>
      <c r="M666" s="92">
        <f>VLOOKUP(H666,'Taux émission CO2e'!$A$20:$D$31,4,FALSE)</f>
        <v>6.7400000000000002E-2</v>
      </c>
      <c r="N666" s="105">
        <f t="shared" si="97"/>
        <v>1.826170311</v>
      </c>
      <c r="O666" s="93">
        <f t="shared" si="98"/>
        <v>3.684079911</v>
      </c>
      <c r="P666" s="92">
        <v>131</v>
      </c>
      <c r="Q666" s="92" t="s">
        <v>102</v>
      </c>
      <c r="R666" s="92" t="s">
        <v>55</v>
      </c>
      <c r="S666" s="20">
        <v>258.04300000000001</v>
      </c>
    </row>
    <row r="667" spans="1:19" x14ac:dyDescent="0.15">
      <c r="A667" s="90">
        <v>44648</v>
      </c>
      <c r="B667" s="90" t="str">
        <f t="shared" si="92"/>
        <v>mars</v>
      </c>
      <c r="C667" s="90" t="str">
        <f t="shared" si="93"/>
        <v>2022</v>
      </c>
      <c r="D667" s="90" t="str">
        <f t="shared" si="94"/>
        <v>mars2022</v>
      </c>
      <c r="E667" s="91" t="s">
        <v>609</v>
      </c>
      <c r="F667" s="91">
        <v>163</v>
      </c>
      <c r="G667" s="94">
        <f t="shared" si="95"/>
        <v>0.16300000000000001</v>
      </c>
      <c r="H667" s="92" t="s">
        <v>46</v>
      </c>
      <c r="I667" s="96">
        <f t="shared" si="90"/>
        <v>0.3</v>
      </c>
      <c r="J667" s="96">
        <f t="shared" si="91"/>
        <v>0.7</v>
      </c>
      <c r="K667" s="92">
        <f>VLOOKUP(H667,'Taux émission CO2e'!$A$5:$D$16,4,FALSE)</f>
        <v>0.16</v>
      </c>
      <c r="L667" s="93">
        <f t="shared" si="96"/>
        <v>4.217245536000001</v>
      </c>
      <c r="M667" s="92">
        <f>VLOOKUP(H667,'Taux émission CO2e'!$A$20:$D$31,4,FALSE)</f>
        <v>6.7400000000000002E-2</v>
      </c>
      <c r="N667" s="105">
        <f t="shared" si="97"/>
        <v>4.1452009247600001</v>
      </c>
      <c r="O667" s="93">
        <f t="shared" si="98"/>
        <v>8.3624464607600011</v>
      </c>
      <c r="P667" s="92">
        <v>133</v>
      </c>
      <c r="Q667" s="92" t="s">
        <v>58</v>
      </c>
      <c r="R667" s="92" t="s">
        <v>405</v>
      </c>
      <c r="S667" s="20">
        <v>539.01400000000001</v>
      </c>
    </row>
    <row r="668" spans="1:19" x14ac:dyDescent="0.15">
      <c r="A668" s="90">
        <v>44648</v>
      </c>
      <c r="B668" s="90" t="str">
        <f t="shared" si="92"/>
        <v>mars</v>
      </c>
      <c r="C668" s="90" t="str">
        <f t="shared" si="93"/>
        <v>2022</v>
      </c>
      <c r="D668" s="90" t="str">
        <f t="shared" si="94"/>
        <v>mars2022</v>
      </c>
      <c r="E668" s="91" t="s">
        <v>610</v>
      </c>
      <c r="F668" s="91">
        <v>204</v>
      </c>
      <c r="G668" s="94">
        <f t="shared" si="95"/>
        <v>0.20399999999999999</v>
      </c>
      <c r="H668" s="92" t="s">
        <v>46</v>
      </c>
      <c r="I668" s="96">
        <f t="shared" si="90"/>
        <v>0.3</v>
      </c>
      <c r="J668" s="96">
        <f t="shared" si="91"/>
        <v>0.7</v>
      </c>
      <c r="K668" s="92">
        <f>VLOOKUP(H668,'Taux émission CO2e'!$A$5:$D$16,4,FALSE)</f>
        <v>0.16</v>
      </c>
      <c r="L668" s="93">
        <f t="shared" si="96"/>
        <v>5.0506940160000005</v>
      </c>
      <c r="M668" s="92">
        <f>VLOOKUP(H668,'Taux émission CO2e'!$A$20:$D$31,4,FALSE)</f>
        <v>6.7400000000000002E-2</v>
      </c>
      <c r="N668" s="105">
        <f t="shared" si="97"/>
        <v>4.9644113265599996</v>
      </c>
      <c r="O668" s="93">
        <f t="shared" si="98"/>
        <v>10.01510534256</v>
      </c>
      <c r="P668" s="92">
        <v>140</v>
      </c>
      <c r="Q668" s="92" t="s">
        <v>58</v>
      </c>
      <c r="R668" s="92" t="s">
        <v>57</v>
      </c>
      <c r="S668" s="20">
        <v>515.798</v>
      </c>
    </row>
    <row r="669" spans="1:19" x14ac:dyDescent="0.15">
      <c r="A669" s="90">
        <v>44648</v>
      </c>
      <c r="B669" s="90" t="str">
        <f t="shared" si="92"/>
        <v>mars</v>
      </c>
      <c r="C669" s="90" t="str">
        <f t="shared" si="93"/>
        <v>2022</v>
      </c>
      <c r="D669" s="90" t="str">
        <f t="shared" si="94"/>
        <v>mars2022</v>
      </c>
      <c r="E669" s="91" t="s">
        <v>611</v>
      </c>
      <c r="F669" s="91">
        <v>150</v>
      </c>
      <c r="G669" s="94">
        <f t="shared" si="95"/>
        <v>0.15</v>
      </c>
      <c r="H669" s="92" t="s">
        <v>45</v>
      </c>
      <c r="I669" s="96">
        <f t="shared" si="90"/>
        <v>0.3</v>
      </c>
      <c r="J669" s="96">
        <f t="shared" si="91"/>
        <v>0.7</v>
      </c>
      <c r="K669" s="92">
        <f>VLOOKUP(H669,'Taux émission CO2e'!$A$5:$D$16,4,FALSE)</f>
        <v>0.16</v>
      </c>
      <c r="L669" s="93">
        <f t="shared" si="96"/>
        <v>3.8714975999999997</v>
      </c>
      <c r="M669" s="92">
        <f>VLOOKUP(H669,'Taux émission CO2e'!$A$20:$D$31,4,FALSE)</f>
        <v>6.7400000000000002E-2</v>
      </c>
      <c r="N669" s="105">
        <f t="shared" si="97"/>
        <v>3.8053595159999998</v>
      </c>
      <c r="O669" s="93">
        <f t="shared" si="98"/>
        <v>7.676857115999999</v>
      </c>
      <c r="P669" s="92">
        <v>160</v>
      </c>
      <c r="Q669" s="92" t="s">
        <v>612</v>
      </c>
      <c r="R669" s="92" t="s">
        <v>55</v>
      </c>
      <c r="S669" s="20">
        <v>537.70799999999997</v>
      </c>
    </row>
    <row r="670" spans="1:19" x14ac:dyDescent="0.15">
      <c r="A670" s="90">
        <v>44648</v>
      </c>
      <c r="B670" s="90" t="str">
        <f t="shared" si="92"/>
        <v>mars</v>
      </c>
      <c r="C670" s="90" t="str">
        <f t="shared" si="93"/>
        <v>2022</v>
      </c>
      <c r="D670" s="90" t="str">
        <f t="shared" si="94"/>
        <v>mars2022</v>
      </c>
      <c r="E670" s="91" t="s">
        <v>613</v>
      </c>
      <c r="F670" s="91">
        <v>150</v>
      </c>
      <c r="G670" s="94">
        <f t="shared" si="95"/>
        <v>0.15</v>
      </c>
      <c r="H670" s="92" t="s">
        <v>46</v>
      </c>
      <c r="I670" s="96">
        <f t="shared" si="90"/>
        <v>0.3</v>
      </c>
      <c r="J670" s="96">
        <f t="shared" si="91"/>
        <v>0.7</v>
      </c>
      <c r="K670" s="92">
        <f>VLOOKUP(H670,'Taux émission CO2e'!$A$5:$D$16,4,FALSE)</f>
        <v>0.16</v>
      </c>
      <c r="L670" s="93">
        <f t="shared" si="96"/>
        <v>2.7402191999999999</v>
      </c>
      <c r="M670" s="92">
        <f>VLOOKUP(H670,'Taux émission CO2e'!$A$20:$D$31,4,FALSE)</f>
        <v>6.7400000000000002E-2</v>
      </c>
      <c r="N670" s="105">
        <f t="shared" si="97"/>
        <v>2.693407122</v>
      </c>
      <c r="O670" s="93">
        <f t="shared" si="98"/>
        <v>5.4336263220000003</v>
      </c>
      <c r="P670" s="92">
        <v>166</v>
      </c>
      <c r="Q670" s="92" t="s">
        <v>91</v>
      </c>
      <c r="R670" s="92" t="s">
        <v>55</v>
      </c>
      <c r="S670" s="20">
        <v>380.58600000000001</v>
      </c>
    </row>
    <row r="671" spans="1:19" x14ac:dyDescent="0.15">
      <c r="A671" s="90">
        <v>44648</v>
      </c>
      <c r="B671" s="90" t="str">
        <f t="shared" si="92"/>
        <v>mars</v>
      </c>
      <c r="C671" s="90" t="str">
        <f t="shared" si="93"/>
        <v>2022</v>
      </c>
      <c r="D671" s="90" t="str">
        <f t="shared" si="94"/>
        <v>mars2022</v>
      </c>
      <c r="E671" s="91" t="s">
        <v>614</v>
      </c>
      <c r="F671" s="91">
        <v>81</v>
      </c>
      <c r="G671" s="94">
        <f t="shared" si="95"/>
        <v>8.1000000000000003E-2</v>
      </c>
      <c r="H671" s="92" t="s">
        <v>46</v>
      </c>
      <c r="I671" s="96">
        <f t="shared" si="90"/>
        <v>0.3</v>
      </c>
      <c r="J671" s="96">
        <f t="shared" si="91"/>
        <v>0.7</v>
      </c>
      <c r="K671" s="92">
        <f>VLOOKUP(H671,'Taux émission CO2e'!$A$5:$D$16,4,FALSE)</f>
        <v>0.16</v>
      </c>
      <c r="L671" s="93">
        <f t="shared" si="96"/>
        <v>2.9379049920000004</v>
      </c>
      <c r="M671" s="92">
        <f>VLOOKUP(H671,'Taux émission CO2e'!$A$20:$D$31,4,FALSE)</f>
        <v>6.7400000000000002E-2</v>
      </c>
      <c r="N671" s="105">
        <f t="shared" si="97"/>
        <v>2.8877157817200003</v>
      </c>
      <c r="O671" s="93">
        <f t="shared" si="98"/>
        <v>5.8256207737200008</v>
      </c>
      <c r="P671" s="92">
        <v>168</v>
      </c>
      <c r="Q671" s="92" t="s">
        <v>58</v>
      </c>
      <c r="R671" s="92" t="s">
        <v>108</v>
      </c>
      <c r="S671" s="20">
        <v>755.63400000000001</v>
      </c>
    </row>
    <row r="672" spans="1:19" x14ac:dyDescent="0.15">
      <c r="A672" s="90">
        <v>44648</v>
      </c>
      <c r="B672" s="90" t="str">
        <f t="shared" si="92"/>
        <v>mars</v>
      </c>
      <c r="C672" s="90" t="str">
        <f t="shared" si="93"/>
        <v>2022</v>
      </c>
      <c r="D672" s="90" t="str">
        <f t="shared" si="94"/>
        <v>mars2022</v>
      </c>
      <c r="E672" s="91" t="s">
        <v>615</v>
      </c>
      <c r="F672" s="91">
        <v>41</v>
      </c>
      <c r="G672" s="94">
        <f t="shared" si="95"/>
        <v>4.1000000000000002E-2</v>
      </c>
      <c r="H672" s="92" t="s">
        <v>46</v>
      </c>
      <c r="I672" s="96">
        <f t="shared" si="90"/>
        <v>0.3</v>
      </c>
      <c r="J672" s="96">
        <f t="shared" si="91"/>
        <v>0.7</v>
      </c>
      <c r="K672" s="92">
        <f>VLOOKUP(H672,'Taux émission CO2e'!$A$5:$D$16,4,FALSE)</f>
        <v>0.16</v>
      </c>
      <c r="L672" s="93">
        <f t="shared" si="96"/>
        <v>1.4071357440000001</v>
      </c>
      <c r="M672" s="92">
        <f>VLOOKUP(H672,'Taux émission CO2e'!$A$20:$D$31,4,FALSE)</f>
        <v>6.7400000000000002E-2</v>
      </c>
      <c r="N672" s="105">
        <f t="shared" si="97"/>
        <v>1.3830971750400001</v>
      </c>
      <c r="O672" s="93">
        <f t="shared" si="98"/>
        <v>2.7902329190400001</v>
      </c>
      <c r="P672" s="92">
        <v>173</v>
      </c>
      <c r="Q672" s="92" t="s">
        <v>58</v>
      </c>
      <c r="R672" s="92" t="s">
        <v>544</v>
      </c>
      <c r="S672" s="20">
        <v>715.00800000000004</v>
      </c>
    </row>
    <row r="673" spans="1:19" x14ac:dyDescent="0.15">
      <c r="A673" s="90">
        <v>44648</v>
      </c>
      <c r="B673" s="90" t="str">
        <f t="shared" si="92"/>
        <v>mars</v>
      </c>
      <c r="C673" s="90" t="str">
        <f t="shared" si="93"/>
        <v>2022</v>
      </c>
      <c r="D673" s="90" t="str">
        <f t="shared" si="94"/>
        <v>mars2022</v>
      </c>
      <c r="E673" s="91" t="s">
        <v>616</v>
      </c>
      <c r="F673" s="91">
        <v>275</v>
      </c>
      <c r="G673" s="94">
        <f t="shared" si="95"/>
        <v>0.27500000000000002</v>
      </c>
      <c r="H673" s="92" t="s">
        <v>46</v>
      </c>
      <c r="I673" s="96">
        <f t="shared" si="90"/>
        <v>0.3</v>
      </c>
      <c r="J673" s="96">
        <f t="shared" si="91"/>
        <v>0.7</v>
      </c>
      <c r="K673" s="92">
        <f>VLOOKUP(H673,'Taux émission CO2e'!$A$5:$D$16,4,FALSE)</f>
        <v>0.16</v>
      </c>
      <c r="L673" s="93">
        <f t="shared" si="96"/>
        <v>7.1435760000000004</v>
      </c>
      <c r="M673" s="92">
        <f>VLOOKUP(H673,'Taux émission CO2e'!$A$20:$D$31,4,FALSE)</f>
        <v>6.7400000000000002E-2</v>
      </c>
      <c r="N673" s="105">
        <f t="shared" si="97"/>
        <v>7.0215399100000004</v>
      </c>
      <c r="O673" s="93">
        <f t="shared" si="98"/>
        <v>14.165115910000001</v>
      </c>
      <c r="P673" s="92">
        <v>225</v>
      </c>
      <c r="Q673" s="92" t="s">
        <v>58</v>
      </c>
      <c r="R673" s="92" t="s">
        <v>65</v>
      </c>
      <c r="S673" s="20">
        <v>541.17999999999995</v>
      </c>
    </row>
    <row r="674" spans="1:19" x14ac:dyDescent="0.15">
      <c r="A674" s="90">
        <v>44648</v>
      </c>
      <c r="B674" s="90" t="str">
        <f t="shared" si="92"/>
        <v>mars</v>
      </c>
      <c r="C674" s="90" t="str">
        <f t="shared" si="93"/>
        <v>2022</v>
      </c>
      <c r="D674" s="90" t="str">
        <f t="shared" si="94"/>
        <v>mars2022</v>
      </c>
      <c r="E674" s="91" t="s">
        <v>617</v>
      </c>
      <c r="F674" s="91">
        <v>600</v>
      </c>
      <c r="G674" s="94">
        <f t="shared" si="95"/>
        <v>0.6</v>
      </c>
      <c r="H674" s="92" t="s">
        <v>45</v>
      </c>
      <c r="I674" s="96">
        <f t="shared" si="90"/>
        <v>0.3</v>
      </c>
      <c r="J674" s="96">
        <f t="shared" si="91"/>
        <v>0.7</v>
      </c>
      <c r="K674" s="92">
        <f>VLOOKUP(H674,'Taux émission CO2e'!$A$5:$D$16,4,FALSE)</f>
        <v>0.16</v>
      </c>
      <c r="L674" s="93">
        <f t="shared" si="96"/>
        <v>14.874451200000001</v>
      </c>
      <c r="M674" s="92">
        <f>VLOOKUP(H674,'Taux émission CO2e'!$A$20:$D$31,4,FALSE)</f>
        <v>6.7400000000000002E-2</v>
      </c>
      <c r="N674" s="105">
        <f t="shared" si="97"/>
        <v>14.620345992000001</v>
      </c>
      <c r="O674" s="93">
        <f t="shared" si="98"/>
        <v>29.494797192</v>
      </c>
      <c r="P674" s="92">
        <v>253</v>
      </c>
      <c r="Q674" s="92" t="s">
        <v>52</v>
      </c>
      <c r="R674" s="92" t="s">
        <v>55</v>
      </c>
      <c r="S674" s="20">
        <v>516.47400000000005</v>
      </c>
    </row>
    <row r="675" spans="1:19" x14ac:dyDescent="0.15">
      <c r="A675" s="90">
        <v>44649</v>
      </c>
      <c r="B675" s="90" t="str">
        <f t="shared" si="92"/>
        <v>mars</v>
      </c>
      <c r="C675" s="90" t="str">
        <f t="shared" si="93"/>
        <v>2022</v>
      </c>
      <c r="D675" s="90" t="str">
        <f t="shared" si="94"/>
        <v>mars2022</v>
      </c>
      <c r="E675" s="91" t="s">
        <v>618</v>
      </c>
      <c r="F675" s="91">
        <v>200</v>
      </c>
      <c r="G675" s="94">
        <f t="shared" si="95"/>
        <v>0.2</v>
      </c>
      <c r="H675" s="92" t="s">
        <v>38</v>
      </c>
      <c r="I675" s="96">
        <f t="shared" si="90"/>
        <v>1</v>
      </c>
      <c r="J675" s="96">
        <f t="shared" si="91"/>
        <v>0</v>
      </c>
      <c r="K675" s="92">
        <f>VLOOKUP(H675,'Taux émission CO2e'!$A$5:$D$16,4,FALSE)</f>
        <v>0.24099999999999999</v>
      </c>
      <c r="L675" s="93">
        <f t="shared" si="96"/>
        <v>1.1150106</v>
      </c>
      <c r="M675" s="92">
        <f>VLOOKUP(H675,'Taux émission CO2e'!$A$20:$D$31,4,FALSE)</f>
        <v>0</v>
      </c>
      <c r="N675" s="105">
        <f t="shared" si="97"/>
        <v>0</v>
      </c>
      <c r="O675" s="93">
        <f t="shared" si="98"/>
        <v>1.1150106</v>
      </c>
      <c r="P675" s="92">
        <v>80</v>
      </c>
      <c r="Q675" s="92" t="s">
        <v>58</v>
      </c>
      <c r="R675" s="92" t="s">
        <v>619</v>
      </c>
      <c r="S675" s="20">
        <v>23.132999999999999</v>
      </c>
    </row>
    <row r="676" spans="1:19" x14ac:dyDescent="0.15">
      <c r="A676" s="90">
        <v>44649</v>
      </c>
      <c r="B676" s="90" t="str">
        <f t="shared" si="92"/>
        <v>mars</v>
      </c>
      <c r="C676" s="90" t="str">
        <f t="shared" si="93"/>
        <v>2022</v>
      </c>
      <c r="D676" s="90" t="str">
        <f t="shared" si="94"/>
        <v>mars2022</v>
      </c>
      <c r="E676" s="91" t="s">
        <v>620</v>
      </c>
      <c r="F676" s="91">
        <v>261</v>
      </c>
      <c r="G676" s="94">
        <f t="shared" si="95"/>
        <v>0.26100000000000001</v>
      </c>
      <c r="H676" s="92" t="s">
        <v>46</v>
      </c>
      <c r="I676" s="96">
        <f t="shared" si="90"/>
        <v>0.3</v>
      </c>
      <c r="J676" s="96">
        <f t="shared" si="91"/>
        <v>0.7</v>
      </c>
      <c r="K676" s="92">
        <f>VLOOKUP(H676,'Taux émission CO2e'!$A$5:$D$16,4,FALSE)</f>
        <v>0.16</v>
      </c>
      <c r="L676" s="93">
        <f t="shared" si="96"/>
        <v>3.1169288160000002</v>
      </c>
      <c r="M676" s="92">
        <f>VLOOKUP(H676,'Taux émission CO2e'!$A$20:$D$31,4,FALSE)</f>
        <v>6.7400000000000002E-2</v>
      </c>
      <c r="N676" s="105">
        <f t="shared" si="97"/>
        <v>3.0636812820600001</v>
      </c>
      <c r="O676" s="93">
        <f t="shared" si="98"/>
        <v>6.1806100980600007</v>
      </c>
      <c r="P676" s="92">
        <v>140</v>
      </c>
      <c r="Q676" s="92" t="s">
        <v>58</v>
      </c>
      <c r="R676" s="92" t="s">
        <v>82</v>
      </c>
      <c r="S676" s="20">
        <v>248.797</v>
      </c>
    </row>
    <row r="677" spans="1:19" x14ac:dyDescent="0.15">
      <c r="A677" s="90">
        <v>44649</v>
      </c>
      <c r="B677" s="90" t="str">
        <f t="shared" si="92"/>
        <v>mars</v>
      </c>
      <c r="C677" s="90" t="str">
        <f t="shared" si="93"/>
        <v>2022</v>
      </c>
      <c r="D677" s="90" t="str">
        <f t="shared" si="94"/>
        <v>mars2022</v>
      </c>
      <c r="E677" s="91" t="s">
        <v>621</v>
      </c>
      <c r="F677" s="91">
        <v>450</v>
      </c>
      <c r="G677" s="94">
        <f t="shared" si="95"/>
        <v>0.45</v>
      </c>
      <c r="H677" s="92" t="s">
        <v>45</v>
      </c>
      <c r="I677" s="96">
        <f t="shared" si="90"/>
        <v>0.3</v>
      </c>
      <c r="J677" s="96">
        <f t="shared" si="91"/>
        <v>0.7</v>
      </c>
      <c r="K677" s="92">
        <f>VLOOKUP(H677,'Taux émission CO2e'!$A$5:$D$16,4,FALSE)</f>
        <v>0.16</v>
      </c>
      <c r="L677" s="93">
        <f t="shared" si="96"/>
        <v>5.7532248000000008</v>
      </c>
      <c r="M677" s="92">
        <f>VLOOKUP(H677,'Taux émission CO2e'!$A$20:$D$31,4,FALSE)</f>
        <v>6.7400000000000002E-2</v>
      </c>
      <c r="N677" s="105">
        <f t="shared" si="97"/>
        <v>5.6549405430000004</v>
      </c>
      <c r="O677" s="93">
        <f t="shared" si="98"/>
        <v>11.408165343</v>
      </c>
      <c r="P677" s="92">
        <v>220</v>
      </c>
      <c r="Q677" s="92" t="s">
        <v>77</v>
      </c>
      <c r="R677" s="92" t="s">
        <v>55</v>
      </c>
      <c r="S677" s="20">
        <v>266.35300000000001</v>
      </c>
    </row>
    <row r="678" spans="1:19" x14ac:dyDescent="0.15">
      <c r="A678" s="90">
        <v>44649</v>
      </c>
      <c r="B678" s="90" t="str">
        <f t="shared" si="92"/>
        <v>mars</v>
      </c>
      <c r="C678" s="90" t="str">
        <f t="shared" si="93"/>
        <v>2022</v>
      </c>
      <c r="D678" s="90" t="str">
        <f t="shared" si="94"/>
        <v>mars2022</v>
      </c>
      <c r="E678" s="91" t="s">
        <v>622</v>
      </c>
      <c r="F678" s="91">
        <v>300</v>
      </c>
      <c r="G678" s="94">
        <f t="shared" si="95"/>
        <v>0.3</v>
      </c>
      <c r="H678" s="92" t="s">
        <v>46</v>
      </c>
      <c r="I678" s="96">
        <f t="shared" si="90"/>
        <v>0.3</v>
      </c>
      <c r="J678" s="96">
        <f t="shared" si="91"/>
        <v>0.7</v>
      </c>
      <c r="K678" s="92">
        <f>VLOOKUP(H678,'Taux émission CO2e'!$A$5:$D$16,4,FALSE)</f>
        <v>0.16</v>
      </c>
      <c r="L678" s="93">
        <f t="shared" si="96"/>
        <v>10.657411199999999</v>
      </c>
      <c r="M678" s="92">
        <f>VLOOKUP(H678,'Taux émission CO2e'!$A$20:$D$31,4,FALSE)</f>
        <v>6.7400000000000002E-2</v>
      </c>
      <c r="N678" s="105">
        <f t="shared" si="97"/>
        <v>10.475347092</v>
      </c>
      <c r="O678" s="93">
        <f t="shared" si="98"/>
        <v>21.132758291999998</v>
      </c>
      <c r="P678" s="92">
        <v>280</v>
      </c>
      <c r="Q678" s="92" t="s">
        <v>473</v>
      </c>
      <c r="R678" s="92" t="s">
        <v>55</v>
      </c>
      <c r="S678" s="20">
        <v>740.09799999999996</v>
      </c>
    </row>
    <row r="679" spans="1:19" x14ac:dyDescent="0.15">
      <c r="A679" s="90">
        <v>44649</v>
      </c>
      <c r="B679" s="90" t="str">
        <f t="shared" si="92"/>
        <v>mars</v>
      </c>
      <c r="C679" s="90" t="str">
        <f t="shared" si="93"/>
        <v>2022</v>
      </c>
      <c r="D679" s="90" t="str">
        <f t="shared" si="94"/>
        <v>mars2022</v>
      </c>
      <c r="E679" s="91" t="s">
        <v>623</v>
      </c>
      <c r="F679" s="91">
        <v>864</v>
      </c>
      <c r="G679" s="94">
        <f t="shared" si="95"/>
        <v>0.86399999999999999</v>
      </c>
      <c r="H679" s="92" t="s">
        <v>46</v>
      </c>
      <c r="I679" s="96">
        <f t="shared" si="90"/>
        <v>0.3</v>
      </c>
      <c r="J679" s="96">
        <f t="shared" si="91"/>
        <v>0.7</v>
      </c>
      <c r="K679" s="92">
        <f>VLOOKUP(H679,'Taux émission CO2e'!$A$5:$D$16,4,FALSE)</f>
        <v>0.16</v>
      </c>
      <c r="L679" s="93">
        <f t="shared" si="96"/>
        <v>11.038436352</v>
      </c>
      <c r="M679" s="92">
        <f>VLOOKUP(H679,'Taux émission CO2e'!$A$20:$D$31,4,FALSE)</f>
        <v>6.7400000000000002E-2</v>
      </c>
      <c r="N679" s="105">
        <f t="shared" si="97"/>
        <v>10.849863064319999</v>
      </c>
      <c r="O679" s="93">
        <f t="shared" si="98"/>
        <v>21.888299416319999</v>
      </c>
      <c r="P679" s="92">
        <v>405</v>
      </c>
      <c r="Q679" s="92" t="s">
        <v>58</v>
      </c>
      <c r="R679" s="92" t="s">
        <v>53</v>
      </c>
      <c r="S679" s="20">
        <v>266.166</v>
      </c>
    </row>
    <row r="680" spans="1:19" x14ac:dyDescent="0.15">
      <c r="A680" s="90">
        <v>44650</v>
      </c>
      <c r="B680" s="90" t="str">
        <f t="shared" si="92"/>
        <v>mars</v>
      </c>
      <c r="C680" s="90" t="str">
        <f t="shared" si="93"/>
        <v>2022</v>
      </c>
      <c r="D680" s="90" t="str">
        <f t="shared" si="94"/>
        <v>mars2022</v>
      </c>
      <c r="E680" s="91" t="s">
        <v>624</v>
      </c>
      <c r="F680" s="91">
        <v>150</v>
      </c>
      <c r="G680" s="94">
        <f t="shared" si="95"/>
        <v>0.15</v>
      </c>
      <c r="H680" s="92" t="s">
        <v>38</v>
      </c>
      <c r="I680" s="96">
        <f t="shared" si="90"/>
        <v>1</v>
      </c>
      <c r="J680" s="96">
        <f t="shared" si="91"/>
        <v>0</v>
      </c>
      <c r="K680" s="92">
        <f>VLOOKUP(H680,'Taux émission CO2e'!$A$5:$D$16,4,FALSE)</f>
        <v>0.24099999999999999</v>
      </c>
      <c r="L680" s="93">
        <f t="shared" si="96"/>
        <v>1.2287746499999999</v>
      </c>
      <c r="M680" s="92">
        <f>VLOOKUP(H680,'Taux émission CO2e'!$A$20:$D$31,4,FALSE)</f>
        <v>0</v>
      </c>
      <c r="N680" s="105">
        <f t="shared" si="97"/>
        <v>0</v>
      </c>
      <c r="O680" s="93">
        <f t="shared" si="98"/>
        <v>1.2287746499999999</v>
      </c>
      <c r="P680" s="92">
        <v>80</v>
      </c>
      <c r="Q680" s="92" t="s">
        <v>67</v>
      </c>
      <c r="R680" s="92" t="s">
        <v>55</v>
      </c>
      <c r="S680" s="20">
        <v>33.991</v>
      </c>
    </row>
    <row r="681" spans="1:19" x14ac:dyDescent="0.15">
      <c r="A681" s="90">
        <v>44650</v>
      </c>
      <c r="B681" s="90" t="str">
        <f t="shared" si="92"/>
        <v>mars</v>
      </c>
      <c r="C681" s="90" t="str">
        <f t="shared" si="93"/>
        <v>2022</v>
      </c>
      <c r="D681" s="90" t="str">
        <f t="shared" si="94"/>
        <v>mars2022</v>
      </c>
      <c r="E681" s="91" t="s">
        <v>625</v>
      </c>
      <c r="F681" s="91">
        <v>250</v>
      </c>
      <c r="G681" s="94">
        <f t="shared" si="95"/>
        <v>0.25</v>
      </c>
      <c r="H681" s="92" t="s">
        <v>45</v>
      </c>
      <c r="I681" s="96">
        <f t="shared" si="90"/>
        <v>0.3</v>
      </c>
      <c r="J681" s="96">
        <f t="shared" si="91"/>
        <v>0.7</v>
      </c>
      <c r="K681" s="92">
        <f>VLOOKUP(H681,'Taux émission CO2e'!$A$5:$D$16,4,FALSE)</f>
        <v>0.16</v>
      </c>
      <c r="L681" s="93">
        <f t="shared" si="96"/>
        <v>0.64771199999999995</v>
      </c>
      <c r="M681" s="92">
        <f>VLOOKUP(H681,'Taux émission CO2e'!$A$20:$D$31,4,FALSE)</f>
        <v>6.7400000000000002E-2</v>
      </c>
      <c r="N681" s="105">
        <f t="shared" si="97"/>
        <v>0.63664692000000001</v>
      </c>
      <c r="O681" s="93">
        <f t="shared" si="98"/>
        <v>1.2843589199999998</v>
      </c>
      <c r="P681" s="92">
        <v>80</v>
      </c>
      <c r="Q681" s="92" t="s">
        <v>58</v>
      </c>
      <c r="R681" s="92" t="s">
        <v>63</v>
      </c>
      <c r="S681" s="20">
        <v>53.975999999999999</v>
      </c>
    </row>
    <row r="682" spans="1:19" x14ac:dyDescent="0.15">
      <c r="A682" s="90">
        <v>44650</v>
      </c>
      <c r="B682" s="90" t="str">
        <f t="shared" si="92"/>
        <v>mars</v>
      </c>
      <c r="C682" s="90" t="str">
        <f t="shared" si="93"/>
        <v>2022</v>
      </c>
      <c r="D682" s="90" t="str">
        <f t="shared" si="94"/>
        <v>mars2022</v>
      </c>
      <c r="E682" s="91" t="s">
        <v>626</v>
      </c>
      <c r="F682" s="91">
        <v>45</v>
      </c>
      <c r="G682" s="94">
        <f t="shared" si="95"/>
        <v>4.4999999999999998E-2</v>
      </c>
      <c r="H682" s="92" t="s">
        <v>46</v>
      </c>
      <c r="I682" s="96">
        <f t="shared" si="90"/>
        <v>0.3</v>
      </c>
      <c r="J682" s="96">
        <f t="shared" si="91"/>
        <v>0.7</v>
      </c>
      <c r="K682" s="92">
        <f>VLOOKUP(H682,'Taux émission CO2e'!$A$5:$D$16,4,FALSE)</f>
        <v>0.16</v>
      </c>
      <c r="L682" s="93">
        <f t="shared" si="96"/>
        <v>0.54901800000000001</v>
      </c>
      <c r="M682" s="92">
        <f>VLOOKUP(H682,'Taux émission CO2e'!$A$20:$D$31,4,FALSE)</f>
        <v>6.7400000000000002E-2</v>
      </c>
      <c r="N682" s="105">
        <f t="shared" si="97"/>
        <v>0.5396389425</v>
      </c>
      <c r="O682" s="93">
        <f t="shared" si="98"/>
        <v>1.0886569425000001</v>
      </c>
      <c r="P682" s="92">
        <v>100</v>
      </c>
      <c r="Q682" s="92" t="s">
        <v>58</v>
      </c>
      <c r="R682" s="92" t="s">
        <v>93</v>
      </c>
      <c r="S682" s="20">
        <v>254.17500000000001</v>
      </c>
    </row>
    <row r="683" spans="1:19" x14ac:dyDescent="0.15">
      <c r="A683" s="90">
        <v>44650</v>
      </c>
      <c r="B683" s="90" t="str">
        <f t="shared" si="92"/>
        <v>mars</v>
      </c>
      <c r="C683" s="90" t="str">
        <f t="shared" si="93"/>
        <v>2022</v>
      </c>
      <c r="D683" s="90" t="str">
        <f t="shared" si="94"/>
        <v>mars2022</v>
      </c>
      <c r="E683" s="91" t="s">
        <v>627</v>
      </c>
      <c r="F683" s="91">
        <v>45</v>
      </c>
      <c r="G683" s="94">
        <f t="shared" si="95"/>
        <v>4.4999999999999998E-2</v>
      </c>
      <c r="H683" s="92" t="s">
        <v>46</v>
      </c>
      <c r="I683" s="96">
        <f t="shared" si="90"/>
        <v>0.3</v>
      </c>
      <c r="J683" s="96">
        <f t="shared" si="91"/>
        <v>0.7</v>
      </c>
      <c r="K683" s="92">
        <f>VLOOKUP(H683,'Taux émission CO2e'!$A$5:$D$16,4,FALSE)</f>
        <v>0.16</v>
      </c>
      <c r="L683" s="93">
        <f t="shared" si="96"/>
        <v>0.57357720000000001</v>
      </c>
      <c r="M683" s="92">
        <f>VLOOKUP(H683,'Taux émission CO2e'!$A$20:$D$31,4,FALSE)</f>
        <v>6.7400000000000002E-2</v>
      </c>
      <c r="N683" s="105">
        <f t="shared" si="97"/>
        <v>0.56377858949999993</v>
      </c>
      <c r="O683" s="93">
        <f t="shared" si="98"/>
        <v>1.1373557894999999</v>
      </c>
      <c r="P683" s="92">
        <v>100</v>
      </c>
      <c r="Q683" s="92" t="s">
        <v>58</v>
      </c>
      <c r="R683" s="92" t="s">
        <v>71</v>
      </c>
      <c r="S683" s="20">
        <v>265.54500000000002</v>
      </c>
    </row>
    <row r="684" spans="1:19" x14ac:dyDescent="0.15">
      <c r="A684" s="90">
        <v>44650</v>
      </c>
      <c r="B684" s="90" t="str">
        <f t="shared" si="92"/>
        <v>mars</v>
      </c>
      <c r="C684" s="90" t="str">
        <f t="shared" si="93"/>
        <v>2022</v>
      </c>
      <c r="D684" s="90" t="str">
        <f t="shared" si="94"/>
        <v>mars2022</v>
      </c>
      <c r="E684" s="91" t="s">
        <v>628</v>
      </c>
      <c r="F684" s="91">
        <v>47</v>
      </c>
      <c r="G684" s="94">
        <f t="shared" si="95"/>
        <v>4.7E-2</v>
      </c>
      <c r="H684" s="92" t="s">
        <v>46</v>
      </c>
      <c r="I684" s="96">
        <f t="shared" si="90"/>
        <v>0.3</v>
      </c>
      <c r="J684" s="96">
        <f t="shared" si="91"/>
        <v>0.7</v>
      </c>
      <c r="K684" s="92">
        <f>VLOOKUP(H684,'Taux émission CO2e'!$A$5:$D$16,4,FALSE)</f>
        <v>0.16</v>
      </c>
      <c r="L684" s="93">
        <f t="shared" si="96"/>
        <v>0.87992121600000006</v>
      </c>
      <c r="M684" s="92">
        <f>VLOOKUP(H684,'Taux émission CO2e'!$A$20:$D$31,4,FALSE)</f>
        <v>6.7400000000000002E-2</v>
      </c>
      <c r="N684" s="105">
        <f t="shared" si="97"/>
        <v>0.86488922856000006</v>
      </c>
      <c r="O684" s="93">
        <f t="shared" si="98"/>
        <v>1.7448104445600001</v>
      </c>
      <c r="P684" s="92">
        <v>119.1</v>
      </c>
      <c r="Q684" s="92" t="s">
        <v>58</v>
      </c>
      <c r="R684" s="92" t="s">
        <v>629</v>
      </c>
      <c r="S684" s="20">
        <v>390.036</v>
      </c>
    </row>
    <row r="685" spans="1:19" x14ac:dyDescent="0.15">
      <c r="A685" s="90">
        <v>44650</v>
      </c>
      <c r="B685" s="90" t="str">
        <f t="shared" si="92"/>
        <v>mars</v>
      </c>
      <c r="C685" s="90" t="str">
        <f t="shared" si="93"/>
        <v>2022</v>
      </c>
      <c r="D685" s="90" t="str">
        <f t="shared" si="94"/>
        <v>mars2022</v>
      </c>
      <c r="E685" s="91" t="s">
        <v>630</v>
      </c>
      <c r="F685" s="91">
        <v>100</v>
      </c>
      <c r="G685" s="94">
        <f t="shared" si="95"/>
        <v>0.1</v>
      </c>
      <c r="H685" s="92" t="s">
        <v>45</v>
      </c>
      <c r="I685" s="96">
        <f t="shared" si="90"/>
        <v>0.3</v>
      </c>
      <c r="J685" s="96">
        <f t="shared" si="91"/>
        <v>0.7</v>
      </c>
      <c r="K685" s="92">
        <f>VLOOKUP(H685,'Taux émission CO2e'!$A$5:$D$16,4,FALSE)</f>
        <v>0.16</v>
      </c>
      <c r="L685" s="93">
        <f t="shared" si="96"/>
        <v>2.1891216000000004</v>
      </c>
      <c r="M685" s="92">
        <f>VLOOKUP(H685,'Taux émission CO2e'!$A$20:$D$31,4,FALSE)</f>
        <v>6.7400000000000002E-2</v>
      </c>
      <c r="N685" s="105">
        <f t="shared" si="97"/>
        <v>2.1517241060000001</v>
      </c>
      <c r="O685" s="93">
        <f t="shared" si="98"/>
        <v>4.3408457060000005</v>
      </c>
      <c r="P685" s="92">
        <v>145</v>
      </c>
      <c r="Q685" s="92" t="s">
        <v>570</v>
      </c>
      <c r="R685" s="92" t="s">
        <v>55</v>
      </c>
      <c r="S685" s="20">
        <v>456.06700000000001</v>
      </c>
    </row>
    <row r="686" spans="1:19" x14ac:dyDescent="0.15">
      <c r="A686" s="90">
        <v>44650</v>
      </c>
      <c r="B686" s="90" t="str">
        <f t="shared" si="92"/>
        <v>mars</v>
      </c>
      <c r="C686" s="90" t="str">
        <f t="shared" si="93"/>
        <v>2022</v>
      </c>
      <c r="D686" s="90" t="str">
        <f t="shared" si="94"/>
        <v>mars2022</v>
      </c>
      <c r="E686" s="91" t="s">
        <v>631</v>
      </c>
      <c r="F686" s="91">
        <v>90</v>
      </c>
      <c r="G686" s="94">
        <f t="shared" si="95"/>
        <v>0.09</v>
      </c>
      <c r="H686" s="92" t="s">
        <v>46</v>
      </c>
      <c r="I686" s="96">
        <f t="shared" si="90"/>
        <v>0.3</v>
      </c>
      <c r="J686" s="96">
        <f t="shared" si="91"/>
        <v>0.7</v>
      </c>
      <c r="K686" s="92">
        <f>VLOOKUP(H686,'Taux émission CO2e'!$A$5:$D$16,4,FALSE)</f>
        <v>0.16</v>
      </c>
      <c r="L686" s="93">
        <f t="shared" si="96"/>
        <v>1.3684766399999999</v>
      </c>
      <c r="M686" s="92">
        <f>VLOOKUP(H686,'Taux émission CO2e'!$A$20:$D$31,4,FALSE)</f>
        <v>6.7400000000000002E-2</v>
      </c>
      <c r="N686" s="105">
        <f t="shared" si="97"/>
        <v>1.3450984973999998</v>
      </c>
      <c r="O686" s="93">
        <f t="shared" si="98"/>
        <v>2.7135751373999994</v>
      </c>
      <c r="P686" s="92">
        <v>150</v>
      </c>
      <c r="Q686" s="92" t="s">
        <v>58</v>
      </c>
      <c r="R686" s="92" t="s">
        <v>632</v>
      </c>
      <c r="S686" s="20">
        <v>316.77699999999999</v>
      </c>
    </row>
    <row r="687" spans="1:19" x14ac:dyDescent="0.15">
      <c r="A687" s="90">
        <v>44650</v>
      </c>
      <c r="B687" s="90" t="str">
        <f t="shared" si="92"/>
        <v>mars</v>
      </c>
      <c r="C687" s="90" t="str">
        <f t="shared" si="93"/>
        <v>2022</v>
      </c>
      <c r="D687" s="90" t="str">
        <f t="shared" si="94"/>
        <v>mars2022</v>
      </c>
      <c r="E687" s="91" t="s">
        <v>633</v>
      </c>
      <c r="F687" s="91">
        <v>200</v>
      </c>
      <c r="G687" s="94">
        <f t="shared" si="95"/>
        <v>0.2</v>
      </c>
      <c r="H687" s="92" t="s">
        <v>45</v>
      </c>
      <c r="I687" s="96">
        <f t="shared" si="90"/>
        <v>0.3</v>
      </c>
      <c r="J687" s="96">
        <f t="shared" si="91"/>
        <v>0.7</v>
      </c>
      <c r="K687" s="92">
        <f>VLOOKUP(H687,'Taux émission CO2e'!$A$5:$D$16,4,FALSE)</f>
        <v>0.16</v>
      </c>
      <c r="L687" s="93">
        <f t="shared" si="96"/>
        <v>2.6701920000000001</v>
      </c>
      <c r="M687" s="92">
        <f>VLOOKUP(H687,'Taux émission CO2e'!$A$20:$D$31,4,FALSE)</f>
        <v>6.7400000000000002E-2</v>
      </c>
      <c r="N687" s="105">
        <f t="shared" si="97"/>
        <v>2.6245762199999998</v>
      </c>
      <c r="O687" s="93">
        <f t="shared" si="98"/>
        <v>5.2947682199999999</v>
      </c>
      <c r="P687" s="92">
        <v>188</v>
      </c>
      <c r="Q687" s="92" t="s">
        <v>74</v>
      </c>
      <c r="R687" s="92" t="s">
        <v>55</v>
      </c>
      <c r="S687" s="20">
        <v>278.14499999999998</v>
      </c>
    </row>
    <row r="688" spans="1:19" x14ac:dyDescent="0.15">
      <c r="A688" s="90">
        <v>44650</v>
      </c>
      <c r="B688" s="90" t="str">
        <f t="shared" si="92"/>
        <v>mars</v>
      </c>
      <c r="C688" s="90" t="str">
        <f t="shared" si="93"/>
        <v>2022</v>
      </c>
      <c r="D688" s="90" t="str">
        <f t="shared" si="94"/>
        <v>mars2022</v>
      </c>
      <c r="E688" s="91" t="s">
        <v>634</v>
      </c>
      <c r="F688" s="91">
        <v>250</v>
      </c>
      <c r="G688" s="94">
        <f t="shared" si="95"/>
        <v>0.25</v>
      </c>
      <c r="H688" s="92" t="s">
        <v>45</v>
      </c>
      <c r="I688" s="96">
        <f t="shared" si="90"/>
        <v>0.3</v>
      </c>
      <c r="J688" s="96">
        <f t="shared" si="91"/>
        <v>0.7</v>
      </c>
      <c r="K688" s="92">
        <f>VLOOKUP(H688,'Taux émission CO2e'!$A$5:$D$16,4,FALSE)</f>
        <v>0.16</v>
      </c>
      <c r="L688" s="93">
        <f t="shared" si="96"/>
        <v>9.2057640000000003</v>
      </c>
      <c r="M688" s="92">
        <f>VLOOKUP(H688,'Taux émission CO2e'!$A$20:$D$31,4,FALSE)</f>
        <v>6.7400000000000002E-2</v>
      </c>
      <c r="N688" s="105">
        <f t="shared" si="97"/>
        <v>9.0484988650000009</v>
      </c>
      <c r="O688" s="93">
        <f t="shared" si="98"/>
        <v>18.254262865000001</v>
      </c>
      <c r="P688" s="92">
        <v>250</v>
      </c>
      <c r="Q688" s="92" t="s">
        <v>635</v>
      </c>
      <c r="R688" s="92" t="s">
        <v>55</v>
      </c>
      <c r="S688" s="20">
        <v>767.14700000000005</v>
      </c>
    </row>
    <row r="689" spans="1:19" x14ac:dyDescent="0.15">
      <c r="A689" s="90">
        <v>44650</v>
      </c>
      <c r="B689" s="90" t="str">
        <f t="shared" si="92"/>
        <v>mars</v>
      </c>
      <c r="C689" s="90" t="str">
        <f t="shared" si="93"/>
        <v>2022</v>
      </c>
      <c r="D689" s="90" t="str">
        <f t="shared" si="94"/>
        <v>mars2022</v>
      </c>
      <c r="E689" s="91" t="s">
        <v>636</v>
      </c>
      <c r="F689" s="92">
        <v>2000</v>
      </c>
      <c r="G689" s="94">
        <f t="shared" si="95"/>
        <v>2</v>
      </c>
      <c r="H689" s="92" t="s">
        <v>41</v>
      </c>
      <c r="I689" s="96">
        <f t="shared" si="90"/>
        <v>1</v>
      </c>
      <c r="J689" s="96">
        <f t="shared" si="91"/>
        <v>0</v>
      </c>
      <c r="K689" s="92">
        <f>VLOOKUP(H689,'Taux émission CO2e'!$A$5:$D$16,4,FALSE)</f>
        <v>0.16</v>
      </c>
      <c r="L689" s="93">
        <f t="shared" si="96"/>
        <v>17.523520000000001</v>
      </c>
      <c r="M689" s="92">
        <f>VLOOKUP(H689,'Taux émission CO2e'!$A$20:$D$31,4,FALSE)</f>
        <v>0</v>
      </c>
      <c r="N689" s="105">
        <f t="shared" si="97"/>
        <v>0</v>
      </c>
      <c r="O689" s="93">
        <f t="shared" si="98"/>
        <v>17.523520000000001</v>
      </c>
      <c r="P689" s="92">
        <v>280</v>
      </c>
      <c r="Q689" s="92" t="s">
        <v>56</v>
      </c>
      <c r="R689" s="92" t="s">
        <v>55</v>
      </c>
      <c r="S689" s="20">
        <v>54.761000000000003</v>
      </c>
    </row>
    <row r="690" spans="1:19" x14ac:dyDescent="0.15">
      <c r="A690" s="90">
        <v>44651</v>
      </c>
      <c r="B690" s="90" t="str">
        <f t="shared" si="92"/>
        <v>mars</v>
      </c>
      <c r="C690" s="90" t="str">
        <f t="shared" si="93"/>
        <v>2022</v>
      </c>
      <c r="D690" s="90" t="str">
        <f t="shared" si="94"/>
        <v>mars2022</v>
      </c>
      <c r="E690" s="91" t="s">
        <v>637</v>
      </c>
      <c r="F690" s="91">
        <v>150</v>
      </c>
      <c r="G690" s="94">
        <f t="shared" si="95"/>
        <v>0.15</v>
      </c>
      <c r="H690" s="92" t="s">
        <v>38</v>
      </c>
      <c r="I690" s="96">
        <f t="shared" si="90"/>
        <v>1</v>
      </c>
      <c r="J690" s="96">
        <f t="shared" si="91"/>
        <v>0</v>
      </c>
      <c r="K690" s="92">
        <f>VLOOKUP(H690,'Taux émission CO2e'!$A$5:$D$16,4,FALSE)</f>
        <v>0.24099999999999999</v>
      </c>
      <c r="L690" s="93">
        <f t="shared" si="96"/>
        <v>1.2287746499999999</v>
      </c>
      <c r="M690" s="92">
        <f>VLOOKUP(H690,'Taux émission CO2e'!$A$20:$D$31,4,FALSE)</f>
        <v>0</v>
      </c>
      <c r="N690" s="105">
        <f t="shared" si="97"/>
        <v>0</v>
      </c>
      <c r="O690" s="93">
        <f t="shared" si="98"/>
        <v>1.2287746499999999</v>
      </c>
      <c r="P690" s="92">
        <v>80</v>
      </c>
      <c r="Q690" s="92" t="s">
        <v>67</v>
      </c>
      <c r="R690" s="92" t="s">
        <v>55</v>
      </c>
      <c r="S690" s="20">
        <v>33.991</v>
      </c>
    </row>
    <row r="691" spans="1:19" x14ac:dyDescent="0.15">
      <c r="A691" s="90">
        <v>44651</v>
      </c>
      <c r="B691" s="90" t="str">
        <f t="shared" si="92"/>
        <v>mars</v>
      </c>
      <c r="C691" s="90" t="str">
        <f t="shared" si="93"/>
        <v>2022</v>
      </c>
      <c r="D691" s="90" t="str">
        <f t="shared" si="94"/>
        <v>mars2022</v>
      </c>
      <c r="E691" s="91" t="s">
        <v>638</v>
      </c>
      <c r="F691" s="91">
        <v>103</v>
      </c>
      <c r="G691" s="94">
        <f t="shared" si="95"/>
        <v>0.10299999999999999</v>
      </c>
      <c r="H691" s="92" t="s">
        <v>46</v>
      </c>
      <c r="I691" s="96">
        <f t="shared" si="90"/>
        <v>0.3</v>
      </c>
      <c r="J691" s="96">
        <f t="shared" si="91"/>
        <v>0.7</v>
      </c>
      <c r="K691" s="92">
        <f>VLOOKUP(H691,'Taux émission CO2e'!$A$5:$D$16,4,FALSE)</f>
        <v>0.16</v>
      </c>
      <c r="L691" s="93">
        <f t="shared" si="96"/>
        <v>1.8809695199999998</v>
      </c>
      <c r="M691" s="92">
        <f>VLOOKUP(H691,'Taux émission CO2e'!$A$20:$D$31,4,FALSE)</f>
        <v>6.7400000000000002E-2</v>
      </c>
      <c r="N691" s="105">
        <f t="shared" si="97"/>
        <v>1.8488362906999998</v>
      </c>
      <c r="O691" s="93">
        <f t="shared" si="98"/>
        <v>3.7298058106999994</v>
      </c>
      <c r="P691" s="92">
        <v>130</v>
      </c>
      <c r="Q691" s="92" t="s">
        <v>58</v>
      </c>
      <c r="R691" s="92" t="s">
        <v>83</v>
      </c>
      <c r="S691" s="20">
        <v>380.45499999999998</v>
      </c>
    </row>
    <row r="692" spans="1:19" x14ac:dyDescent="0.15">
      <c r="A692" s="90">
        <v>44651</v>
      </c>
      <c r="B692" s="90" t="str">
        <f t="shared" si="92"/>
        <v>mars</v>
      </c>
      <c r="C692" s="90" t="str">
        <f t="shared" si="93"/>
        <v>2022</v>
      </c>
      <c r="D692" s="90" t="str">
        <f t="shared" si="94"/>
        <v>mars2022</v>
      </c>
      <c r="E692" s="91" t="s">
        <v>639</v>
      </c>
      <c r="F692" s="91">
        <v>51</v>
      </c>
      <c r="G692" s="94">
        <f t="shared" si="95"/>
        <v>5.0999999999999997E-2</v>
      </c>
      <c r="H692" s="92" t="s">
        <v>46</v>
      </c>
      <c r="I692" s="96">
        <f t="shared" si="90"/>
        <v>0.3</v>
      </c>
      <c r="J692" s="96">
        <f t="shared" si="91"/>
        <v>0.7</v>
      </c>
      <c r="K692" s="92">
        <f>VLOOKUP(H692,'Taux émission CO2e'!$A$5:$D$16,4,FALSE)</f>
        <v>0.16</v>
      </c>
      <c r="L692" s="93">
        <f t="shared" si="96"/>
        <v>1.089976896</v>
      </c>
      <c r="M692" s="92">
        <f>VLOOKUP(H692,'Taux émission CO2e'!$A$20:$D$31,4,FALSE)</f>
        <v>6.7400000000000002E-2</v>
      </c>
      <c r="N692" s="105">
        <f t="shared" si="97"/>
        <v>1.0713564573600001</v>
      </c>
      <c r="O692" s="93">
        <f t="shared" si="98"/>
        <v>2.1613333533599999</v>
      </c>
      <c r="P692" s="92">
        <v>145</v>
      </c>
      <c r="Q692" s="92" t="s">
        <v>58</v>
      </c>
      <c r="R692" s="92" t="s">
        <v>640</v>
      </c>
      <c r="S692" s="20">
        <v>445.25200000000001</v>
      </c>
    </row>
    <row r="693" spans="1:19" x14ac:dyDescent="0.15">
      <c r="A693" s="90">
        <v>44651</v>
      </c>
      <c r="B693" s="90" t="str">
        <f t="shared" si="92"/>
        <v>mars</v>
      </c>
      <c r="C693" s="90" t="str">
        <f t="shared" si="93"/>
        <v>2022</v>
      </c>
      <c r="D693" s="90" t="str">
        <f t="shared" si="94"/>
        <v>mars2022</v>
      </c>
      <c r="E693" s="91" t="s">
        <v>641</v>
      </c>
      <c r="F693" s="91">
        <v>76</v>
      </c>
      <c r="G693" s="94">
        <f t="shared" si="95"/>
        <v>7.5999999999999998E-2</v>
      </c>
      <c r="H693" s="92" t="s">
        <v>46</v>
      </c>
      <c r="I693" s="96">
        <f t="shared" si="90"/>
        <v>0.3</v>
      </c>
      <c r="J693" s="96">
        <f t="shared" si="91"/>
        <v>0.7</v>
      </c>
      <c r="K693" s="92">
        <f>VLOOKUP(H693,'Taux émission CO2e'!$A$5:$D$16,4,FALSE)</f>
        <v>0.16</v>
      </c>
      <c r="L693" s="93">
        <f t="shared" si="96"/>
        <v>2.0988986880000002</v>
      </c>
      <c r="M693" s="92">
        <f>VLOOKUP(H693,'Taux émission CO2e'!$A$20:$D$31,4,FALSE)</f>
        <v>6.7400000000000002E-2</v>
      </c>
      <c r="N693" s="105">
        <f t="shared" si="97"/>
        <v>2.0630425020800001</v>
      </c>
      <c r="O693" s="93">
        <f t="shared" si="98"/>
        <v>4.1619411900800003</v>
      </c>
      <c r="P693" s="92">
        <v>155</v>
      </c>
      <c r="Q693" s="92" t="s">
        <v>58</v>
      </c>
      <c r="R693" s="92" t="s">
        <v>495</v>
      </c>
      <c r="S693" s="20">
        <v>575.35599999999999</v>
      </c>
    </row>
    <row r="694" spans="1:19" x14ac:dyDescent="0.15">
      <c r="A694" s="90">
        <v>44651</v>
      </c>
      <c r="B694" s="90" t="str">
        <f t="shared" si="92"/>
        <v>mars</v>
      </c>
      <c r="C694" s="90" t="str">
        <f t="shared" si="93"/>
        <v>2022</v>
      </c>
      <c r="D694" s="90" t="str">
        <f t="shared" si="94"/>
        <v>mars2022</v>
      </c>
      <c r="E694" s="91" t="s">
        <v>642</v>
      </c>
      <c r="F694" s="91">
        <v>150</v>
      </c>
      <c r="G694" s="94">
        <f t="shared" si="95"/>
        <v>0.15</v>
      </c>
      <c r="H694" s="92" t="s">
        <v>45</v>
      </c>
      <c r="I694" s="96">
        <f t="shared" si="90"/>
        <v>0.3</v>
      </c>
      <c r="J694" s="96">
        <f t="shared" si="91"/>
        <v>0.7</v>
      </c>
      <c r="K694" s="92">
        <f>VLOOKUP(H694,'Taux émission CO2e'!$A$5:$D$16,4,FALSE)</f>
        <v>0.16</v>
      </c>
      <c r="L694" s="93">
        <f t="shared" si="96"/>
        <v>1.8020015999999999</v>
      </c>
      <c r="M694" s="92">
        <f>VLOOKUP(H694,'Taux émission CO2e'!$A$20:$D$31,4,FALSE)</f>
        <v>6.7400000000000002E-2</v>
      </c>
      <c r="N694" s="105">
        <f t="shared" si="97"/>
        <v>1.7712174059999999</v>
      </c>
      <c r="O694" s="93">
        <f t="shared" si="98"/>
        <v>3.5732190059999995</v>
      </c>
      <c r="P694" s="92">
        <v>158</v>
      </c>
      <c r="Q694" s="92" t="s">
        <v>89</v>
      </c>
      <c r="R694" s="92" t="s">
        <v>55</v>
      </c>
      <c r="S694" s="20">
        <v>250.27799999999999</v>
      </c>
    </row>
    <row r="695" spans="1:19" x14ac:dyDescent="0.15">
      <c r="A695" s="90">
        <v>44651</v>
      </c>
      <c r="B695" s="90" t="str">
        <f t="shared" si="92"/>
        <v>mars</v>
      </c>
      <c r="C695" s="90" t="str">
        <f t="shared" si="93"/>
        <v>2022</v>
      </c>
      <c r="D695" s="90" t="str">
        <f t="shared" si="94"/>
        <v>mars2022</v>
      </c>
      <c r="E695" s="91" t="s">
        <v>643</v>
      </c>
      <c r="F695" s="91">
        <v>257</v>
      </c>
      <c r="G695" s="94">
        <f t="shared" si="95"/>
        <v>0.25700000000000001</v>
      </c>
      <c r="H695" s="92" t="s">
        <v>46</v>
      </c>
      <c r="I695" s="96">
        <f t="shared" si="90"/>
        <v>0.3</v>
      </c>
      <c r="J695" s="96">
        <f t="shared" si="91"/>
        <v>0.7</v>
      </c>
      <c r="K695" s="92">
        <f>VLOOKUP(H695,'Taux émission CO2e'!$A$5:$D$16,4,FALSE)</f>
        <v>0.16</v>
      </c>
      <c r="L695" s="93">
        <f t="shared" si="96"/>
        <v>3.2757631200000001</v>
      </c>
      <c r="M695" s="92">
        <f>VLOOKUP(H695,'Taux émission CO2e'!$A$20:$D$31,4,FALSE)</f>
        <v>6.7400000000000002E-2</v>
      </c>
      <c r="N695" s="105">
        <f t="shared" si="97"/>
        <v>3.2198021667000005</v>
      </c>
      <c r="O695" s="93">
        <f t="shared" si="98"/>
        <v>6.4955652867000007</v>
      </c>
      <c r="P695" s="92">
        <v>215</v>
      </c>
      <c r="Q695" s="92" t="s">
        <v>58</v>
      </c>
      <c r="R695" s="92" t="s">
        <v>71</v>
      </c>
      <c r="S695" s="20">
        <v>265.54500000000002</v>
      </c>
    </row>
    <row r="696" spans="1:19" x14ac:dyDescent="0.15">
      <c r="A696" s="90">
        <v>44651</v>
      </c>
      <c r="B696" s="90" t="str">
        <f t="shared" si="92"/>
        <v>mars</v>
      </c>
      <c r="C696" s="90" t="str">
        <f t="shared" si="93"/>
        <v>2022</v>
      </c>
      <c r="D696" s="90" t="str">
        <f t="shared" si="94"/>
        <v>mars2022</v>
      </c>
      <c r="E696" s="91" t="s">
        <v>644</v>
      </c>
      <c r="F696" s="91">
        <v>200</v>
      </c>
      <c r="G696" s="94">
        <f t="shared" si="95"/>
        <v>0.2</v>
      </c>
      <c r="H696" s="92" t="s">
        <v>46</v>
      </c>
      <c r="I696" s="96">
        <f t="shared" si="90"/>
        <v>0.3</v>
      </c>
      <c r="J696" s="96">
        <f t="shared" si="91"/>
        <v>0.7</v>
      </c>
      <c r="K696" s="92">
        <f>VLOOKUP(H696,'Taux émission CO2e'!$A$5:$D$16,4,FALSE)</f>
        <v>0.16</v>
      </c>
      <c r="L696" s="93">
        <f t="shared" si="96"/>
        <v>5.1986496000000004</v>
      </c>
      <c r="M696" s="92">
        <f>VLOOKUP(H696,'Taux émission CO2e'!$A$20:$D$31,4,FALSE)</f>
        <v>6.7400000000000002E-2</v>
      </c>
      <c r="N696" s="105">
        <f t="shared" si="97"/>
        <v>5.1098393359999994</v>
      </c>
      <c r="O696" s="93">
        <f t="shared" si="98"/>
        <v>10.308488936</v>
      </c>
      <c r="P696" s="92">
        <v>239</v>
      </c>
      <c r="Q696" s="92" t="s">
        <v>62</v>
      </c>
      <c r="R696" s="92" t="s">
        <v>55</v>
      </c>
      <c r="S696" s="20">
        <v>541.52599999999995</v>
      </c>
    </row>
    <row r="697" spans="1:19" x14ac:dyDescent="0.15">
      <c r="A697" s="90">
        <v>44651</v>
      </c>
      <c r="B697" s="90" t="str">
        <f t="shared" si="92"/>
        <v>mars</v>
      </c>
      <c r="C697" s="90" t="str">
        <f t="shared" si="93"/>
        <v>2022</v>
      </c>
      <c r="D697" s="90" t="str">
        <f t="shared" si="94"/>
        <v>mars2022</v>
      </c>
      <c r="E697" s="91" t="s">
        <v>645</v>
      </c>
      <c r="F697" s="91">
        <v>150</v>
      </c>
      <c r="G697" s="94">
        <f t="shared" si="95"/>
        <v>0.15</v>
      </c>
      <c r="H697" s="92" t="s">
        <v>45</v>
      </c>
      <c r="I697" s="96">
        <f t="shared" si="90"/>
        <v>0.3</v>
      </c>
      <c r="J697" s="96">
        <f t="shared" si="91"/>
        <v>0.7</v>
      </c>
      <c r="K697" s="92">
        <f>VLOOKUP(H697,'Taux émission CO2e'!$A$5:$D$16,4,FALSE)</f>
        <v>0.16</v>
      </c>
      <c r="L697" s="93">
        <f t="shared" si="96"/>
        <v>3.7186128000000003</v>
      </c>
      <c r="M697" s="92">
        <f>VLOOKUP(H697,'Taux émission CO2e'!$A$20:$D$31,4,FALSE)</f>
        <v>6.7400000000000002E-2</v>
      </c>
      <c r="N697" s="105">
        <f t="shared" si="97"/>
        <v>3.6550864980000002</v>
      </c>
      <c r="O697" s="93">
        <f t="shared" si="98"/>
        <v>7.373699298</v>
      </c>
      <c r="P697" s="92">
        <v>253</v>
      </c>
      <c r="Q697" s="92" t="s">
        <v>52</v>
      </c>
      <c r="R697" s="92" t="s">
        <v>55</v>
      </c>
      <c r="S697" s="20">
        <v>516.47400000000005</v>
      </c>
    </row>
    <row r="698" spans="1:19" x14ac:dyDescent="0.15">
      <c r="A698" s="90">
        <v>44651</v>
      </c>
      <c r="B698" s="90" t="str">
        <f t="shared" si="92"/>
        <v>mars</v>
      </c>
      <c r="C698" s="90" t="str">
        <f t="shared" si="93"/>
        <v>2022</v>
      </c>
      <c r="D698" s="90" t="str">
        <f t="shared" si="94"/>
        <v>mars2022</v>
      </c>
      <c r="E698" s="91" t="s">
        <v>646</v>
      </c>
      <c r="F698" s="91">
        <v>400</v>
      </c>
      <c r="G698" s="94">
        <f t="shared" si="95"/>
        <v>0.4</v>
      </c>
      <c r="H698" s="92" t="s">
        <v>45</v>
      </c>
      <c r="I698" s="96">
        <f t="shared" si="90"/>
        <v>0.3</v>
      </c>
      <c r="J698" s="96">
        <f t="shared" si="91"/>
        <v>0.7</v>
      </c>
      <c r="K698" s="92">
        <f>VLOOKUP(H698,'Taux émission CO2e'!$A$5:$D$16,4,FALSE)</f>
        <v>0.16</v>
      </c>
      <c r="L698" s="93">
        <f t="shared" si="96"/>
        <v>14.729222400000003</v>
      </c>
      <c r="M698" s="92">
        <f>VLOOKUP(H698,'Taux émission CO2e'!$A$20:$D$31,4,FALSE)</f>
        <v>6.7400000000000002E-2</v>
      </c>
      <c r="N698" s="105">
        <f t="shared" si="97"/>
        <v>14.477598184000001</v>
      </c>
      <c r="O698" s="93">
        <f t="shared" si="98"/>
        <v>29.206820584000006</v>
      </c>
      <c r="P698" s="92">
        <v>300</v>
      </c>
      <c r="Q698" s="92" t="s">
        <v>635</v>
      </c>
      <c r="R698" s="92" t="s">
        <v>55</v>
      </c>
      <c r="S698" s="20">
        <v>767.14700000000005</v>
      </c>
    </row>
    <row r="699" spans="1:19" x14ac:dyDescent="0.15">
      <c r="A699" s="90">
        <v>44652</v>
      </c>
      <c r="B699" s="90" t="str">
        <f t="shared" si="92"/>
        <v>avril</v>
      </c>
      <c r="C699" s="90" t="str">
        <f t="shared" si="93"/>
        <v>2022</v>
      </c>
      <c r="D699" s="90" t="str">
        <f t="shared" si="94"/>
        <v>avril2022</v>
      </c>
      <c r="E699" s="91" t="s">
        <v>647</v>
      </c>
      <c r="F699" s="91">
        <v>216</v>
      </c>
      <c r="G699" s="94">
        <f t="shared" si="95"/>
        <v>0.216</v>
      </c>
      <c r="H699" s="92" t="s">
        <v>38</v>
      </c>
      <c r="I699" s="96">
        <f t="shared" si="90"/>
        <v>1</v>
      </c>
      <c r="J699" s="96">
        <f t="shared" si="91"/>
        <v>0</v>
      </c>
      <c r="K699" s="92">
        <f>VLOOKUP(H699,'Taux émission CO2e'!$A$5:$D$16,4,FALSE)</f>
        <v>0.24099999999999999</v>
      </c>
      <c r="L699" s="93">
        <f t="shared" si="96"/>
        <v>1.7743808159999999</v>
      </c>
      <c r="M699" s="92">
        <f>VLOOKUP(H699,'Taux émission CO2e'!$A$20:$D$31,4,FALSE)</f>
        <v>0</v>
      </c>
      <c r="N699" s="105">
        <f t="shared" si="97"/>
        <v>0</v>
      </c>
      <c r="O699" s="93">
        <f t="shared" si="98"/>
        <v>1.7743808159999999</v>
      </c>
      <c r="P699" s="92">
        <v>100</v>
      </c>
      <c r="Q699" s="92" t="s">
        <v>58</v>
      </c>
      <c r="R699" s="92" t="s">
        <v>98</v>
      </c>
      <c r="S699" s="20">
        <v>34.085999999999999</v>
      </c>
    </row>
    <row r="700" spans="1:19" x14ac:dyDescent="0.15">
      <c r="A700" s="90">
        <v>44652</v>
      </c>
      <c r="B700" s="90" t="str">
        <f t="shared" si="92"/>
        <v>avril</v>
      </c>
      <c r="C700" s="90" t="str">
        <f t="shared" si="93"/>
        <v>2022</v>
      </c>
      <c r="D700" s="90" t="str">
        <f t="shared" si="94"/>
        <v>avril2022</v>
      </c>
      <c r="E700" s="91" t="s">
        <v>648</v>
      </c>
      <c r="F700" s="91">
        <v>102</v>
      </c>
      <c r="G700" s="94">
        <f t="shared" si="95"/>
        <v>0.10199999999999999</v>
      </c>
      <c r="H700" s="92" t="s">
        <v>46</v>
      </c>
      <c r="I700" s="96">
        <f t="shared" si="90"/>
        <v>0.3</v>
      </c>
      <c r="J700" s="96">
        <f t="shared" si="91"/>
        <v>0.7</v>
      </c>
      <c r="K700" s="92">
        <f>VLOOKUP(H700,'Taux émission CO2e'!$A$5:$D$16,4,FALSE)</f>
        <v>0.16</v>
      </c>
      <c r="L700" s="93">
        <f t="shared" si="96"/>
        <v>2.0254164480000001</v>
      </c>
      <c r="M700" s="92">
        <f>VLOOKUP(H700,'Taux émission CO2e'!$A$20:$D$31,4,FALSE)</f>
        <v>6.7400000000000002E-2</v>
      </c>
      <c r="N700" s="105">
        <f t="shared" si="97"/>
        <v>1.9908155836799999</v>
      </c>
      <c r="O700" s="93">
        <f t="shared" si="98"/>
        <v>4.0162320316799995</v>
      </c>
      <c r="P700" s="92">
        <v>126.6</v>
      </c>
      <c r="Q700" s="92" t="s">
        <v>58</v>
      </c>
      <c r="R700" s="92" t="s">
        <v>81</v>
      </c>
      <c r="S700" s="20">
        <v>413.68799999999999</v>
      </c>
    </row>
    <row r="701" spans="1:19" x14ac:dyDescent="0.15">
      <c r="A701" s="90">
        <v>44652</v>
      </c>
      <c r="B701" s="90" t="str">
        <f t="shared" si="92"/>
        <v>avril</v>
      </c>
      <c r="C701" s="90" t="str">
        <f t="shared" si="93"/>
        <v>2022</v>
      </c>
      <c r="D701" s="90" t="str">
        <f t="shared" si="94"/>
        <v>avril2022</v>
      </c>
      <c r="E701" s="91" t="s">
        <v>649</v>
      </c>
      <c r="F701" s="91">
        <v>160</v>
      </c>
      <c r="G701" s="94">
        <f t="shared" si="95"/>
        <v>0.16</v>
      </c>
      <c r="H701" s="92" t="s">
        <v>46</v>
      </c>
      <c r="I701" s="96">
        <f t="shared" si="90"/>
        <v>0.3</v>
      </c>
      <c r="J701" s="96">
        <f t="shared" si="91"/>
        <v>0.7</v>
      </c>
      <c r="K701" s="92">
        <f>VLOOKUP(H701,'Taux émission CO2e'!$A$5:$D$16,4,FALSE)</f>
        <v>0.16</v>
      </c>
      <c r="L701" s="93">
        <f t="shared" si="96"/>
        <v>3.4267468800000001</v>
      </c>
      <c r="M701" s="92">
        <f>VLOOKUP(H701,'Taux émission CO2e'!$A$20:$D$31,4,FALSE)</f>
        <v>6.7400000000000002E-2</v>
      </c>
      <c r="N701" s="105">
        <f t="shared" si="97"/>
        <v>3.3682066208000001</v>
      </c>
      <c r="O701" s="93">
        <f t="shared" si="98"/>
        <v>6.7949535008000002</v>
      </c>
      <c r="P701" s="92">
        <v>130</v>
      </c>
      <c r="Q701" s="92" t="s">
        <v>58</v>
      </c>
      <c r="R701" s="92" t="s">
        <v>529</v>
      </c>
      <c r="S701" s="20">
        <v>446.19099999999997</v>
      </c>
    </row>
    <row r="702" spans="1:19" x14ac:dyDescent="0.15">
      <c r="A702" s="90">
        <v>44652</v>
      </c>
      <c r="B702" s="90" t="str">
        <f t="shared" si="92"/>
        <v>avril</v>
      </c>
      <c r="C702" s="90" t="str">
        <f t="shared" si="93"/>
        <v>2022</v>
      </c>
      <c r="D702" s="90" t="str">
        <f t="shared" si="94"/>
        <v>avril2022</v>
      </c>
      <c r="E702" s="91" t="s">
        <v>650</v>
      </c>
      <c r="F702" s="91">
        <v>200</v>
      </c>
      <c r="G702" s="94">
        <f t="shared" si="95"/>
        <v>0.2</v>
      </c>
      <c r="H702" s="92" t="s">
        <v>46</v>
      </c>
      <c r="I702" s="96">
        <f t="shared" si="90"/>
        <v>0.3</v>
      </c>
      <c r="J702" s="96">
        <f t="shared" si="91"/>
        <v>0.7</v>
      </c>
      <c r="K702" s="92">
        <f>VLOOKUP(H702,'Taux émission CO2e'!$A$5:$D$16,4,FALSE)</f>
        <v>0.16</v>
      </c>
      <c r="L702" s="93">
        <f t="shared" si="96"/>
        <v>5.1745344000000006</v>
      </c>
      <c r="M702" s="92">
        <f>VLOOKUP(H702,'Taux émission CO2e'!$A$20:$D$31,4,FALSE)</f>
        <v>6.7400000000000002E-2</v>
      </c>
      <c r="N702" s="105">
        <f t="shared" si="97"/>
        <v>5.0861361040000004</v>
      </c>
      <c r="O702" s="93">
        <f t="shared" si="98"/>
        <v>10.260670504</v>
      </c>
      <c r="P702" s="92">
        <v>133</v>
      </c>
      <c r="Q702" s="92" t="s">
        <v>58</v>
      </c>
      <c r="R702" s="92" t="s">
        <v>405</v>
      </c>
      <c r="S702" s="20">
        <v>539.01400000000001</v>
      </c>
    </row>
    <row r="703" spans="1:19" x14ac:dyDescent="0.15">
      <c r="A703" s="90">
        <v>44652</v>
      </c>
      <c r="B703" s="90" t="str">
        <f t="shared" si="92"/>
        <v>avril</v>
      </c>
      <c r="C703" s="90" t="str">
        <f t="shared" si="93"/>
        <v>2022</v>
      </c>
      <c r="D703" s="90" t="str">
        <f t="shared" si="94"/>
        <v>avril2022</v>
      </c>
      <c r="E703" s="91" t="s">
        <v>651</v>
      </c>
      <c r="F703" s="91">
        <v>300</v>
      </c>
      <c r="G703" s="94">
        <f t="shared" si="95"/>
        <v>0.3</v>
      </c>
      <c r="H703" s="92" t="s">
        <v>45</v>
      </c>
      <c r="I703" s="96">
        <f t="shared" si="90"/>
        <v>0.3</v>
      </c>
      <c r="J703" s="96">
        <f t="shared" si="91"/>
        <v>0.7</v>
      </c>
      <c r="K703" s="92">
        <f>VLOOKUP(H703,'Taux émission CO2e'!$A$5:$D$16,4,FALSE)</f>
        <v>0.16</v>
      </c>
      <c r="L703" s="93">
        <f t="shared" si="96"/>
        <v>4.0103568000000003</v>
      </c>
      <c r="M703" s="92">
        <f>VLOOKUP(H703,'Taux émission CO2e'!$A$20:$D$31,4,FALSE)</f>
        <v>6.7400000000000002E-2</v>
      </c>
      <c r="N703" s="105">
        <f t="shared" si="97"/>
        <v>3.9418465380000001</v>
      </c>
      <c r="O703" s="93">
        <f t="shared" si="98"/>
        <v>7.9522033380000003</v>
      </c>
      <c r="P703" s="92">
        <v>158</v>
      </c>
      <c r="Q703" s="92" t="s">
        <v>90</v>
      </c>
      <c r="R703" s="92" t="s">
        <v>55</v>
      </c>
      <c r="S703" s="20">
        <v>278.49700000000001</v>
      </c>
    </row>
    <row r="704" spans="1:19" x14ac:dyDescent="0.15">
      <c r="A704" s="90">
        <v>44652</v>
      </c>
      <c r="B704" s="90" t="str">
        <f t="shared" si="92"/>
        <v>avril</v>
      </c>
      <c r="C704" s="90" t="str">
        <f t="shared" si="93"/>
        <v>2022</v>
      </c>
      <c r="D704" s="90" t="str">
        <f t="shared" si="94"/>
        <v>avril2022</v>
      </c>
      <c r="E704" s="91" t="s">
        <v>652</v>
      </c>
      <c r="F704" s="91">
        <v>41</v>
      </c>
      <c r="G704" s="94">
        <f t="shared" si="95"/>
        <v>4.1000000000000002E-2</v>
      </c>
      <c r="H704" s="92" t="s">
        <v>46</v>
      </c>
      <c r="I704" s="96">
        <f t="shared" si="90"/>
        <v>0.3</v>
      </c>
      <c r="J704" s="96">
        <f t="shared" si="91"/>
        <v>0.7</v>
      </c>
      <c r="K704" s="92">
        <f>VLOOKUP(H704,'Taux émission CO2e'!$A$5:$D$16,4,FALSE)</f>
        <v>0.16</v>
      </c>
      <c r="L704" s="93">
        <f t="shared" si="96"/>
        <v>1.4870877120000001</v>
      </c>
      <c r="M704" s="92">
        <f>VLOOKUP(H704,'Taux émission CO2e'!$A$20:$D$31,4,FALSE)</f>
        <v>6.7400000000000002E-2</v>
      </c>
      <c r="N704" s="105">
        <f t="shared" si="97"/>
        <v>1.46168329692</v>
      </c>
      <c r="O704" s="93">
        <f t="shared" si="98"/>
        <v>2.9487710089200001</v>
      </c>
      <c r="P704" s="92">
        <v>168</v>
      </c>
      <c r="Q704" s="92" t="s">
        <v>58</v>
      </c>
      <c r="R704" s="92" t="s">
        <v>108</v>
      </c>
      <c r="S704" s="20">
        <v>755.63400000000001</v>
      </c>
    </row>
    <row r="705" spans="1:19" x14ac:dyDescent="0.15">
      <c r="A705" s="90">
        <v>44652</v>
      </c>
      <c r="B705" s="90" t="str">
        <f t="shared" si="92"/>
        <v>avril</v>
      </c>
      <c r="C705" s="90" t="str">
        <f t="shared" si="93"/>
        <v>2022</v>
      </c>
      <c r="D705" s="90" t="str">
        <f t="shared" si="94"/>
        <v>avril2022</v>
      </c>
      <c r="E705" s="91" t="s">
        <v>653</v>
      </c>
      <c r="F705" s="91">
        <v>300</v>
      </c>
      <c r="G705" s="94">
        <f t="shared" si="95"/>
        <v>0.3</v>
      </c>
      <c r="H705" s="92" t="s">
        <v>46</v>
      </c>
      <c r="I705" s="96">
        <f t="shared" si="90"/>
        <v>0.3</v>
      </c>
      <c r="J705" s="96">
        <f t="shared" si="91"/>
        <v>0.7</v>
      </c>
      <c r="K705" s="92">
        <f>VLOOKUP(H705,'Taux émission CO2e'!$A$5:$D$16,4,FALSE)</f>
        <v>0.16</v>
      </c>
      <c r="L705" s="93">
        <f t="shared" si="96"/>
        <v>3.7158191999999999</v>
      </c>
      <c r="M705" s="92">
        <f>VLOOKUP(H705,'Taux émission CO2e'!$A$20:$D$31,4,FALSE)</f>
        <v>6.7400000000000002E-2</v>
      </c>
      <c r="N705" s="105">
        <f t="shared" si="97"/>
        <v>3.6523406220000001</v>
      </c>
      <c r="O705" s="93">
        <f t="shared" si="98"/>
        <v>7.368159822</v>
      </c>
      <c r="P705" s="92">
        <v>178</v>
      </c>
      <c r="Q705" s="92" t="s">
        <v>102</v>
      </c>
      <c r="R705" s="92" t="s">
        <v>55</v>
      </c>
      <c r="S705" s="20">
        <v>258.04300000000001</v>
      </c>
    </row>
    <row r="706" spans="1:19" x14ac:dyDescent="0.15">
      <c r="A706" s="90">
        <v>44652</v>
      </c>
      <c r="B706" s="90" t="str">
        <f t="shared" si="92"/>
        <v>avril</v>
      </c>
      <c r="C706" s="90" t="str">
        <f t="shared" si="93"/>
        <v>2022</v>
      </c>
      <c r="D706" s="90" t="str">
        <f t="shared" si="94"/>
        <v>avril2022</v>
      </c>
      <c r="E706" s="91" t="s">
        <v>654</v>
      </c>
      <c r="F706" s="91">
        <v>380</v>
      </c>
      <c r="G706" s="94">
        <f t="shared" si="95"/>
        <v>0.38</v>
      </c>
      <c r="H706" s="92" t="s">
        <v>46</v>
      </c>
      <c r="I706" s="96">
        <f t="shared" ref="I706:I769" si="99">VLOOKUP(H706,Segment1,2,FALSE)</f>
        <v>0.3</v>
      </c>
      <c r="J706" s="96">
        <f t="shared" ref="J706:J769" si="100">VLOOKUP(H706,Segment2,2,FALSE)</f>
        <v>0.7</v>
      </c>
      <c r="K706" s="92">
        <f>VLOOKUP(H706,'Taux émission CO2e'!$A$5:$D$16,4,FALSE)</f>
        <v>0.16</v>
      </c>
      <c r="L706" s="93">
        <f t="shared" si="96"/>
        <v>4.5380572799999994</v>
      </c>
      <c r="M706" s="92">
        <f>VLOOKUP(H706,'Taux émission CO2e'!$A$20:$D$31,4,FALSE)</f>
        <v>6.7400000000000002E-2</v>
      </c>
      <c r="N706" s="105">
        <f t="shared" si="97"/>
        <v>4.4605321348000002</v>
      </c>
      <c r="O706" s="93">
        <f t="shared" si="98"/>
        <v>8.9985894147999996</v>
      </c>
      <c r="P706" s="92">
        <v>178</v>
      </c>
      <c r="Q706" s="92" t="s">
        <v>58</v>
      </c>
      <c r="R706" s="92" t="s">
        <v>82</v>
      </c>
      <c r="S706" s="20">
        <v>248.797</v>
      </c>
    </row>
    <row r="707" spans="1:19" x14ac:dyDescent="0.15">
      <c r="A707" s="90">
        <v>44652</v>
      </c>
      <c r="B707" s="90" t="str">
        <f t="shared" ref="B707:B770" si="101">TEXT(A707,"mmmm")</f>
        <v>avril</v>
      </c>
      <c r="C707" s="90" t="str">
        <f t="shared" ref="C707:C770" si="102">TEXT(A707,"aaaa")</f>
        <v>2022</v>
      </c>
      <c r="D707" s="90" t="str">
        <f t="shared" ref="D707:D770" si="103">B707&amp;C707</f>
        <v>avril2022</v>
      </c>
      <c r="E707" s="91" t="s">
        <v>655</v>
      </c>
      <c r="F707" s="91">
        <v>39</v>
      </c>
      <c r="G707" s="94">
        <f t="shared" ref="G707:G770" si="104">F707/1000</f>
        <v>3.9E-2</v>
      </c>
      <c r="H707" s="92" t="s">
        <v>46</v>
      </c>
      <c r="I707" s="96">
        <f t="shared" si="99"/>
        <v>0.3</v>
      </c>
      <c r="J707" s="96">
        <f t="shared" si="100"/>
        <v>0.7</v>
      </c>
      <c r="K707" s="92">
        <f>VLOOKUP(H707,'Taux émission CO2e'!$A$5:$D$16,4,FALSE)</f>
        <v>0.16</v>
      </c>
      <c r="L707" s="93">
        <f t="shared" ref="L707:L770" si="105">IFERROR(I707*K707*G707*S707,"0")</f>
        <v>1.6554095999999998</v>
      </c>
      <c r="M707" s="92">
        <f>VLOOKUP(H707,'Taux émission CO2e'!$A$20:$D$31,4,FALSE)</f>
        <v>6.7400000000000002E-2</v>
      </c>
      <c r="N707" s="105">
        <f t="shared" ref="N707:N770" si="106">IFERROR(J707*M707*G707*S707,"0")</f>
        <v>1.627129686</v>
      </c>
      <c r="O707" s="93">
        <f t="shared" ref="O707:O770" si="107">L707+N707</f>
        <v>3.2825392859999996</v>
      </c>
      <c r="P707" s="92">
        <v>196</v>
      </c>
      <c r="Q707" s="92" t="s">
        <v>58</v>
      </c>
      <c r="R707" s="92" t="s">
        <v>656</v>
      </c>
      <c r="S707" s="20">
        <v>884.3</v>
      </c>
    </row>
    <row r="708" spans="1:19" x14ac:dyDescent="0.15">
      <c r="A708" s="90">
        <v>44652</v>
      </c>
      <c r="B708" s="90" t="str">
        <f t="shared" si="101"/>
        <v>avril</v>
      </c>
      <c r="C708" s="90" t="str">
        <f t="shared" si="102"/>
        <v>2022</v>
      </c>
      <c r="D708" s="90" t="str">
        <f t="shared" si="103"/>
        <v>avril2022</v>
      </c>
      <c r="E708" s="91" t="s">
        <v>657</v>
      </c>
      <c r="F708" s="91">
        <v>450</v>
      </c>
      <c r="G708" s="94">
        <f t="shared" si="104"/>
        <v>0.45</v>
      </c>
      <c r="H708" s="92" t="s">
        <v>45</v>
      </c>
      <c r="I708" s="96">
        <f t="shared" si="99"/>
        <v>0.3</v>
      </c>
      <c r="J708" s="96">
        <f t="shared" si="100"/>
        <v>0.7</v>
      </c>
      <c r="K708" s="92">
        <f>VLOOKUP(H708,'Taux émission CO2e'!$A$5:$D$16,4,FALSE)</f>
        <v>0.16</v>
      </c>
      <c r="L708" s="93">
        <f t="shared" si="105"/>
        <v>5.4060047999999998</v>
      </c>
      <c r="M708" s="92">
        <f>VLOOKUP(H708,'Taux émission CO2e'!$A$20:$D$31,4,FALSE)</f>
        <v>6.7400000000000002E-2</v>
      </c>
      <c r="N708" s="105">
        <f t="shared" si="106"/>
        <v>5.3136522179999996</v>
      </c>
      <c r="O708" s="93">
        <f t="shared" si="107"/>
        <v>10.719657017999999</v>
      </c>
      <c r="P708" s="92">
        <v>250</v>
      </c>
      <c r="Q708" s="92" t="s">
        <v>89</v>
      </c>
      <c r="R708" s="92" t="s">
        <v>55</v>
      </c>
      <c r="S708" s="20">
        <v>250.27799999999999</v>
      </c>
    </row>
    <row r="709" spans="1:19" x14ac:dyDescent="0.15">
      <c r="A709" s="90">
        <v>44652</v>
      </c>
      <c r="B709" s="90" t="str">
        <f t="shared" si="101"/>
        <v>avril</v>
      </c>
      <c r="C709" s="90" t="str">
        <f t="shared" si="102"/>
        <v>2022</v>
      </c>
      <c r="D709" s="90" t="str">
        <f t="shared" si="103"/>
        <v>avril2022</v>
      </c>
      <c r="E709" s="91" t="s">
        <v>658</v>
      </c>
      <c r="F709" s="91">
        <v>300</v>
      </c>
      <c r="G709" s="94">
        <f t="shared" si="104"/>
        <v>0.3</v>
      </c>
      <c r="H709" s="92" t="s">
        <v>46</v>
      </c>
      <c r="I709" s="96">
        <f t="shared" si="99"/>
        <v>0.3</v>
      </c>
      <c r="J709" s="96">
        <f t="shared" si="100"/>
        <v>0.7</v>
      </c>
      <c r="K709" s="92">
        <f>VLOOKUP(H709,'Taux émission CO2e'!$A$5:$D$16,4,FALSE)</f>
        <v>0.16</v>
      </c>
      <c r="L709" s="93">
        <f t="shared" si="105"/>
        <v>6.6025007999999996</v>
      </c>
      <c r="M709" s="92">
        <f>VLOOKUP(H709,'Taux émission CO2e'!$A$20:$D$31,4,FALSE)</f>
        <v>6.7400000000000002E-2</v>
      </c>
      <c r="N709" s="105">
        <f t="shared" si="106"/>
        <v>6.4897080779999996</v>
      </c>
      <c r="O709" s="93">
        <f t="shared" si="107"/>
        <v>13.092208877999999</v>
      </c>
      <c r="P709" s="92">
        <v>280</v>
      </c>
      <c r="Q709" s="92" t="s">
        <v>58</v>
      </c>
      <c r="R709" s="92" t="s">
        <v>427</v>
      </c>
      <c r="S709" s="20">
        <v>458.50700000000001</v>
      </c>
    </row>
    <row r="710" spans="1:19" x14ac:dyDescent="0.15">
      <c r="A710" s="90">
        <v>44652</v>
      </c>
      <c r="B710" s="90" t="str">
        <f t="shared" si="101"/>
        <v>avril</v>
      </c>
      <c r="C710" s="90" t="str">
        <f t="shared" si="102"/>
        <v>2022</v>
      </c>
      <c r="D710" s="90" t="str">
        <f t="shared" si="103"/>
        <v>avril2022</v>
      </c>
      <c r="E710" s="91" t="s">
        <v>659</v>
      </c>
      <c r="F710" s="91">
        <v>600</v>
      </c>
      <c r="G710" s="94">
        <f t="shared" si="104"/>
        <v>0.6</v>
      </c>
      <c r="H710" s="92" t="s">
        <v>46</v>
      </c>
      <c r="I710" s="96">
        <f t="shared" si="99"/>
        <v>0.3</v>
      </c>
      <c r="J710" s="96">
        <f t="shared" si="100"/>
        <v>0.7</v>
      </c>
      <c r="K710" s="92">
        <f>VLOOKUP(H710,'Taux émission CO2e'!$A$5:$D$16,4,FALSE)</f>
        <v>0.16</v>
      </c>
      <c r="L710" s="93">
        <f t="shared" si="105"/>
        <v>6.3938015999999998</v>
      </c>
      <c r="M710" s="92">
        <f>VLOOKUP(H710,'Taux émission CO2e'!$A$20:$D$31,4,FALSE)</f>
        <v>6.7400000000000002E-2</v>
      </c>
      <c r="N710" s="105">
        <f t="shared" si="106"/>
        <v>6.2845741559999997</v>
      </c>
      <c r="O710" s="93">
        <f t="shared" si="107"/>
        <v>12.678375755999999</v>
      </c>
      <c r="P710" s="92">
        <v>360</v>
      </c>
      <c r="Q710" s="92" t="s">
        <v>58</v>
      </c>
      <c r="R710" s="92" t="s">
        <v>660</v>
      </c>
      <c r="S710" s="20">
        <v>222.00700000000001</v>
      </c>
    </row>
    <row r="711" spans="1:19" x14ac:dyDescent="0.15">
      <c r="A711" s="90">
        <v>44652</v>
      </c>
      <c r="B711" s="90" t="str">
        <f t="shared" si="101"/>
        <v>avril</v>
      </c>
      <c r="C711" s="90" t="str">
        <f t="shared" si="102"/>
        <v>2022</v>
      </c>
      <c r="D711" s="90" t="str">
        <f t="shared" si="103"/>
        <v>avril2022</v>
      </c>
      <c r="E711" s="91" t="s">
        <v>661</v>
      </c>
      <c r="F711" s="92">
        <v>2200</v>
      </c>
      <c r="G711" s="94">
        <f t="shared" si="104"/>
        <v>2.2000000000000002</v>
      </c>
      <c r="H711" s="92" t="s">
        <v>43</v>
      </c>
      <c r="I711" s="96">
        <f t="shared" si="99"/>
        <v>1</v>
      </c>
      <c r="J711" s="96">
        <f t="shared" si="100"/>
        <v>0</v>
      </c>
      <c r="K711" s="92">
        <f>VLOOKUP(H711,'Taux émission CO2e'!$A$5:$D$16,4,FALSE)</f>
        <v>0.16</v>
      </c>
      <c r="L711" s="93">
        <f t="shared" si="105"/>
        <v>87.134432000000004</v>
      </c>
      <c r="M711" s="92">
        <f>VLOOKUP(H711,'Taux émission CO2e'!$A$20:$D$31,4,FALSE)</f>
        <v>0</v>
      </c>
      <c r="N711" s="105">
        <f t="shared" si="106"/>
        <v>0</v>
      </c>
      <c r="O711" s="93">
        <f t="shared" si="107"/>
        <v>87.134432000000004</v>
      </c>
      <c r="P711" s="92">
        <v>525</v>
      </c>
      <c r="Q711" s="92" t="s">
        <v>109</v>
      </c>
      <c r="R711" s="92" t="s">
        <v>55</v>
      </c>
      <c r="S711" s="20">
        <v>247.541</v>
      </c>
    </row>
    <row r="712" spans="1:19" x14ac:dyDescent="0.15">
      <c r="A712" s="90">
        <v>44655</v>
      </c>
      <c r="B712" s="90" t="str">
        <f t="shared" si="101"/>
        <v>avril</v>
      </c>
      <c r="C712" s="90" t="str">
        <f t="shared" si="102"/>
        <v>2022</v>
      </c>
      <c r="D712" s="90" t="str">
        <f t="shared" si="103"/>
        <v>avril2022</v>
      </c>
      <c r="E712" s="91" t="s">
        <v>662</v>
      </c>
      <c r="F712" s="91">
        <v>150</v>
      </c>
      <c r="G712" s="94">
        <f t="shared" si="104"/>
        <v>0.15</v>
      </c>
      <c r="H712" s="92" t="s">
        <v>38</v>
      </c>
      <c r="I712" s="96">
        <f t="shared" si="99"/>
        <v>1</v>
      </c>
      <c r="J712" s="96">
        <f t="shared" si="100"/>
        <v>0</v>
      </c>
      <c r="K712" s="92">
        <f>VLOOKUP(H712,'Taux émission CO2e'!$A$5:$D$16,4,FALSE)</f>
        <v>0.24099999999999999</v>
      </c>
      <c r="L712" s="93">
        <f t="shared" si="105"/>
        <v>1.2287746499999999</v>
      </c>
      <c r="M712" s="92">
        <f>VLOOKUP(H712,'Taux émission CO2e'!$A$20:$D$31,4,FALSE)</f>
        <v>0</v>
      </c>
      <c r="N712" s="105">
        <f t="shared" si="106"/>
        <v>0</v>
      </c>
      <c r="O712" s="93">
        <f t="shared" si="107"/>
        <v>1.2287746499999999</v>
      </c>
      <c r="P712" s="92">
        <v>80</v>
      </c>
      <c r="Q712" s="92" t="s">
        <v>67</v>
      </c>
      <c r="R712" s="92" t="s">
        <v>55</v>
      </c>
      <c r="S712" s="20">
        <v>33.991</v>
      </c>
    </row>
    <row r="713" spans="1:19" x14ac:dyDescent="0.15">
      <c r="A713" s="90">
        <v>44655</v>
      </c>
      <c r="B713" s="90" t="str">
        <f t="shared" si="101"/>
        <v>avril</v>
      </c>
      <c r="C713" s="90" t="str">
        <f t="shared" si="102"/>
        <v>2022</v>
      </c>
      <c r="D713" s="90" t="str">
        <f t="shared" si="103"/>
        <v>avril2022</v>
      </c>
      <c r="E713" s="91" t="s">
        <v>663</v>
      </c>
      <c r="F713" s="91">
        <v>150</v>
      </c>
      <c r="G713" s="94">
        <f t="shared" si="104"/>
        <v>0.15</v>
      </c>
      <c r="H713" s="92" t="s">
        <v>38</v>
      </c>
      <c r="I713" s="96">
        <f t="shared" si="99"/>
        <v>1</v>
      </c>
      <c r="J713" s="96">
        <f t="shared" si="100"/>
        <v>0</v>
      </c>
      <c r="K713" s="92">
        <f>VLOOKUP(H713,'Taux émission CO2e'!$A$5:$D$16,4,FALSE)</f>
        <v>0.24099999999999999</v>
      </c>
      <c r="L713" s="93">
        <f t="shared" si="105"/>
        <v>1.3879792499999999</v>
      </c>
      <c r="M713" s="92">
        <f>VLOOKUP(H713,'Taux émission CO2e'!$A$20:$D$31,4,FALSE)</f>
        <v>0</v>
      </c>
      <c r="N713" s="105">
        <f t="shared" si="106"/>
        <v>0</v>
      </c>
      <c r="O713" s="93">
        <f t="shared" si="107"/>
        <v>1.3879792499999999</v>
      </c>
      <c r="P713" s="92">
        <v>80</v>
      </c>
      <c r="Q713" s="92" t="s">
        <v>56</v>
      </c>
      <c r="R713" s="92" t="s">
        <v>98</v>
      </c>
      <c r="S713" s="20">
        <v>38.395000000000003</v>
      </c>
    </row>
    <row r="714" spans="1:19" x14ac:dyDescent="0.15">
      <c r="A714" s="90">
        <v>44655</v>
      </c>
      <c r="B714" s="90" t="str">
        <f t="shared" si="101"/>
        <v>avril</v>
      </c>
      <c r="C714" s="90" t="str">
        <f t="shared" si="102"/>
        <v>2022</v>
      </c>
      <c r="D714" s="90" t="str">
        <f t="shared" si="103"/>
        <v>avril2022</v>
      </c>
      <c r="E714" s="91" t="s">
        <v>664</v>
      </c>
      <c r="F714" s="91">
        <v>450</v>
      </c>
      <c r="G714" s="94">
        <f t="shared" si="104"/>
        <v>0.45</v>
      </c>
      <c r="H714" s="92" t="s">
        <v>45</v>
      </c>
      <c r="I714" s="96">
        <f t="shared" si="99"/>
        <v>0.3</v>
      </c>
      <c r="J714" s="96">
        <f t="shared" si="100"/>
        <v>0.7</v>
      </c>
      <c r="K714" s="92">
        <f>VLOOKUP(H714,'Taux émission CO2e'!$A$5:$D$16,4,FALSE)</f>
        <v>0.16</v>
      </c>
      <c r="L714" s="93">
        <f t="shared" si="105"/>
        <v>0.1944216</v>
      </c>
      <c r="M714" s="92">
        <f>VLOOKUP(H714,'Taux émission CO2e'!$A$20:$D$31,4,FALSE)</f>
        <v>6.7400000000000002E-2</v>
      </c>
      <c r="N714" s="105">
        <f t="shared" si="106"/>
        <v>0.19110023099999998</v>
      </c>
      <c r="O714" s="93">
        <f t="shared" si="107"/>
        <v>0.38552183099999998</v>
      </c>
      <c r="P714" s="92">
        <v>140</v>
      </c>
      <c r="Q714" s="92" t="s">
        <v>56</v>
      </c>
      <c r="R714" s="92" t="s">
        <v>421</v>
      </c>
      <c r="S714" s="20">
        <v>9.0009999999999994</v>
      </c>
    </row>
    <row r="715" spans="1:19" x14ac:dyDescent="0.15">
      <c r="A715" s="90">
        <v>44655</v>
      </c>
      <c r="B715" s="90" t="str">
        <f t="shared" si="101"/>
        <v>avril</v>
      </c>
      <c r="C715" s="90" t="str">
        <f t="shared" si="102"/>
        <v>2022</v>
      </c>
      <c r="D715" s="90" t="str">
        <f t="shared" si="103"/>
        <v>avril2022</v>
      </c>
      <c r="E715" s="91" t="s">
        <v>665</v>
      </c>
      <c r="F715" s="91">
        <v>150</v>
      </c>
      <c r="G715" s="94">
        <f t="shared" si="104"/>
        <v>0.15</v>
      </c>
      <c r="H715" s="92" t="s">
        <v>46</v>
      </c>
      <c r="I715" s="96">
        <f t="shared" si="99"/>
        <v>0.3</v>
      </c>
      <c r="J715" s="96">
        <f t="shared" si="100"/>
        <v>0.7</v>
      </c>
      <c r="K715" s="92">
        <f>VLOOKUP(H715,'Taux émission CO2e'!$A$5:$D$16,4,FALSE)</f>
        <v>0.16</v>
      </c>
      <c r="L715" s="93">
        <f t="shared" si="105"/>
        <v>2.7402191999999999</v>
      </c>
      <c r="M715" s="92">
        <f>VLOOKUP(H715,'Taux émission CO2e'!$A$20:$D$31,4,FALSE)</f>
        <v>6.7400000000000002E-2</v>
      </c>
      <c r="N715" s="105">
        <f t="shared" si="106"/>
        <v>2.693407122</v>
      </c>
      <c r="O715" s="93">
        <f t="shared" si="107"/>
        <v>5.4336263220000003</v>
      </c>
      <c r="P715" s="92">
        <v>166</v>
      </c>
      <c r="Q715" s="92" t="s">
        <v>91</v>
      </c>
      <c r="R715" s="92" t="s">
        <v>55</v>
      </c>
      <c r="S715" s="20">
        <v>380.58600000000001</v>
      </c>
    </row>
    <row r="716" spans="1:19" x14ac:dyDescent="0.15">
      <c r="A716" s="90">
        <v>44655</v>
      </c>
      <c r="B716" s="90" t="str">
        <f t="shared" si="101"/>
        <v>avril</v>
      </c>
      <c r="C716" s="90" t="str">
        <f t="shared" si="102"/>
        <v>2022</v>
      </c>
      <c r="D716" s="90" t="str">
        <f t="shared" si="103"/>
        <v>avril2022</v>
      </c>
      <c r="E716" s="91" t="s">
        <v>666</v>
      </c>
      <c r="F716" s="91">
        <v>174</v>
      </c>
      <c r="G716" s="94">
        <f t="shared" si="104"/>
        <v>0.17399999999999999</v>
      </c>
      <c r="H716" s="92" t="s">
        <v>46</v>
      </c>
      <c r="I716" s="96">
        <f t="shared" si="99"/>
        <v>0.3</v>
      </c>
      <c r="J716" s="96">
        <f t="shared" si="100"/>
        <v>0.7</v>
      </c>
      <c r="K716" s="92">
        <f>VLOOKUP(H716,'Taux émission CO2e'!$A$5:$D$16,4,FALSE)</f>
        <v>0.16</v>
      </c>
      <c r="L716" s="93">
        <f t="shared" si="105"/>
        <v>4.0129856640000003</v>
      </c>
      <c r="M716" s="92">
        <f>VLOOKUP(H716,'Taux émission CO2e'!$A$20:$D$31,4,FALSE)</f>
        <v>6.7400000000000002E-2</v>
      </c>
      <c r="N716" s="105">
        <f t="shared" si="106"/>
        <v>3.94443049224</v>
      </c>
      <c r="O716" s="93">
        <f t="shared" si="107"/>
        <v>7.9574161562400008</v>
      </c>
      <c r="P716" s="92">
        <v>195</v>
      </c>
      <c r="Q716" s="92" t="s">
        <v>56</v>
      </c>
      <c r="R716" s="92" t="s">
        <v>427</v>
      </c>
      <c r="S716" s="20">
        <v>480.48200000000003</v>
      </c>
    </row>
    <row r="717" spans="1:19" x14ac:dyDescent="0.15">
      <c r="A717" s="90">
        <v>44655</v>
      </c>
      <c r="B717" s="90" t="str">
        <f t="shared" si="101"/>
        <v>avril</v>
      </c>
      <c r="C717" s="90" t="str">
        <f t="shared" si="102"/>
        <v>2022</v>
      </c>
      <c r="D717" s="90" t="str">
        <f t="shared" si="103"/>
        <v>avril2022</v>
      </c>
      <c r="E717" s="91" t="s">
        <v>667</v>
      </c>
      <c r="F717" s="91">
        <v>450</v>
      </c>
      <c r="G717" s="94">
        <f t="shared" si="104"/>
        <v>0.45</v>
      </c>
      <c r="H717" s="92" t="s">
        <v>45</v>
      </c>
      <c r="I717" s="96">
        <f t="shared" si="99"/>
        <v>0.3</v>
      </c>
      <c r="J717" s="96">
        <f t="shared" si="100"/>
        <v>0.7</v>
      </c>
      <c r="K717" s="92">
        <f>VLOOKUP(H717,'Taux émission CO2e'!$A$5:$D$16,4,FALSE)</f>
        <v>0.16</v>
      </c>
      <c r="L717" s="93">
        <f t="shared" si="105"/>
        <v>4.774896</v>
      </c>
      <c r="M717" s="92">
        <f>VLOOKUP(H717,'Taux émission CO2e'!$A$20:$D$31,4,FALSE)</f>
        <v>6.7400000000000002E-2</v>
      </c>
      <c r="N717" s="105">
        <f t="shared" si="106"/>
        <v>4.6933248599999997</v>
      </c>
      <c r="O717" s="93">
        <f t="shared" si="107"/>
        <v>9.4682208599999989</v>
      </c>
      <c r="P717" s="92">
        <v>210</v>
      </c>
      <c r="Q717" s="92" t="s">
        <v>56</v>
      </c>
      <c r="R717" s="92" t="s">
        <v>53</v>
      </c>
      <c r="S717" s="20">
        <v>221.06</v>
      </c>
    </row>
    <row r="718" spans="1:19" x14ac:dyDescent="0.15">
      <c r="A718" s="90">
        <v>44655</v>
      </c>
      <c r="B718" s="90" t="str">
        <f t="shared" si="101"/>
        <v>avril</v>
      </c>
      <c r="C718" s="90" t="str">
        <f t="shared" si="102"/>
        <v>2022</v>
      </c>
      <c r="D718" s="90" t="str">
        <f t="shared" si="103"/>
        <v>avril2022</v>
      </c>
      <c r="E718" s="91" t="s">
        <v>668</v>
      </c>
      <c r="F718" s="91">
        <v>450</v>
      </c>
      <c r="G718" s="94">
        <f t="shared" si="104"/>
        <v>0.45</v>
      </c>
      <c r="H718" s="92" t="s">
        <v>46</v>
      </c>
      <c r="I718" s="96">
        <f t="shared" si="99"/>
        <v>0.3</v>
      </c>
      <c r="J718" s="96">
        <f t="shared" si="100"/>
        <v>0.7</v>
      </c>
      <c r="K718" s="92">
        <f>VLOOKUP(H718,'Taux émission CO2e'!$A$5:$D$16,4,FALSE)</f>
        <v>0.16</v>
      </c>
      <c r="L718" s="93">
        <f t="shared" si="105"/>
        <v>17.091626399999999</v>
      </c>
      <c r="M718" s="92">
        <f>VLOOKUP(H718,'Taux émission CO2e'!$A$20:$D$31,4,FALSE)</f>
        <v>6.7400000000000002E-2</v>
      </c>
      <c r="N718" s="105">
        <f t="shared" si="106"/>
        <v>16.799644448999999</v>
      </c>
      <c r="O718" s="93">
        <f t="shared" si="107"/>
        <v>33.891270848999994</v>
      </c>
      <c r="P718" s="92">
        <v>340</v>
      </c>
      <c r="Q718" s="92" t="s">
        <v>56</v>
      </c>
      <c r="R718" s="92" t="s">
        <v>59</v>
      </c>
      <c r="S718" s="20">
        <v>791.279</v>
      </c>
    </row>
    <row r="719" spans="1:19" x14ac:dyDescent="0.15">
      <c r="A719" s="90">
        <v>44656</v>
      </c>
      <c r="B719" s="90" t="str">
        <f t="shared" si="101"/>
        <v>avril</v>
      </c>
      <c r="C719" s="90" t="str">
        <f t="shared" si="102"/>
        <v>2022</v>
      </c>
      <c r="D719" s="90" t="str">
        <f t="shared" si="103"/>
        <v>avril2022</v>
      </c>
      <c r="E719" s="91" t="s">
        <v>669</v>
      </c>
      <c r="F719" s="91">
        <v>519</v>
      </c>
      <c r="G719" s="94">
        <f t="shared" si="104"/>
        <v>0.51900000000000002</v>
      </c>
      <c r="H719" s="92" t="s">
        <v>46</v>
      </c>
      <c r="I719" s="96">
        <f t="shared" si="99"/>
        <v>0.3</v>
      </c>
      <c r="J719" s="96">
        <f t="shared" si="100"/>
        <v>0.7</v>
      </c>
      <c r="K719" s="92">
        <f>VLOOKUP(H719,'Taux émission CO2e'!$A$5:$D$16,4,FALSE)</f>
        <v>0.16</v>
      </c>
      <c r="L719" s="93">
        <f t="shared" si="105"/>
        <v>12.849559776</v>
      </c>
      <c r="M719" s="92">
        <f>VLOOKUP(H719,'Taux émission CO2e'!$A$20:$D$31,4,FALSE)</f>
        <v>6.7400000000000002E-2</v>
      </c>
      <c r="N719" s="105">
        <f t="shared" si="106"/>
        <v>12.630046463160001</v>
      </c>
      <c r="O719" s="93">
        <f t="shared" si="107"/>
        <v>25.479606239159999</v>
      </c>
      <c r="P719" s="92">
        <v>360</v>
      </c>
      <c r="Q719" s="92" t="s">
        <v>58</v>
      </c>
      <c r="R719" s="92" t="s">
        <v>57</v>
      </c>
      <c r="S719" s="20">
        <v>515.798</v>
      </c>
    </row>
    <row r="720" spans="1:19" x14ac:dyDescent="0.15">
      <c r="A720" s="90">
        <v>44657</v>
      </c>
      <c r="B720" s="90" t="str">
        <f t="shared" si="101"/>
        <v>avril</v>
      </c>
      <c r="C720" s="90" t="str">
        <f t="shared" si="102"/>
        <v>2022</v>
      </c>
      <c r="D720" s="90" t="str">
        <f t="shared" si="103"/>
        <v>avril2022</v>
      </c>
      <c r="E720" s="91" t="s">
        <v>670</v>
      </c>
      <c r="F720" s="91">
        <v>150</v>
      </c>
      <c r="G720" s="94">
        <f t="shared" si="104"/>
        <v>0.15</v>
      </c>
      <c r="H720" s="92" t="s">
        <v>45</v>
      </c>
      <c r="I720" s="96">
        <f t="shared" si="99"/>
        <v>0.3</v>
      </c>
      <c r="J720" s="96">
        <f t="shared" si="100"/>
        <v>0.7</v>
      </c>
      <c r="K720" s="92">
        <f>VLOOKUP(H720,'Taux émission CO2e'!$A$5:$D$16,4,FALSE)</f>
        <v>0.16</v>
      </c>
      <c r="L720" s="93">
        <f t="shared" si="105"/>
        <v>2.0026439999999996</v>
      </c>
      <c r="M720" s="92">
        <f>VLOOKUP(H720,'Taux émission CO2e'!$A$20:$D$31,4,FALSE)</f>
        <v>6.7400000000000002E-2</v>
      </c>
      <c r="N720" s="105">
        <f t="shared" si="106"/>
        <v>1.9684321649999998</v>
      </c>
      <c r="O720" s="93">
        <f t="shared" si="107"/>
        <v>3.9710761649999995</v>
      </c>
      <c r="P720" s="92">
        <v>158</v>
      </c>
      <c r="Q720" s="92" t="s">
        <v>74</v>
      </c>
      <c r="R720" s="92" t="s">
        <v>55</v>
      </c>
      <c r="S720" s="20">
        <v>278.14499999999998</v>
      </c>
    </row>
    <row r="721" spans="1:19" x14ac:dyDescent="0.15">
      <c r="A721" s="90">
        <v>44658</v>
      </c>
      <c r="B721" s="90" t="str">
        <f t="shared" si="101"/>
        <v>avril</v>
      </c>
      <c r="C721" s="90" t="str">
        <f t="shared" si="102"/>
        <v>2022</v>
      </c>
      <c r="D721" s="90" t="str">
        <f t="shared" si="103"/>
        <v>avril2022</v>
      </c>
      <c r="E721" s="91" t="s">
        <v>671</v>
      </c>
      <c r="F721" s="91">
        <v>204</v>
      </c>
      <c r="G721" s="94">
        <f t="shared" si="104"/>
        <v>0.20399999999999999</v>
      </c>
      <c r="H721" s="92" t="s">
        <v>38</v>
      </c>
      <c r="I721" s="96">
        <f t="shared" si="99"/>
        <v>1</v>
      </c>
      <c r="J721" s="96">
        <f t="shared" si="100"/>
        <v>0</v>
      </c>
      <c r="K721" s="92">
        <f>VLOOKUP(H721,'Taux émission CO2e'!$A$5:$D$16,4,FALSE)</f>
        <v>0.24099999999999999</v>
      </c>
      <c r="L721" s="93">
        <f t="shared" si="105"/>
        <v>2.2923698279999996</v>
      </c>
      <c r="M721" s="92">
        <f>VLOOKUP(H721,'Taux émission CO2e'!$A$20:$D$31,4,FALSE)</f>
        <v>0</v>
      </c>
      <c r="N721" s="105">
        <f t="shared" si="106"/>
        <v>0</v>
      </c>
      <c r="O721" s="93">
        <f t="shared" si="107"/>
        <v>2.2923698279999996</v>
      </c>
      <c r="P721" s="92">
        <v>100</v>
      </c>
      <c r="Q721" s="92" t="s">
        <v>58</v>
      </c>
      <c r="R721" s="92" t="s">
        <v>421</v>
      </c>
      <c r="S721" s="20">
        <v>46.627000000000002</v>
      </c>
    </row>
    <row r="722" spans="1:19" x14ac:dyDescent="0.15">
      <c r="A722" s="90">
        <v>44658</v>
      </c>
      <c r="B722" s="90" t="str">
        <f t="shared" si="101"/>
        <v>avril</v>
      </c>
      <c r="C722" s="90" t="str">
        <f t="shared" si="102"/>
        <v>2022</v>
      </c>
      <c r="D722" s="90" t="str">
        <f t="shared" si="103"/>
        <v>avril2022</v>
      </c>
      <c r="E722" s="91" t="s">
        <v>672</v>
      </c>
      <c r="F722" s="91">
        <v>55</v>
      </c>
      <c r="G722" s="94">
        <f t="shared" si="104"/>
        <v>5.5E-2</v>
      </c>
      <c r="H722" s="92" t="s">
        <v>46</v>
      </c>
      <c r="I722" s="96">
        <f t="shared" si="99"/>
        <v>0.3</v>
      </c>
      <c r="J722" s="96">
        <f t="shared" si="100"/>
        <v>0.7</v>
      </c>
      <c r="K722" s="92">
        <f>VLOOKUP(H722,'Taux émission CO2e'!$A$5:$D$16,4,FALSE)</f>
        <v>0.16</v>
      </c>
      <c r="L722" s="93">
        <f t="shared" si="105"/>
        <v>0.73866935999999994</v>
      </c>
      <c r="M722" s="92">
        <f>VLOOKUP(H722,'Taux émission CO2e'!$A$20:$D$31,4,FALSE)</f>
        <v>6.7400000000000002E-2</v>
      </c>
      <c r="N722" s="105">
        <f t="shared" si="106"/>
        <v>0.72605042509999984</v>
      </c>
      <c r="O722" s="93">
        <f t="shared" si="107"/>
        <v>1.4647197850999998</v>
      </c>
      <c r="P722" s="92">
        <v>120</v>
      </c>
      <c r="Q722" s="92" t="s">
        <v>58</v>
      </c>
      <c r="R722" s="92" t="s">
        <v>70</v>
      </c>
      <c r="S722" s="20">
        <v>279.79899999999998</v>
      </c>
    </row>
    <row r="723" spans="1:19" x14ac:dyDescent="0.15">
      <c r="A723" s="90">
        <v>44658</v>
      </c>
      <c r="B723" s="90" t="str">
        <f t="shared" si="101"/>
        <v>avril</v>
      </c>
      <c r="C723" s="90" t="str">
        <f t="shared" si="102"/>
        <v>2022</v>
      </c>
      <c r="D723" s="90" t="str">
        <f t="shared" si="103"/>
        <v>avril2022</v>
      </c>
      <c r="E723" s="91" t="s">
        <v>673</v>
      </c>
      <c r="F723" s="91">
        <v>183</v>
      </c>
      <c r="G723" s="94">
        <f t="shared" si="104"/>
        <v>0.183</v>
      </c>
      <c r="H723" s="92" t="s">
        <v>46</v>
      </c>
      <c r="I723" s="96">
        <f t="shared" si="99"/>
        <v>0.3</v>
      </c>
      <c r="J723" s="96">
        <f t="shared" si="100"/>
        <v>0.7</v>
      </c>
      <c r="K723" s="92">
        <f>VLOOKUP(H723,'Taux émission CO2e'!$A$5:$D$16,4,FALSE)</f>
        <v>0.16</v>
      </c>
      <c r="L723" s="93">
        <f t="shared" si="105"/>
        <v>1.476133632</v>
      </c>
      <c r="M723" s="92">
        <f>VLOOKUP(H723,'Taux émission CO2e'!$A$20:$D$31,4,FALSE)</f>
        <v>6.7400000000000002E-2</v>
      </c>
      <c r="N723" s="105">
        <f t="shared" si="106"/>
        <v>1.4509163491199999</v>
      </c>
      <c r="O723" s="93">
        <f t="shared" si="107"/>
        <v>2.9270499811199997</v>
      </c>
      <c r="P723" s="92">
        <v>130</v>
      </c>
      <c r="Q723" s="92" t="s">
        <v>58</v>
      </c>
      <c r="R723" s="92" t="s">
        <v>99</v>
      </c>
      <c r="S723" s="20">
        <v>168.048</v>
      </c>
    </row>
    <row r="724" spans="1:19" x14ac:dyDescent="0.15">
      <c r="A724" s="90">
        <v>44658</v>
      </c>
      <c r="B724" s="90" t="str">
        <f t="shared" si="101"/>
        <v>avril</v>
      </c>
      <c r="C724" s="90" t="str">
        <f t="shared" si="102"/>
        <v>2022</v>
      </c>
      <c r="D724" s="90" t="str">
        <f t="shared" si="103"/>
        <v>avril2022</v>
      </c>
      <c r="E724" s="91" t="s">
        <v>674</v>
      </c>
      <c r="F724" s="91">
        <v>106</v>
      </c>
      <c r="G724" s="94">
        <f t="shared" si="104"/>
        <v>0.106</v>
      </c>
      <c r="H724" s="92" t="s">
        <v>46</v>
      </c>
      <c r="I724" s="96">
        <f t="shared" si="99"/>
        <v>0.3</v>
      </c>
      <c r="J724" s="96">
        <f t="shared" si="100"/>
        <v>0.7</v>
      </c>
      <c r="K724" s="92">
        <f>VLOOKUP(H724,'Taux émission CO2e'!$A$5:$D$16,4,FALSE)</f>
        <v>0.16</v>
      </c>
      <c r="L724" s="93">
        <f t="shared" si="105"/>
        <v>1.9357550399999999</v>
      </c>
      <c r="M724" s="92">
        <f>VLOOKUP(H724,'Taux émission CO2e'!$A$20:$D$31,4,FALSE)</f>
        <v>6.7400000000000002E-2</v>
      </c>
      <c r="N724" s="105">
        <f t="shared" si="106"/>
        <v>1.9026858913999998</v>
      </c>
      <c r="O724" s="93">
        <f t="shared" si="107"/>
        <v>3.8384409313999996</v>
      </c>
      <c r="P724" s="92">
        <v>130</v>
      </c>
      <c r="Q724" s="92" t="s">
        <v>58</v>
      </c>
      <c r="R724" s="92" t="s">
        <v>83</v>
      </c>
      <c r="S724" s="20">
        <v>380.45499999999998</v>
      </c>
    </row>
    <row r="725" spans="1:19" x14ac:dyDescent="0.15">
      <c r="A725" s="90">
        <v>44658</v>
      </c>
      <c r="B725" s="90" t="str">
        <f t="shared" si="101"/>
        <v>avril</v>
      </c>
      <c r="C725" s="90" t="str">
        <f t="shared" si="102"/>
        <v>2022</v>
      </c>
      <c r="D725" s="90" t="str">
        <f t="shared" si="103"/>
        <v>avril2022</v>
      </c>
      <c r="E725" s="91" t="s">
        <v>675</v>
      </c>
      <c r="F725" s="91">
        <v>273</v>
      </c>
      <c r="G725" s="94">
        <f t="shared" si="104"/>
        <v>0.27300000000000002</v>
      </c>
      <c r="H725" s="92" t="s">
        <v>46</v>
      </c>
      <c r="I725" s="96">
        <f t="shared" si="99"/>
        <v>0.3</v>
      </c>
      <c r="J725" s="96">
        <f t="shared" si="100"/>
        <v>0.7</v>
      </c>
      <c r="K725" s="92">
        <f>VLOOKUP(H725,'Taux émission CO2e'!$A$5:$D$16,4,FALSE)</f>
        <v>0.16</v>
      </c>
      <c r="L725" s="93">
        <f t="shared" si="105"/>
        <v>7.0632394560000007</v>
      </c>
      <c r="M725" s="92">
        <f>VLOOKUP(H725,'Taux émission CO2e'!$A$20:$D$31,4,FALSE)</f>
        <v>6.7400000000000002E-2</v>
      </c>
      <c r="N725" s="105">
        <f t="shared" si="106"/>
        <v>6.9425757819600014</v>
      </c>
      <c r="O725" s="93">
        <f t="shared" si="107"/>
        <v>14.005815237960002</v>
      </c>
      <c r="P725" s="92">
        <v>133</v>
      </c>
      <c r="Q725" s="92" t="s">
        <v>58</v>
      </c>
      <c r="R725" s="92" t="s">
        <v>405</v>
      </c>
      <c r="S725" s="20">
        <v>539.01400000000001</v>
      </c>
    </row>
    <row r="726" spans="1:19" x14ac:dyDescent="0.15">
      <c r="A726" s="90">
        <v>44658</v>
      </c>
      <c r="B726" s="90" t="str">
        <f t="shared" si="101"/>
        <v>avril</v>
      </c>
      <c r="C726" s="90" t="str">
        <f t="shared" si="102"/>
        <v>2022</v>
      </c>
      <c r="D726" s="90" t="str">
        <f t="shared" si="103"/>
        <v>avril2022</v>
      </c>
      <c r="E726" s="91" t="s">
        <v>676</v>
      </c>
      <c r="F726" s="91">
        <v>52</v>
      </c>
      <c r="G726" s="94">
        <f t="shared" si="104"/>
        <v>5.1999999999999998E-2</v>
      </c>
      <c r="H726" s="92" t="s">
        <v>46</v>
      </c>
      <c r="I726" s="96">
        <f t="shared" si="99"/>
        <v>0.3</v>
      </c>
      <c r="J726" s="96">
        <f t="shared" si="100"/>
        <v>0.7</v>
      </c>
      <c r="K726" s="92">
        <f>VLOOKUP(H726,'Taux émission CO2e'!$A$5:$D$16,4,FALSE)</f>
        <v>0.16</v>
      </c>
      <c r="L726" s="93">
        <f t="shared" si="105"/>
        <v>1.1113489919999999</v>
      </c>
      <c r="M726" s="92">
        <f>VLOOKUP(H726,'Taux émission CO2e'!$A$20:$D$31,4,FALSE)</f>
        <v>6.7400000000000002E-2</v>
      </c>
      <c r="N726" s="105">
        <f t="shared" si="106"/>
        <v>1.0923634467200001</v>
      </c>
      <c r="O726" s="93">
        <f t="shared" si="107"/>
        <v>2.2037124387200002</v>
      </c>
      <c r="P726" s="92">
        <v>145</v>
      </c>
      <c r="Q726" s="92" t="s">
        <v>58</v>
      </c>
      <c r="R726" s="92" t="s">
        <v>640</v>
      </c>
      <c r="S726" s="20">
        <v>445.25200000000001</v>
      </c>
    </row>
    <row r="727" spans="1:19" x14ac:dyDescent="0.15">
      <c r="A727" s="90">
        <v>44658</v>
      </c>
      <c r="B727" s="90" t="str">
        <f t="shared" si="101"/>
        <v>avril</v>
      </c>
      <c r="C727" s="90" t="str">
        <f t="shared" si="102"/>
        <v>2022</v>
      </c>
      <c r="D727" s="90" t="str">
        <f t="shared" si="103"/>
        <v>avril2022</v>
      </c>
      <c r="E727" s="91" t="s">
        <v>677</v>
      </c>
      <c r="F727" s="91">
        <v>150</v>
      </c>
      <c r="G727" s="94">
        <f t="shared" si="104"/>
        <v>0.15</v>
      </c>
      <c r="H727" s="92" t="s">
        <v>45</v>
      </c>
      <c r="I727" s="96">
        <f t="shared" si="99"/>
        <v>0.3</v>
      </c>
      <c r="J727" s="96">
        <f t="shared" si="100"/>
        <v>0.7</v>
      </c>
      <c r="K727" s="92">
        <f>VLOOKUP(H727,'Taux émission CO2e'!$A$5:$D$16,4,FALSE)</f>
        <v>0.16</v>
      </c>
      <c r="L727" s="93">
        <f t="shared" si="105"/>
        <v>3.8714975999999997</v>
      </c>
      <c r="M727" s="92">
        <f>VLOOKUP(H727,'Taux émission CO2e'!$A$20:$D$31,4,FALSE)</f>
        <v>6.7400000000000002E-2</v>
      </c>
      <c r="N727" s="105">
        <f t="shared" si="106"/>
        <v>3.8053595159999998</v>
      </c>
      <c r="O727" s="93">
        <f t="shared" si="107"/>
        <v>7.676857115999999</v>
      </c>
      <c r="P727" s="92">
        <v>160</v>
      </c>
      <c r="Q727" s="92" t="s">
        <v>612</v>
      </c>
      <c r="R727" s="92" t="s">
        <v>55</v>
      </c>
      <c r="S727" s="20">
        <v>537.70799999999997</v>
      </c>
    </row>
    <row r="728" spans="1:19" x14ac:dyDescent="0.15">
      <c r="A728" s="90">
        <v>44658</v>
      </c>
      <c r="B728" s="90" t="str">
        <f t="shared" si="101"/>
        <v>avril</v>
      </c>
      <c r="C728" s="90" t="str">
        <f t="shared" si="102"/>
        <v>2022</v>
      </c>
      <c r="D728" s="90" t="str">
        <f t="shared" si="103"/>
        <v>avril2022</v>
      </c>
      <c r="E728" s="91" t="s">
        <v>678</v>
      </c>
      <c r="F728" s="91">
        <v>380</v>
      </c>
      <c r="G728" s="94">
        <f t="shared" si="104"/>
        <v>0.38</v>
      </c>
      <c r="H728" s="92" t="s">
        <v>46</v>
      </c>
      <c r="I728" s="96">
        <f t="shared" si="99"/>
        <v>0.3</v>
      </c>
      <c r="J728" s="96">
        <f t="shared" si="100"/>
        <v>0.7</v>
      </c>
      <c r="K728" s="92">
        <f>VLOOKUP(H728,'Taux émission CO2e'!$A$5:$D$16,4,FALSE)</f>
        <v>0.16</v>
      </c>
      <c r="L728" s="93">
        <f t="shared" si="105"/>
        <v>4.5380572799999994</v>
      </c>
      <c r="M728" s="92">
        <f>VLOOKUP(H728,'Taux émission CO2e'!$A$20:$D$31,4,FALSE)</f>
        <v>6.7400000000000002E-2</v>
      </c>
      <c r="N728" s="105">
        <f t="shared" si="106"/>
        <v>4.4605321348000002</v>
      </c>
      <c r="O728" s="93">
        <f t="shared" si="107"/>
        <v>8.9985894147999996</v>
      </c>
      <c r="P728" s="92">
        <v>178</v>
      </c>
      <c r="Q728" s="92" t="s">
        <v>58</v>
      </c>
      <c r="R728" s="92" t="s">
        <v>82</v>
      </c>
      <c r="S728" s="20">
        <v>248.797</v>
      </c>
    </row>
    <row r="729" spans="1:19" x14ac:dyDescent="0.15">
      <c r="A729" s="90">
        <v>44658</v>
      </c>
      <c r="B729" s="90" t="str">
        <f t="shared" si="101"/>
        <v>avril</v>
      </c>
      <c r="C729" s="90" t="str">
        <f t="shared" si="102"/>
        <v>2022</v>
      </c>
      <c r="D729" s="90" t="str">
        <f t="shared" si="103"/>
        <v>avril2022</v>
      </c>
      <c r="E729" s="91" t="s">
        <v>679</v>
      </c>
      <c r="F729" s="91">
        <v>150</v>
      </c>
      <c r="G729" s="94">
        <f t="shared" si="104"/>
        <v>0.15</v>
      </c>
      <c r="H729" s="92" t="s">
        <v>45</v>
      </c>
      <c r="I729" s="96">
        <f t="shared" si="99"/>
        <v>0.3</v>
      </c>
      <c r="J729" s="96">
        <f t="shared" si="100"/>
        <v>0.7</v>
      </c>
      <c r="K729" s="92">
        <f>VLOOKUP(H729,'Taux émission CO2e'!$A$5:$D$16,4,FALSE)</f>
        <v>0.16</v>
      </c>
      <c r="L729" s="93">
        <f t="shared" si="105"/>
        <v>1.9177416</v>
      </c>
      <c r="M729" s="92">
        <f>VLOOKUP(H729,'Taux émission CO2e'!$A$20:$D$31,4,FALSE)</f>
        <v>6.7400000000000002E-2</v>
      </c>
      <c r="N729" s="105">
        <f t="shared" si="106"/>
        <v>1.884980181</v>
      </c>
      <c r="O729" s="93">
        <f t="shared" si="107"/>
        <v>3.8027217809999998</v>
      </c>
      <c r="P729" s="92">
        <v>180</v>
      </c>
      <c r="Q729" s="92" t="s">
        <v>77</v>
      </c>
      <c r="R729" s="92" t="s">
        <v>55</v>
      </c>
      <c r="S729" s="20">
        <v>266.35300000000001</v>
      </c>
    </row>
    <row r="730" spans="1:19" x14ac:dyDescent="0.15">
      <c r="A730" s="90">
        <v>44658</v>
      </c>
      <c r="B730" s="90" t="str">
        <f t="shared" si="101"/>
        <v>avril</v>
      </c>
      <c r="C730" s="90" t="str">
        <f t="shared" si="102"/>
        <v>2022</v>
      </c>
      <c r="D730" s="90" t="str">
        <f t="shared" si="103"/>
        <v>avril2022</v>
      </c>
      <c r="E730" s="91" t="s">
        <v>680</v>
      </c>
      <c r="F730" s="91">
        <v>78</v>
      </c>
      <c r="G730" s="94">
        <f t="shared" si="104"/>
        <v>7.8E-2</v>
      </c>
      <c r="H730" s="92" t="s">
        <v>46</v>
      </c>
      <c r="I730" s="96">
        <f t="shared" si="99"/>
        <v>0.3</v>
      </c>
      <c r="J730" s="96">
        <f t="shared" si="100"/>
        <v>0.7</v>
      </c>
      <c r="K730" s="92">
        <f>VLOOKUP(H730,'Taux émission CO2e'!$A$5:$D$16,4,FALSE)</f>
        <v>0.16</v>
      </c>
      <c r="L730" s="93">
        <f t="shared" si="105"/>
        <v>3.3108191999999996</v>
      </c>
      <c r="M730" s="92">
        <f>VLOOKUP(H730,'Taux émission CO2e'!$A$20:$D$31,4,FALSE)</f>
        <v>6.7400000000000002E-2</v>
      </c>
      <c r="N730" s="105">
        <f t="shared" si="106"/>
        <v>3.2542593719999999</v>
      </c>
      <c r="O730" s="93">
        <f t="shared" si="107"/>
        <v>6.5650785719999991</v>
      </c>
      <c r="P730" s="92">
        <v>196</v>
      </c>
      <c r="Q730" s="92" t="s">
        <v>58</v>
      </c>
      <c r="R730" s="92" t="s">
        <v>656</v>
      </c>
      <c r="S730" s="20">
        <v>884.3</v>
      </c>
    </row>
    <row r="731" spans="1:19" x14ac:dyDescent="0.15">
      <c r="A731" s="90">
        <v>44658</v>
      </c>
      <c r="B731" s="90" t="str">
        <f t="shared" si="101"/>
        <v>avril</v>
      </c>
      <c r="C731" s="90" t="str">
        <f t="shared" si="102"/>
        <v>2022</v>
      </c>
      <c r="D731" s="90" t="str">
        <f t="shared" si="103"/>
        <v>avril2022</v>
      </c>
      <c r="E731" s="91" t="s">
        <v>681</v>
      </c>
      <c r="F731" s="91">
        <v>207</v>
      </c>
      <c r="G731" s="94">
        <f t="shared" si="104"/>
        <v>0.20699999999999999</v>
      </c>
      <c r="H731" s="92" t="s">
        <v>46</v>
      </c>
      <c r="I731" s="96">
        <f t="shared" si="99"/>
        <v>0.3</v>
      </c>
      <c r="J731" s="96">
        <f t="shared" si="100"/>
        <v>0.7</v>
      </c>
      <c r="K731" s="92">
        <f>VLOOKUP(H731,'Taux émission CO2e'!$A$5:$D$16,4,FALSE)</f>
        <v>0.16</v>
      </c>
      <c r="L731" s="93">
        <f t="shared" si="105"/>
        <v>5.3771644799999994</v>
      </c>
      <c r="M731" s="92">
        <f>VLOOKUP(H731,'Taux émission CO2e'!$A$20:$D$31,4,FALSE)</f>
        <v>6.7400000000000002E-2</v>
      </c>
      <c r="N731" s="105">
        <f t="shared" si="106"/>
        <v>5.2853045867999988</v>
      </c>
      <c r="O731" s="93">
        <f t="shared" si="107"/>
        <v>10.662469066799998</v>
      </c>
      <c r="P731" s="92">
        <v>225</v>
      </c>
      <c r="Q731" s="92" t="s">
        <v>58</v>
      </c>
      <c r="R731" s="92" t="s">
        <v>65</v>
      </c>
      <c r="S731" s="20">
        <v>541.17999999999995</v>
      </c>
    </row>
    <row r="732" spans="1:19" x14ac:dyDescent="0.15">
      <c r="A732" s="90">
        <v>44658</v>
      </c>
      <c r="B732" s="90" t="str">
        <f t="shared" si="101"/>
        <v>avril</v>
      </c>
      <c r="C732" s="90" t="str">
        <f t="shared" si="102"/>
        <v>2022</v>
      </c>
      <c r="D732" s="90" t="str">
        <f t="shared" si="103"/>
        <v>avril2022</v>
      </c>
      <c r="E732" s="91" t="s">
        <v>682</v>
      </c>
      <c r="F732" s="91">
        <v>179</v>
      </c>
      <c r="G732" s="94">
        <f t="shared" si="104"/>
        <v>0.17899999999999999</v>
      </c>
      <c r="H732" s="92" t="s">
        <v>46</v>
      </c>
      <c r="I732" s="96">
        <f t="shared" si="99"/>
        <v>0.3</v>
      </c>
      <c r="J732" s="96">
        <f t="shared" si="100"/>
        <v>0.7</v>
      </c>
      <c r="K732" s="92">
        <f>VLOOKUP(H732,'Taux émission CO2e'!$A$5:$D$16,4,FALSE)</f>
        <v>0.16</v>
      </c>
      <c r="L732" s="93">
        <f t="shared" si="105"/>
        <v>1.4928256320000002</v>
      </c>
      <c r="M732" s="92">
        <f>VLOOKUP(H732,'Taux émission CO2e'!$A$20:$D$31,4,FALSE)</f>
        <v>6.7400000000000002E-2</v>
      </c>
      <c r="N732" s="105">
        <f t="shared" si="106"/>
        <v>1.46732319412</v>
      </c>
      <c r="O732" s="93">
        <f t="shared" si="107"/>
        <v>2.9601488261200002</v>
      </c>
      <c r="P732" s="92">
        <v>240</v>
      </c>
      <c r="Q732" s="92" t="s">
        <v>58</v>
      </c>
      <c r="R732" s="92" t="s">
        <v>485</v>
      </c>
      <c r="S732" s="20">
        <v>173.74600000000001</v>
      </c>
    </row>
    <row r="733" spans="1:19" x14ac:dyDescent="0.15">
      <c r="A733" s="90">
        <v>44658</v>
      </c>
      <c r="B733" s="90" t="str">
        <f t="shared" si="101"/>
        <v>avril</v>
      </c>
      <c r="C733" s="90" t="str">
        <f t="shared" si="102"/>
        <v>2022</v>
      </c>
      <c r="D733" s="90" t="str">
        <f t="shared" si="103"/>
        <v>avril2022</v>
      </c>
      <c r="E733" s="91" t="s">
        <v>683</v>
      </c>
      <c r="F733" s="91">
        <v>150</v>
      </c>
      <c r="G733" s="94">
        <f t="shared" si="104"/>
        <v>0.15</v>
      </c>
      <c r="H733" s="92" t="s">
        <v>45</v>
      </c>
      <c r="I733" s="96">
        <f t="shared" si="99"/>
        <v>0.3</v>
      </c>
      <c r="J733" s="96">
        <f t="shared" si="100"/>
        <v>0.7</v>
      </c>
      <c r="K733" s="92">
        <f>VLOOKUP(H733,'Taux émission CO2e'!$A$5:$D$16,4,FALSE)</f>
        <v>0.16</v>
      </c>
      <c r="L733" s="93">
        <f t="shared" si="105"/>
        <v>1.8020015999999999</v>
      </c>
      <c r="M733" s="92">
        <f>VLOOKUP(H733,'Taux émission CO2e'!$A$20:$D$31,4,FALSE)</f>
        <v>6.7400000000000002E-2</v>
      </c>
      <c r="N733" s="105">
        <f t="shared" si="106"/>
        <v>1.7712174059999999</v>
      </c>
      <c r="O733" s="93">
        <f t="shared" si="107"/>
        <v>3.5732190059999995</v>
      </c>
      <c r="P733" s="92">
        <v>250</v>
      </c>
      <c r="Q733" s="92" t="s">
        <v>89</v>
      </c>
      <c r="R733" s="92" t="s">
        <v>55</v>
      </c>
      <c r="S733" s="20">
        <v>250.27799999999999</v>
      </c>
    </row>
    <row r="734" spans="1:19" x14ac:dyDescent="0.15">
      <c r="A734" s="90">
        <v>44658</v>
      </c>
      <c r="B734" s="90" t="str">
        <f t="shared" si="101"/>
        <v>avril</v>
      </c>
      <c r="C734" s="90" t="str">
        <f t="shared" si="102"/>
        <v>2022</v>
      </c>
      <c r="D734" s="90" t="str">
        <f t="shared" si="103"/>
        <v>avril2022</v>
      </c>
      <c r="E734" s="91" t="s">
        <v>684</v>
      </c>
      <c r="F734" s="91">
        <v>450</v>
      </c>
      <c r="G734" s="94">
        <f t="shared" si="104"/>
        <v>0.45</v>
      </c>
      <c r="H734" s="92" t="s">
        <v>46</v>
      </c>
      <c r="I734" s="96">
        <f t="shared" si="99"/>
        <v>0.3</v>
      </c>
      <c r="J734" s="96">
        <f t="shared" si="100"/>
        <v>0.7</v>
      </c>
      <c r="K734" s="92">
        <f>VLOOKUP(H734,'Taux émission CO2e'!$A$5:$D$16,4,FALSE)</f>
        <v>0.16</v>
      </c>
      <c r="L734" s="93">
        <f t="shared" si="105"/>
        <v>11.6969616</v>
      </c>
      <c r="M734" s="92">
        <f>VLOOKUP(H734,'Taux émission CO2e'!$A$20:$D$31,4,FALSE)</f>
        <v>6.7400000000000002E-2</v>
      </c>
      <c r="N734" s="105">
        <f t="shared" si="106"/>
        <v>11.497138505999999</v>
      </c>
      <c r="O734" s="93">
        <f t="shared" si="107"/>
        <v>23.194100106</v>
      </c>
      <c r="P734" s="92">
        <v>280</v>
      </c>
      <c r="Q734" s="92" t="s">
        <v>62</v>
      </c>
      <c r="R734" s="92" t="s">
        <v>55</v>
      </c>
      <c r="S734" s="20">
        <v>541.52599999999995</v>
      </c>
    </row>
    <row r="735" spans="1:19" x14ac:dyDescent="0.15">
      <c r="A735" s="90">
        <v>44659</v>
      </c>
      <c r="B735" s="90" t="str">
        <f t="shared" si="101"/>
        <v>avril</v>
      </c>
      <c r="C735" s="90" t="str">
        <f t="shared" si="102"/>
        <v>2022</v>
      </c>
      <c r="D735" s="90" t="str">
        <f t="shared" si="103"/>
        <v>avril2022</v>
      </c>
      <c r="E735" s="91" t="s">
        <v>685</v>
      </c>
      <c r="F735" s="91">
        <v>75</v>
      </c>
      <c r="G735" s="94">
        <f t="shared" si="104"/>
        <v>7.4999999999999997E-2</v>
      </c>
      <c r="H735" s="92" t="s">
        <v>46</v>
      </c>
      <c r="I735" s="96">
        <f t="shared" si="99"/>
        <v>0.3</v>
      </c>
      <c r="J735" s="96">
        <f t="shared" si="100"/>
        <v>0.7</v>
      </c>
      <c r="K735" s="92">
        <f>VLOOKUP(H735,'Taux émission CO2e'!$A$5:$D$16,4,FALSE)</f>
        <v>0.16</v>
      </c>
      <c r="L735" s="93">
        <f t="shared" si="105"/>
        <v>1.0072763999999998</v>
      </c>
      <c r="M735" s="92">
        <f>VLOOKUP(H735,'Taux émission CO2e'!$A$20:$D$31,4,FALSE)</f>
        <v>6.7400000000000002E-2</v>
      </c>
      <c r="N735" s="105">
        <f t="shared" si="106"/>
        <v>0.99006876149999989</v>
      </c>
      <c r="O735" s="93">
        <f t="shared" si="107"/>
        <v>1.9973451614999997</v>
      </c>
      <c r="P735" s="92">
        <v>120</v>
      </c>
      <c r="Q735" s="92" t="s">
        <v>58</v>
      </c>
      <c r="R735" s="92" t="s">
        <v>70</v>
      </c>
      <c r="S735" s="20">
        <v>279.79899999999998</v>
      </c>
    </row>
    <row r="736" spans="1:19" x14ac:dyDescent="0.15">
      <c r="A736" s="90">
        <v>44659</v>
      </c>
      <c r="B736" s="90" t="str">
        <f t="shared" si="101"/>
        <v>avril</v>
      </c>
      <c r="C736" s="90" t="str">
        <f t="shared" si="102"/>
        <v>2022</v>
      </c>
      <c r="D736" s="90" t="str">
        <f t="shared" si="103"/>
        <v>avril2022</v>
      </c>
      <c r="E736" s="91" t="s">
        <v>686</v>
      </c>
      <c r="F736" s="91">
        <v>150</v>
      </c>
      <c r="G736" s="94">
        <f t="shared" si="104"/>
        <v>0.15</v>
      </c>
      <c r="H736" s="92" t="s">
        <v>46</v>
      </c>
      <c r="I736" s="96">
        <f t="shared" si="99"/>
        <v>0.3</v>
      </c>
      <c r="J736" s="96">
        <f t="shared" si="100"/>
        <v>0.7</v>
      </c>
      <c r="K736" s="92">
        <f>VLOOKUP(H736,'Taux émission CO2e'!$A$5:$D$16,4,FALSE)</f>
        <v>0.16</v>
      </c>
      <c r="L736" s="93">
        <f t="shared" si="105"/>
        <v>1.8579095999999999</v>
      </c>
      <c r="M736" s="92">
        <f>VLOOKUP(H736,'Taux émission CO2e'!$A$20:$D$31,4,FALSE)</f>
        <v>6.7400000000000002E-2</v>
      </c>
      <c r="N736" s="105">
        <f t="shared" si="106"/>
        <v>1.826170311</v>
      </c>
      <c r="O736" s="93">
        <f t="shared" si="107"/>
        <v>3.684079911</v>
      </c>
      <c r="P736" s="92">
        <v>131</v>
      </c>
      <c r="Q736" s="92" t="s">
        <v>102</v>
      </c>
      <c r="R736" s="92" t="s">
        <v>55</v>
      </c>
      <c r="S736" s="20">
        <v>258.04300000000001</v>
      </c>
    </row>
    <row r="737" spans="1:19" x14ac:dyDescent="0.15">
      <c r="A737" s="90">
        <v>44659</v>
      </c>
      <c r="B737" s="90" t="str">
        <f t="shared" si="101"/>
        <v>avril</v>
      </c>
      <c r="C737" s="90" t="str">
        <f t="shared" si="102"/>
        <v>2022</v>
      </c>
      <c r="D737" s="90" t="str">
        <f t="shared" si="103"/>
        <v>avril2022</v>
      </c>
      <c r="E737" s="91" t="s">
        <v>687</v>
      </c>
      <c r="F737" s="91">
        <v>150</v>
      </c>
      <c r="G737" s="94">
        <f t="shared" si="104"/>
        <v>0.15</v>
      </c>
      <c r="H737" s="92" t="s">
        <v>46</v>
      </c>
      <c r="I737" s="96">
        <f t="shared" si="99"/>
        <v>0.3</v>
      </c>
      <c r="J737" s="96">
        <f t="shared" si="100"/>
        <v>0.7</v>
      </c>
      <c r="K737" s="92">
        <f>VLOOKUP(H737,'Taux émission CO2e'!$A$5:$D$16,4,FALSE)</f>
        <v>0.16</v>
      </c>
      <c r="L737" s="93">
        <f t="shared" si="105"/>
        <v>1.3450607999999999</v>
      </c>
      <c r="M737" s="92">
        <f>VLOOKUP(H737,'Taux émission CO2e'!$A$20:$D$31,4,FALSE)</f>
        <v>6.7400000000000002E-2</v>
      </c>
      <c r="N737" s="105">
        <f t="shared" si="106"/>
        <v>1.3220826779999999</v>
      </c>
      <c r="O737" s="93">
        <f t="shared" si="107"/>
        <v>2.6671434779999998</v>
      </c>
      <c r="P737" s="92">
        <v>140</v>
      </c>
      <c r="Q737" s="92" t="s">
        <v>688</v>
      </c>
      <c r="R737" s="92" t="s">
        <v>55</v>
      </c>
      <c r="S737" s="20">
        <v>186.81399999999999</v>
      </c>
    </row>
    <row r="738" spans="1:19" x14ac:dyDescent="0.15">
      <c r="A738" s="90">
        <v>44659</v>
      </c>
      <c r="B738" s="90" t="str">
        <f t="shared" si="101"/>
        <v>avril</v>
      </c>
      <c r="C738" s="90" t="str">
        <f t="shared" si="102"/>
        <v>2022</v>
      </c>
      <c r="D738" s="90" t="str">
        <f t="shared" si="103"/>
        <v>avril2022</v>
      </c>
      <c r="E738" s="91" t="s">
        <v>689</v>
      </c>
      <c r="F738" s="91">
        <v>150</v>
      </c>
      <c r="G738" s="94">
        <f t="shared" si="104"/>
        <v>0.15</v>
      </c>
      <c r="H738" s="92" t="s">
        <v>45</v>
      </c>
      <c r="I738" s="96">
        <f t="shared" si="99"/>
        <v>0.3</v>
      </c>
      <c r="J738" s="96">
        <f t="shared" si="100"/>
        <v>0.7</v>
      </c>
      <c r="K738" s="92">
        <f>VLOOKUP(H738,'Taux émission CO2e'!$A$5:$D$16,4,FALSE)</f>
        <v>0.16</v>
      </c>
      <c r="L738" s="93">
        <f t="shared" si="105"/>
        <v>2.0051784000000001</v>
      </c>
      <c r="M738" s="92">
        <f>VLOOKUP(H738,'Taux émission CO2e'!$A$20:$D$31,4,FALSE)</f>
        <v>6.7400000000000002E-2</v>
      </c>
      <c r="N738" s="105">
        <f t="shared" si="106"/>
        <v>1.970923269</v>
      </c>
      <c r="O738" s="93">
        <f t="shared" si="107"/>
        <v>3.9761016690000002</v>
      </c>
      <c r="P738" s="92">
        <v>158</v>
      </c>
      <c r="Q738" s="92" t="s">
        <v>90</v>
      </c>
      <c r="R738" s="92" t="s">
        <v>55</v>
      </c>
      <c r="S738" s="20">
        <v>278.49700000000001</v>
      </c>
    </row>
    <row r="739" spans="1:19" x14ac:dyDescent="0.15">
      <c r="A739" s="90">
        <v>44659</v>
      </c>
      <c r="B739" s="90" t="str">
        <f t="shared" si="101"/>
        <v>avril</v>
      </c>
      <c r="C739" s="90" t="str">
        <f t="shared" si="102"/>
        <v>2022</v>
      </c>
      <c r="D739" s="90" t="str">
        <f t="shared" si="103"/>
        <v>avril2022</v>
      </c>
      <c r="E739" s="91" t="s">
        <v>690</v>
      </c>
      <c r="F739" s="91">
        <v>291</v>
      </c>
      <c r="G739" s="94">
        <f t="shared" si="104"/>
        <v>0.29099999999999998</v>
      </c>
      <c r="H739" s="92" t="s">
        <v>46</v>
      </c>
      <c r="I739" s="96">
        <f t="shared" si="99"/>
        <v>0.3</v>
      </c>
      <c r="J739" s="96">
        <f t="shared" si="100"/>
        <v>0.7</v>
      </c>
      <c r="K739" s="92">
        <f>VLOOKUP(H739,'Taux émission CO2e'!$A$5:$D$16,4,FALSE)</f>
        <v>0.16</v>
      </c>
      <c r="L739" s="93">
        <f t="shared" si="105"/>
        <v>2.6341273439999999</v>
      </c>
      <c r="M739" s="92">
        <f>VLOOKUP(H739,'Taux émission CO2e'!$A$20:$D$31,4,FALSE)</f>
        <v>6.7400000000000002E-2</v>
      </c>
      <c r="N739" s="105">
        <f t="shared" si="106"/>
        <v>2.5891276685399998</v>
      </c>
      <c r="O739" s="93">
        <f t="shared" si="107"/>
        <v>5.2232550125399992</v>
      </c>
      <c r="P739" s="92">
        <v>200</v>
      </c>
      <c r="Q739" s="92" t="s">
        <v>58</v>
      </c>
      <c r="R739" s="92" t="s">
        <v>531</v>
      </c>
      <c r="S739" s="20">
        <v>188.583</v>
      </c>
    </row>
    <row r="740" spans="1:19" x14ac:dyDescent="0.15">
      <c r="A740" s="90">
        <v>44659</v>
      </c>
      <c r="B740" s="90" t="str">
        <f t="shared" si="101"/>
        <v>avril</v>
      </c>
      <c r="C740" s="90" t="str">
        <f t="shared" si="102"/>
        <v>2022</v>
      </c>
      <c r="D740" s="90" t="str">
        <f t="shared" si="103"/>
        <v>avril2022</v>
      </c>
      <c r="E740" s="91" t="s">
        <v>691</v>
      </c>
      <c r="F740" s="92">
        <v>2200</v>
      </c>
      <c r="G740" s="94">
        <f t="shared" si="104"/>
        <v>2.2000000000000002</v>
      </c>
      <c r="H740" s="92" t="s">
        <v>43</v>
      </c>
      <c r="I740" s="96">
        <f t="shared" si="99"/>
        <v>1</v>
      </c>
      <c r="J740" s="96">
        <f t="shared" si="100"/>
        <v>0</v>
      </c>
      <c r="K740" s="92">
        <f>VLOOKUP(H740,'Taux émission CO2e'!$A$5:$D$16,4,FALSE)</f>
        <v>0.16</v>
      </c>
      <c r="L740" s="93">
        <f t="shared" si="105"/>
        <v>87.134432000000004</v>
      </c>
      <c r="M740" s="92">
        <f>VLOOKUP(H740,'Taux émission CO2e'!$A$20:$D$31,4,FALSE)</f>
        <v>0</v>
      </c>
      <c r="N740" s="105">
        <f t="shared" si="106"/>
        <v>0</v>
      </c>
      <c r="O740" s="93">
        <f t="shared" si="107"/>
        <v>87.134432000000004</v>
      </c>
      <c r="P740" s="92">
        <v>525</v>
      </c>
      <c r="Q740" s="92" t="s">
        <v>109</v>
      </c>
      <c r="R740" s="92" t="s">
        <v>55</v>
      </c>
      <c r="S740" s="20">
        <v>247.541</v>
      </c>
    </row>
    <row r="741" spans="1:19" x14ac:dyDescent="0.15">
      <c r="A741" s="90">
        <v>44662</v>
      </c>
      <c r="B741" s="90" t="str">
        <f t="shared" si="101"/>
        <v>avril</v>
      </c>
      <c r="C741" s="90" t="str">
        <f t="shared" si="102"/>
        <v>2022</v>
      </c>
      <c r="D741" s="90" t="str">
        <f t="shared" si="103"/>
        <v>avril2022</v>
      </c>
      <c r="E741" s="91" t="s">
        <v>692</v>
      </c>
      <c r="F741" s="91">
        <v>150</v>
      </c>
      <c r="G741" s="94">
        <f t="shared" si="104"/>
        <v>0.15</v>
      </c>
      <c r="H741" s="92" t="s">
        <v>38</v>
      </c>
      <c r="I741" s="96">
        <f t="shared" si="99"/>
        <v>1</v>
      </c>
      <c r="J741" s="96">
        <f t="shared" si="100"/>
        <v>0</v>
      </c>
      <c r="K741" s="92">
        <f>VLOOKUP(H741,'Taux émission CO2e'!$A$5:$D$16,4,FALSE)</f>
        <v>0.24099999999999999</v>
      </c>
      <c r="L741" s="93">
        <f t="shared" si="105"/>
        <v>18.670535099999999</v>
      </c>
      <c r="M741" s="92">
        <f>VLOOKUP(H741,'Taux émission CO2e'!$A$20:$D$31,4,FALSE)</f>
        <v>0</v>
      </c>
      <c r="N741" s="105">
        <f t="shared" si="106"/>
        <v>0</v>
      </c>
      <c r="O741" s="93">
        <f t="shared" si="107"/>
        <v>18.670535099999999</v>
      </c>
      <c r="P741" s="92">
        <v>120</v>
      </c>
      <c r="Q741" s="92" t="s">
        <v>52</v>
      </c>
      <c r="R741" s="92" t="s">
        <v>55</v>
      </c>
      <c r="S741" s="20">
        <v>516.47400000000005</v>
      </c>
    </row>
    <row r="742" spans="1:19" x14ac:dyDescent="0.15">
      <c r="A742" s="90">
        <v>44662</v>
      </c>
      <c r="B742" s="90" t="str">
        <f t="shared" si="101"/>
        <v>avril</v>
      </c>
      <c r="C742" s="90" t="str">
        <f t="shared" si="102"/>
        <v>2022</v>
      </c>
      <c r="D742" s="90" t="str">
        <f t="shared" si="103"/>
        <v>avril2022</v>
      </c>
      <c r="E742" s="91" t="s">
        <v>693</v>
      </c>
      <c r="F742" s="91">
        <v>150</v>
      </c>
      <c r="G742" s="94">
        <f t="shared" si="104"/>
        <v>0.15</v>
      </c>
      <c r="H742" s="92" t="s">
        <v>46</v>
      </c>
      <c r="I742" s="96">
        <f t="shared" si="99"/>
        <v>0.3</v>
      </c>
      <c r="J742" s="96">
        <f t="shared" si="100"/>
        <v>0.7</v>
      </c>
      <c r="K742" s="92">
        <f>VLOOKUP(H742,'Taux émission CO2e'!$A$5:$D$16,4,FALSE)</f>
        <v>0.16</v>
      </c>
      <c r="L742" s="93">
        <f t="shared" si="105"/>
        <v>2.7402191999999999</v>
      </c>
      <c r="M742" s="92">
        <f>VLOOKUP(H742,'Taux émission CO2e'!$A$20:$D$31,4,FALSE)</f>
        <v>6.7400000000000002E-2</v>
      </c>
      <c r="N742" s="105">
        <f t="shared" si="106"/>
        <v>2.693407122</v>
      </c>
      <c r="O742" s="93">
        <f t="shared" si="107"/>
        <v>5.4336263220000003</v>
      </c>
      <c r="P742" s="92">
        <v>166</v>
      </c>
      <c r="Q742" s="92" t="s">
        <v>91</v>
      </c>
      <c r="R742" s="92" t="s">
        <v>55</v>
      </c>
      <c r="S742" s="20">
        <v>380.58600000000001</v>
      </c>
    </row>
    <row r="743" spans="1:19" x14ac:dyDescent="0.15">
      <c r="A743" s="90">
        <v>44663</v>
      </c>
      <c r="B743" s="90" t="str">
        <f t="shared" si="101"/>
        <v>avril</v>
      </c>
      <c r="C743" s="90" t="str">
        <f t="shared" si="102"/>
        <v>2022</v>
      </c>
      <c r="D743" s="90" t="str">
        <f t="shared" si="103"/>
        <v>avril2022</v>
      </c>
      <c r="E743" s="91" t="s">
        <v>694</v>
      </c>
      <c r="F743" s="91">
        <v>300</v>
      </c>
      <c r="G743" s="94">
        <f t="shared" si="104"/>
        <v>0.3</v>
      </c>
      <c r="H743" s="92" t="s">
        <v>45</v>
      </c>
      <c r="I743" s="96">
        <f t="shared" si="99"/>
        <v>0.3</v>
      </c>
      <c r="J743" s="96">
        <f t="shared" si="100"/>
        <v>0.7</v>
      </c>
      <c r="K743" s="92">
        <f>VLOOKUP(H743,'Taux émission CO2e'!$A$5:$D$16,4,FALSE)</f>
        <v>0.16</v>
      </c>
      <c r="L743" s="93">
        <f t="shared" si="105"/>
        <v>0.77725440000000001</v>
      </c>
      <c r="M743" s="92">
        <f>VLOOKUP(H743,'Taux émission CO2e'!$A$20:$D$31,4,FALSE)</f>
        <v>6.7400000000000002E-2</v>
      </c>
      <c r="N743" s="105">
        <f t="shared" si="106"/>
        <v>0.76397630399999994</v>
      </c>
      <c r="O743" s="93">
        <f t="shared" si="107"/>
        <v>1.541230704</v>
      </c>
      <c r="P743" s="92">
        <v>80</v>
      </c>
      <c r="Q743" s="92" t="s">
        <v>58</v>
      </c>
      <c r="R743" s="92" t="s">
        <v>63</v>
      </c>
      <c r="S743" s="20">
        <v>53.975999999999999</v>
      </c>
    </row>
    <row r="744" spans="1:19" x14ac:dyDescent="0.15">
      <c r="A744" s="90">
        <v>44663</v>
      </c>
      <c r="B744" s="90" t="str">
        <f t="shared" si="101"/>
        <v>avril</v>
      </c>
      <c r="C744" s="90" t="str">
        <f t="shared" si="102"/>
        <v>2022</v>
      </c>
      <c r="D744" s="90" t="str">
        <f t="shared" si="103"/>
        <v>avril2022</v>
      </c>
      <c r="E744" s="91" t="s">
        <v>695</v>
      </c>
      <c r="F744" s="91">
        <v>363</v>
      </c>
      <c r="G744" s="94">
        <f t="shared" si="104"/>
        <v>0.36299999999999999</v>
      </c>
      <c r="H744" s="92" t="s">
        <v>45</v>
      </c>
      <c r="I744" s="96">
        <f t="shared" si="99"/>
        <v>0.3</v>
      </c>
      <c r="J744" s="96">
        <f t="shared" si="100"/>
        <v>0.7</v>
      </c>
      <c r="K744" s="92">
        <f>VLOOKUP(H744,'Taux émission CO2e'!$A$5:$D$16,4,FALSE)</f>
        <v>0.16</v>
      </c>
      <c r="L744" s="93">
        <f t="shared" si="105"/>
        <v>0.89015731199999992</v>
      </c>
      <c r="M744" s="92">
        <f>VLOOKUP(H744,'Taux émission CO2e'!$A$20:$D$31,4,FALSE)</f>
        <v>6.7400000000000002E-2</v>
      </c>
      <c r="N744" s="105">
        <f t="shared" si="106"/>
        <v>0.87495045792000004</v>
      </c>
      <c r="O744" s="93">
        <f t="shared" si="107"/>
        <v>1.76510776992</v>
      </c>
      <c r="P744" s="92">
        <v>100</v>
      </c>
      <c r="Q744" s="92" t="s">
        <v>58</v>
      </c>
      <c r="R744" s="92" t="s">
        <v>146</v>
      </c>
      <c r="S744" s="20">
        <v>51.088000000000001</v>
      </c>
    </row>
    <row r="745" spans="1:19" x14ac:dyDescent="0.15">
      <c r="A745" s="90">
        <v>44663</v>
      </c>
      <c r="B745" s="90" t="str">
        <f t="shared" si="101"/>
        <v>avril</v>
      </c>
      <c r="C745" s="90" t="str">
        <f t="shared" si="102"/>
        <v>2022</v>
      </c>
      <c r="D745" s="90" t="str">
        <f t="shared" si="103"/>
        <v>avril2022</v>
      </c>
      <c r="E745" s="91" t="s">
        <v>696</v>
      </c>
      <c r="F745" s="91">
        <v>25</v>
      </c>
      <c r="G745" s="94">
        <f t="shared" si="104"/>
        <v>2.5000000000000001E-2</v>
      </c>
      <c r="H745" s="92" t="s">
        <v>46</v>
      </c>
      <c r="I745" s="96">
        <f t="shared" si="99"/>
        <v>0.3</v>
      </c>
      <c r="J745" s="96">
        <f t="shared" si="100"/>
        <v>0.7</v>
      </c>
      <c r="K745" s="92">
        <f>VLOOKUP(H745,'Taux émission CO2e'!$A$5:$D$16,4,FALSE)</f>
        <v>0.16</v>
      </c>
      <c r="L745" s="93">
        <f t="shared" si="105"/>
        <v>0.61895760000000011</v>
      </c>
      <c r="M745" s="92">
        <f>VLOOKUP(H745,'Taux émission CO2e'!$A$20:$D$31,4,FALSE)</f>
        <v>6.7400000000000002E-2</v>
      </c>
      <c r="N745" s="105">
        <f t="shared" si="106"/>
        <v>0.60838374100000003</v>
      </c>
      <c r="O745" s="93">
        <f t="shared" si="107"/>
        <v>1.2273413410000003</v>
      </c>
      <c r="P745" s="92">
        <v>140</v>
      </c>
      <c r="Q745" s="92" t="s">
        <v>58</v>
      </c>
      <c r="R745" s="92" t="s">
        <v>57</v>
      </c>
      <c r="S745" s="20">
        <v>515.798</v>
      </c>
    </row>
    <row r="746" spans="1:19" x14ac:dyDescent="0.15">
      <c r="A746" s="90">
        <v>44663</v>
      </c>
      <c r="B746" s="90" t="str">
        <f t="shared" si="101"/>
        <v>avril</v>
      </c>
      <c r="C746" s="90" t="str">
        <f t="shared" si="102"/>
        <v>2022</v>
      </c>
      <c r="D746" s="90" t="str">
        <f t="shared" si="103"/>
        <v>avril2022</v>
      </c>
      <c r="E746" s="91" t="s">
        <v>697</v>
      </c>
      <c r="F746" s="92">
        <v>1000</v>
      </c>
      <c r="G746" s="94">
        <f t="shared" si="104"/>
        <v>1</v>
      </c>
      <c r="H746" s="92" t="s">
        <v>46</v>
      </c>
      <c r="I746" s="96">
        <f t="shared" si="99"/>
        <v>0.3</v>
      </c>
      <c r="J746" s="96">
        <f t="shared" si="100"/>
        <v>0.7</v>
      </c>
      <c r="K746" s="92">
        <f>VLOOKUP(H746,'Taux émission CO2e'!$A$5:$D$16,4,FALSE)</f>
        <v>0.16</v>
      </c>
      <c r="L746" s="93">
        <f t="shared" si="105"/>
        <v>10.656336</v>
      </c>
      <c r="M746" s="92">
        <f>VLOOKUP(H746,'Taux émission CO2e'!$A$20:$D$31,4,FALSE)</f>
        <v>6.7400000000000002E-2</v>
      </c>
      <c r="N746" s="105">
        <f t="shared" si="106"/>
        <v>10.47429026</v>
      </c>
      <c r="O746" s="93">
        <f t="shared" si="107"/>
        <v>21.13062626</v>
      </c>
      <c r="P746" s="92">
        <v>360</v>
      </c>
      <c r="Q746" s="92" t="s">
        <v>58</v>
      </c>
      <c r="R746" s="92" t="s">
        <v>660</v>
      </c>
      <c r="S746" s="20">
        <v>222.00700000000001</v>
      </c>
    </row>
    <row r="747" spans="1:19" x14ac:dyDescent="0.15">
      <c r="A747" s="90">
        <v>44664</v>
      </c>
      <c r="B747" s="90" t="str">
        <f t="shared" si="101"/>
        <v>avril</v>
      </c>
      <c r="C747" s="90" t="str">
        <f t="shared" si="102"/>
        <v>2022</v>
      </c>
      <c r="D747" s="90" t="str">
        <f t="shared" si="103"/>
        <v>avril2022</v>
      </c>
      <c r="E747" s="91" t="s">
        <v>698</v>
      </c>
      <c r="F747" s="91">
        <v>150</v>
      </c>
      <c r="G747" s="94">
        <f t="shared" si="104"/>
        <v>0.15</v>
      </c>
      <c r="H747" s="92" t="s">
        <v>45</v>
      </c>
      <c r="I747" s="96">
        <f t="shared" si="99"/>
        <v>0.3</v>
      </c>
      <c r="J747" s="96">
        <f t="shared" si="100"/>
        <v>0.7</v>
      </c>
      <c r="K747" s="92">
        <f>VLOOKUP(H747,'Taux émission CO2e'!$A$5:$D$16,4,FALSE)</f>
        <v>0.16</v>
      </c>
      <c r="L747" s="93">
        <f t="shared" si="105"/>
        <v>2.0026439999999996</v>
      </c>
      <c r="M747" s="92">
        <f>VLOOKUP(H747,'Taux émission CO2e'!$A$20:$D$31,4,FALSE)</f>
        <v>6.7400000000000002E-2</v>
      </c>
      <c r="N747" s="105">
        <f t="shared" si="106"/>
        <v>1.9684321649999998</v>
      </c>
      <c r="O747" s="93">
        <f t="shared" si="107"/>
        <v>3.9710761649999995</v>
      </c>
      <c r="P747" s="92">
        <v>158</v>
      </c>
      <c r="Q747" s="92" t="s">
        <v>74</v>
      </c>
      <c r="R747" s="92" t="s">
        <v>55</v>
      </c>
      <c r="S747" s="20">
        <v>278.14499999999998</v>
      </c>
    </row>
    <row r="748" spans="1:19" x14ac:dyDescent="0.15">
      <c r="A748" s="90">
        <v>44664</v>
      </c>
      <c r="B748" s="90" t="str">
        <f t="shared" si="101"/>
        <v>avril</v>
      </c>
      <c r="C748" s="90" t="str">
        <f t="shared" si="102"/>
        <v>2022</v>
      </c>
      <c r="D748" s="90" t="str">
        <f t="shared" si="103"/>
        <v>avril2022</v>
      </c>
      <c r="E748" s="91" t="s">
        <v>699</v>
      </c>
      <c r="F748" s="92">
        <v>1000</v>
      </c>
      <c r="G748" s="94">
        <f t="shared" si="104"/>
        <v>1</v>
      </c>
      <c r="H748" s="92" t="s">
        <v>32</v>
      </c>
      <c r="I748" s="96">
        <f t="shared" si="99"/>
        <v>1</v>
      </c>
      <c r="J748" s="96">
        <f t="shared" si="100"/>
        <v>0</v>
      </c>
      <c r="K748" s="92">
        <f>VLOOKUP(H748,'Taux émission CO2e'!$A$5:$D$16,4,FALSE)</f>
        <v>6.7400000000000002E-2</v>
      </c>
      <c r="L748" s="93">
        <f t="shared" si="105"/>
        <v>3.6908914000000004</v>
      </c>
      <c r="M748" s="92">
        <f>VLOOKUP(H748,'Taux émission CO2e'!$A$20:$D$31,4,FALSE)</f>
        <v>0</v>
      </c>
      <c r="N748" s="105">
        <f t="shared" si="106"/>
        <v>0</v>
      </c>
      <c r="O748" s="93">
        <f t="shared" si="107"/>
        <v>3.6908914000000004</v>
      </c>
      <c r="P748" s="92">
        <v>250</v>
      </c>
      <c r="Q748" s="92" t="s">
        <v>56</v>
      </c>
      <c r="R748" s="92" t="s">
        <v>55</v>
      </c>
      <c r="S748" s="20">
        <v>54.761000000000003</v>
      </c>
    </row>
    <row r="749" spans="1:19" x14ac:dyDescent="0.15">
      <c r="A749" s="90">
        <v>44665</v>
      </c>
      <c r="B749" s="90" t="str">
        <f t="shared" si="101"/>
        <v>avril</v>
      </c>
      <c r="C749" s="90" t="str">
        <f t="shared" si="102"/>
        <v>2022</v>
      </c>
      <c r="D749" s="90" t="str">
        <f t="shared" si="103"/>
        <v>avril2022</v>
      </c>
      <c r="E749" s="91" t="s">
        <v>700</v>
      </c>
      <c r="F749" s="91">
        <v>212</v>
      </c>
      <c r="G749" s="94">
        <f t="shared" si="104"/>
        <v>0.21199999999999999</v>
      </c>
      <c r="H749" s="92" t="s">
        <v>46</v>
      </c>
      <c r="I749" s="96">
        <f t="shared" si="99"/>
        <v>0.3</v>
      </c>
      <c r="J749" s="96">
        <f t="shared" si="100"/>
        <v>0.7</v>
      </c>
      <c r="K749" s="92">
        <f>VLOOKUP(H749,'Taux émission CO2e'!$A$5:$D$16,4,FALSE)</f>
        <v>0.16</v>
      </c>
      <c r="L749" s="93">
        <f t="shared" si="105"/>
        <v>2.5317582719999998</v>
      </c>
      <c r="M749" s="92">
        <f>VLOOKUP(H749,'Taux émission CO2e'!$A$20:$D$31,4,FALSE)</f>
        <v>6.7400000000000002E-2</v>
      </c>
      <c r="N749" s="105">
        <f t="shared" si="106"/>
        <v>2.4885074015199997</v>
      </c>
      <c r="O749" s="93">
        <f t="shared" si="107"/>
        <v>5.0202656735199991</v>
      </c>
      <c r="P749" s="92">
        <v>100</v>
      </c>
      <c r="Q749" s="92" t="s">
        <v>58</v>
      </c>
      <c r="R749" s="92" t="s">
        <v>82</v>
      </c>
      <c r="S749" s="20">
        <v>248.797</v>
      </c>
    </row>
    <row r="750" spans="1:19" x14ac:dyDescent="0.15">
      <c r="A750" s="90">
        <v>44665</v>
      </c>
      <c r="B750" s="90" t="str">
        <f t="shared" si="101"/>
        <v>avril</v>
      </c>
      <c r="C750" s="90" t="str">
        <f t="shared" si="102"/>
        <v>2022</v>
      </c>
      <c r="D750" s="90" t="str">
        <f t="shared" si="103"/>
        <v>avril2022</v>
      </c>
      <c r="E750" s="91" t="s">
        <v>701</v>
      </c>
      <c r="F750" s="91">
        <v>212</v>
      </c>
      <c r="G750" s="94">
        <f t="shared" si="104"/>
        <v>0.21199999999999999</v>
      </c>
      <c r="H750" s="92" t="s">
        <v>46</v>
      </c>
      <c r="I750" s="96">
        <f t="shared" si="99"/>
        <v>0.3</v>
      </c>
      <c r="J750" s="96">
        <f t="shared" si="100"/>
        <v>0.7</v>
      </c>
      <c r="K750" s="92">
        <f>VLOOKUP(H750,'Taux émission CO2e'!$A$5:$D$16,4,FALSE)</f>
        <v>0.16</v>
      </c>
      <c r="L750" s="93">
        <f t="shared" si="105"/>
        <v>1.768039296</v>
      </c>
      <c r="M750" s="92">
        <f>VLOOKUP(H750,'Taux émission CO2e'!$A$20:$D$31,4,FALSE)</f>
        <v>6.7400000000000002E-2</v>
      </c>
      <c r="N750" s="105">
        <f t="shared" si="106"/>
        <v>1.7378352913599999</v>
      </c>
      <c r="O750" s="93">
        <f t="shared" si="107"/>
        <v>3.5058745873600001</v>
      </c>
      <c r="P750" s="92">
        <v>108</v>
      </c>
      <c r="Q750" s="92" t="s">
        <v>58</v>
      </c>
      <c r="R750" s="92" t="s">
        <v>485</v>
      </c>
      <c r="S750" s="20">
        <v>173.74600000000001</v>
      </c>
    </row>
    <row r="751" spans="1:19" x14ac:dyDescent="0.15">
      <c r="A751" s="90">
        <v>44665</v>
      </c>
      <c r="B751" s="90" t="str">
        <f t="shared" si="101"/>
        <v>avril</v>
      </c>
      <c r="C751" s="90" t="str">
        <f t="shared" si="102"/>
        <v>2022</v>
      </c>
      <c r="D751" s="90" t="str">
        <f t="shared" si="103"/>
        <v>avril2022</v>
      </c>
      <c r="E751" s="91" t="s">
        <v>702</v>
      </c>
      <c r="F751" s="91">
        <v>150</v>
      </c>
      <c r="G751" s="94">
        <f t="shared" si="104"/>
        <v>0.15</v>
      </c>
      <c r="H751" s="92" t="s">
        <v>46</v>
      </c>
      <c r="I751" s="96">
        <f t="shared" si="99"/>
        <v>0.3</v>
      </c>
      <c r="J751" s="96">
        <f t="shared" si="100"/>
        <v>0.7</v>
      </c>
      <c r="K751" s="92">
        <f>VLOOKUP(H751,'Taux émission CO2e'!$A$5:$D$16,4,FALSE)</f>
        <v>0.16</v>
      </c>
      <c r="L751" s="93">
        <f t="shared" si="105"/>
        <v>1.8579095999999999</v>
      </c>
      <c r="M751" s="92">
        <f>VLOOKUP(H751,'Taux émission CO2e'!$A$20:$D$31,4,FALSE)</f>
        <v>6.7400000000000002E-2</v>
      </c>
      <c r="N751" s="105">
        <f t="shared" si="106"/>
        <v>1.826170311</v>
      </c>
      <c r="O751" s="93">
        <f t="shared" si="107"/>
        <v>3.684079911</v>
      </c>
      <c r="P751" s="92">
        <v>131</v>
      </c>
      <c r="Q751" s="92" t="s">
        <v>102</v>
      </c>
      <c r="R751" s="92" t="s">
        <v>55</v>
      </c>
      <c r="S751" s="20">
        <v>258.04300000000001</v>
      </c>
    </row>
    <row r="752" spans="1:19" x14ac:dyDescent="0.15">
      <c r="A752" s="90">
        <v>44665</v>
      </c>
      <c r="B752" s="90" t="str">
        <f t="shared" si="101"/>
        <v>avril</v>
      </c>
      <c r="C752" s="90" t="str">
        <f t="shared" si="102"/>
        <v>2022</v>
      </c>
      <c r="D752" s="90" t="str">
        <f t="shared" si="103"/>
        <v>avril2022</v>
      </c>
      <c r="E752" s="91" t="s">
        <v>703</v>
      </c>
      <c r="F752" s="91">
        <v>450</v>
      </c>
      <c r="G752" s="94">
        <f t="shared" si="104"/>
        <v>0.45</v>
      </c>
      <c r="H752" s="92" t="s">
        <v>46</v>
      </c>
      <c r="I752" s="96">
        <f t="shared" si="99"/>
        <v>0.3</v>
      </c>
      <c r="J752" s="96">
        <f t="shared" si="100"/>
        <v>0.7</v>
      </c>
      <c r="K752" s="92">
        <f>VLOOKUP(H752,'Taux émission CO2e'!$A$5:$D$16,4,FALSE)</f>
        <v>0.16</v>
      </c>
      <c r="L752" s="93">
        <f t="shared" si="105"/>
        <v>5.7532248000000008</v>
      </c>
      <c r="M752" s="92">
        <f>VLOOKUP(H752,'Taux émission CO2e'!$A$20:$D$31,4,FALSE)</f>
        <v>6.7400000000000002E-2</v>
      </c>
      <c r="N752" s="105">
        <f t="shared" si="106"/>
        <v>5.6549405430000004</v>
      </c>
      <c r="O752" s="93">
        <f t="shared" si="107"/>
        <v>11.408165343</v>
      </c>
      <c r="P752" s="92">
        <v>215</v>
      </c>
      <c r="Q752" s="92" t="s">
        <v>77</v>
      </c>
      <c r="R752" s="92" t="s">
        <v>55</v>
      </c>
      <c r="S752" s="20">
        <v>266.35300000000001</v>
      </c>
    </row>
    <row r="753" spans="1:19" x14ac:dyDescent="0.15">
      <c r="A753" s="90">
        <v>44665</v>
      </c>
      <c r="B753" s="90" t="str">
        <f t="shared" si="101"/>
        <v>avril</v>
      </c>
      <c r="C753" s="90" t="str">
        <f t="shared" si="102"/>
        <v>2022</v>
      </c>
      <c r="D753" s="90" t="str">
        <f t="shared" si="103"/>
        <v>avril2022</v>
      </c>
      <c r="E753" s="91" t="s">
        <v>704</v>
      </c>
      <c r="F753" s="91">
        <v>150</v>
      </c>
      <c r="G753" s="94">
        <f t="shared" si="104"/>
        <v>0.15</v>
      </c>
      <c r="H753" s="92" t="s">
        <v>46</v>
      </c>
      <c r="I753" s="96">
        <f t="shared" si="99"/>
        <v>0.3</v>
      </c>
      <c r="J753" s="96">
        <f t="shared" si="100"/>
        <v>0.7</v>
      </c>
      <c r="K753" s="92">
        <f>VLOOKUP(H753,'Taux émission CO2e'!$A$5:$D$16,4,FALSE)</f>
        <v>0.16</v>
      </c>
      <c r="L753" s="93">
        <f t="shared" si="105"/>
        <v>3.8989871999999997</v>
      </c>
      <c r="M753" s="92">
        <f>VLOOKUP(H753,'Taux émission CO2e'!$A$20:$D$31,4,FALSE)</f>
        <v>6.7400000000000002E-2</v>
      </c>
      <c r="N753" s="105">
        <f t="shared" si="106"/>
        <v>3.8323795019999998</v>
      </c>
      <c r="O753" s="93">
        <f t="shared" si="107"/>
        <v>7.731366701999999</v>
      </c>
      <c r="P753" s="92">
        <v>239</v>
      </c>
      <c r="Q753" s="92" t="s">
        <v>62</v>
      </c>
      <c r="R753" s="92" t="s">
        <v>55</v>
      </c>
      <c r="S753" s="20">
        <v>541.52599999999995</v>
      </c>
    </row>
    <row r="754" spans="1:19" x14ac:dyDescent="0.15">
      <c r="A754" s="90">
        <v>44665</v>
      </c>
      <c r="B754" s="90" t="str">
        <f t="shared" si="101"/>
        <v>avril</v>
      </c>
      <c r="C754" s="90" t="str">
        <f t="shared" si="102"/>
        <v>2022</v>
      </c>
      <c r="D754" s="90" t="str">
        <f t="shared" si="103"/>
        <v>avril2022</v>
      </c>
      <c r="E754" s="91" t="s">
        <v>705</v>
      </c>
      <c r="F754" s="91">
        <v>150</v>
      </c>
      <c r="G754" s="94">
        <f t="shared" si="104"/>
        <v>0.15</v>
      </c>
      <c r="H754" s="92" t="s">
        <v>45</v>
      </c>
      <c r="I754" s="96">
        <f t="shared" si="99"/>
        <v>0.3</v>
      </c>
      <c r="J754" s="96">
        <f t="shared" si="100"/>
        <v>0.7</v>
      </c>
      <c r="K754" s="92">
        <f>VLOOKUP(H754,'Taux émission CO2e'!$A$5:$D$16,4,FALSE)</f>
        <v>0.16</v>
      </c>
      <c r="L754" s="93">
        <f t="shared" si="105"/>
        <v>1.8020015999999999</v>
      </c>
      <c r="M754" s="92">
        <f>VLOOKUP(H754,'Taux émission CO2e'!$A$20:$D$31,4,FALSE)</f>
        <v>6.7400000000000002E-2</v>
      </c>
      <c r="N754" s="105">
        <f t="shared" si="106"/>
        <v>1.7712174059999999</v>
      </c>
      <c r="O754" s="93">
        <f t="shared" si="107"/>
        <v>3.5732190059999995</v>
      </c>
      <c r="P754" s="92">
        <v>250</v>
      </c>
      <c r="Q754" s="92" t="s">
        <v>89</v>
      </c>
      <c r="R754" s="92" t="s">
        <v>55</v>
      </c>
      <c r="S754" s="20">
        <v>250.27799999999999</v>
      </c>
    </row>
    <row r="755" spans="1:19" x14ac:dyDescent="0.15">
      <c r="A755" s="90">
        <v>44666</v>
      </c>
      <c r="B755" s="90" t="str">
        <f t="shared" si="101"/>
        <v>avril</v>
      </c>
      <c r="C755" s="90" t="str">
        <f t="shared" si="102"/>
        <v>2022</v>
      </c>
      <c r="D755" s="90" t="str">
        <f t="shared" si="103"/>
        <v>avril2022</v>
      </c>
      <c r="E755" s="91" t="s">
        <v>706</v>
      </c>
      <c r="F755" s="91">
        <v>212</v>
      </c>
      <c r="G755" s="94">
        <f t="shared" si="104"/>
        <v>0.21199999999999999</v>
      </c>
      <c r="H755" s="92" t="s">
        <v>45</v>
      </c>
      <c r="I755" s="96">
        <f t="shared" si="99"/>
        <v>0.3</v>
      </c>
      <c r="J755" s="96">
        <f t="shared" si="100"/>
        <v>0.7</v>
      </c>
      <c r="K755" s="92">
        <f>VLOOKUP(H755,'Taux émission CO2e'!$A$5:$D$16,4,FALSE)</f>
        <v>0.16</v>
      </c>
      <c r="L755" s="93">
        <f t="shared" si="105"/>
        <v>0.47447635199999999</v>
      </c>
      <c r="M755" s="92">
        <f>VLOOKUP(H755,'Taux émission CO2e'!$A$20:$D$31,4,FALSE)</f>
        <v>6.7400000000000002E-2</v>
      </c>
      <c r="N755" s="105">
        <f t="shared" si="106"/>
        <v>0.46637071431999999</v>
      </c>
      <c r="O755" s="93">
        <f t="shared" si="107"/>
        <v>0.94084706631999993</v>
      </c>
      <c r="P755" s="92">
        <v>100</v>
      </c>
      <c r="Q755" s="92" t="s">
        <v>58</v>
      </c>
      <c r="R755" s="92" t="s">
        <v>421</v>
      </c>
      <c r="S755" s="20">
        <v>46.627000000000002</v>
      </c>
    </row>
    <row r="756" spans="1:19" x14ac:dyDescent="0.15">
      <c r="A756" s="90">
        <v>44666</v>
      </c>
      <c r="B756" s="90" t="str">
        <f t="shared" si="101"/>
        <v>avril</v>
      </c>
      <c r="C756" s="90" t="str">
        <f t="shared" si="102"/>
        <v>2022</v>
      </c>
      <c r="D756" s="90" t="str">
        <f t="shared" si="103"/>
        <v>avril2022</v>
      </c>
      <c r="E756" s="91" t="s">
        <v>707</v>
      </c>
      <c r="F756" s="91">
        <v>150</v>
      </c>
      <c r="G756" s="94">
        <f t="shared" si="104"/>
        <v>0.15</v>
      </c>
      <c r="H756" s="92" t="s">
        <v>46</v>
      </c>
      <c r="I756" s="96">
        <f t="shared" si="99"/>
        <v>0.3</v>
      </c>
      <c r="J756" s="96">
        <f t="shared" si="100"/>
        <v>0.7</v>
      </c>
      <c r="K756" s="92">
        <f>VLOOKUP(H756,'Taux émission CO2e'!$A$5:$D$16,4,FALSE)</f>
        <v>0.16</v>
      </c>
      <c r="L756" s="93">
        <f t="shared" si="105"/>
        <v>1.2471839999999998</v>
      </c>
      <c r="M756" s="92">
        <f>VLOOKUP(H756,'Taux émission CO2e'!$A$20:$D$31,4,FALSE)</f>
        <v>6.7400000000000002E-2</v>
      </c>
      <c r="N756" s="105">
        <f t="shared" si="106"/>
        <v>1.2258779399999999</v>
      </c>
      <c r="O756" s="93">
        <f t="shared" si="107"/>
        <v>2.47306194</v>
      </c>
      <c r="P756" s="92">
        <v>140</v>
      </c>
      <c r="Q756" s="92" t="s">
        <v>708</v>
      </c>
      <c r="R756" s="92" t="s">
        <v>55</v>
      </c>
      <c r="S756" s="20">
        <v>173.22</v>
      </c>
    </row>
    <row r="757" spans="1:19" x14ac:dyDescent="0.15">
      <c r="A757" s="90">
        <v>44666</v>
      </c>
      <c r="B757" s="90" t="str">
        <f t="shared" si="101"/>
        <v>avril</v>
      </c>
      <c r="C757" s="90" t="str">
        <f t="shared" si="102"/>
        <v>2022</v>
      </c>
      <c r="D757" s="90" t="str">
        <f t="shared" si="103"/>
        <v>avril2022</v>
      </c>
      <c r="E757" s="91" t="s">
        <v>709</v>
      </c>
      <c r="F757" s="91">
        <v>55</v>
      </c>
      <c r="G757" s="94">
        <f t="shared" si="104"/>
        <v>5.5E-2</v>
      </c>
      <c r="H757" s="92" t="s">
        <v>46</v>
      </c>
      <c r="I757" s="96">
        <f t="shared" si="99"/>
        <v>0.3</v>
      </c>
      <c r="J757" s="96">
        <f t="shared" si="100"/>
        <v>0.7</v>
      </c>
      <c r="K757" s="92">
        <f>VLOOKUP(H757,'Taux émission CO2e'!$A$5:$D$16,4,FALSE)</f>
        <v>0.16</v>
      </c>
      <c r="L757" s="93">
        <f t="shared" si="105"/>
        <v>1.02969504</v>
      </c>
      <c r="M757" s="92">
        <f>VLOOKUP(H757,'Taux émission CO2e'!$A$20:$D$31,4,FALSE)</f>
        <v>6.7400000000000002E-2</v>
      </c>
      <c r="N757" s="105">
        <f t="shared" si="106"/>
        <v>1.0121044163999999</v>
      </c>
      <c r="O757" s="93">
        <f t="shared" si="107"/>
        <v>2.0417994563999997</v>
      </c>
      <c r="P757" s="92">
        <v>140</v>
      </c>
      <c r="Q757" s="92" t="s">
        <v>58</v>
      </c>
      <c r="R757" s="92" t="s">
        <v>629</v>
      </c>
      <c r="S757" s="20">
        <v>390.036</v>
      </c>
    </row>
    <row r="758" spans="1:19" x14ac:dyDescent="0.15">
      <c r="A758" s="90">
        <v>44666</v>
      </c>
      <c r="B758" s="90" t="str">
        <f t="shared" si="101"/>
        <v>avril</v>
      </c>
      <c r="C758" s="90" t="str">
        <f t="shared" si="102"/>
        <v>2022</v>
      </c>
      <c r="D758" s="90" t="str">
        <f t="shared" si="103"/>
        <v>avril2022</v>
      </c>
      <c r="E758" s="91" t="s">
        <v>710</v>
      </c>
      <c r="F758" s="91">
        <v>400</v>
      </c>
      <c r="G758" s="94">
        <f t="shared" si="104"/>
        <v>0.4</v>
      </c>
      <c r="H758" s="92" t="s">
        <v>45</v>
      </c>
      <c r="I758" s="96">
        <f t="shared" si="99"/>
        <v>0.3</v>
      </c>
      <c r="J758" s="96">
        <f t="shared" si="100"/>
        <v>0.7</v>
      </c>
      <c r="K758" s="92">
        <f>VLOOKUP(H758,'Taux émission CO2e'!$A$5:$D$16,4,FALSE)</f>
        <v>0.16</v>
      </c>
      <c r="L758" s="93">
        <f t="shared" si="105"/>
        <v>5.347142400000001</v>
      </c>
      <c r="M758" s="92">
        <f>VLOOKUP(H758,'Taux émission CO2e'!$A$20:$D$31,4,FALSE)</f>
        <v>6.7400000000000002E-2</v>
      </c>
      <c r="N758" s="105">
        <f t="shared" si="106"/>
        <v>5.2557953839999998</v>
      </c>
      <c r="O758" s="93">
        <f t="shared" si="107"/>
        <v>10.602937784000002</v>
      </c>
      <c r="P758" s="92">
        <v>158</v>
      </c>
      <c r="Q758" s="92" t="s">
        <v>90</v>
      </c>
      <c r="R758" s="92" t="s">
        <v>55</v>
      </c>
      <c r="S758" s="20">
        <v>278.49700000000001</v>
      </c>
    </row>
    <row r="759" spans="1:19" x14ac:dyDescent="0.15">
      <c r="A759" s="90">
        <v>44666</v>
      </c>
      <c r="B759" s="90" t="str">
        <f t="shared" si="101"/>
        <v>avril</v>
      </c>
      <c r="C759" s="90" t="str">
        <f t="shared" si="102"/>
        <v>2022</v>
      </c>
      <c r="D759" s="90" t="str">
        <f t="shared" si="103"/>
        <v>avril2022</v>
      </c>
      <c r="E759" s="91" t="s">
        <v>711</v>
      </c>
      <c r="F759" s="91">
        <v>150</v>
      </c>
      <c r="G759" s="94">
        <f t="shared" si="104"/>
        <v>0.15</v>
      </c>
      <c r="H759" s="92" t="s">
        <v>45</v>
      </c>
      <c r="I759" s="96">
        <f t="shared" si="99"/>
        <v>0.3</v>
      </c>
      <c r="J759" s="96">
        <f t="shared" si="100"/>
        <v>0.7</v>
      </c>
      <c r="K759" s="92">
        <f>VLOOKUP(H759,'Taux émission CO2e'!$A$5:$D$16,4,FALSE)</f>
        <v>0.16</v>
      </c>
      <c r="L759" s="93">
        <f t="shared" si="105"/>
        <v>3.8714975999999997</v>
      </c>
      <c r="M759" s="92">
        <f>VLOOKUP(H759,'Taux émission CO2e'!$A$20:$D$31,4,FALSE)</f>
        <v>6.7400000000000002E-2</v>
      </c>
      <c r="N759" s="105">
        <f t="shared" si="106"/>
        <v>3.8053595159999998</v>
      </c>
      <c r="O759" s="93">
        <f t="shared" si="107"/>
        <v>7.676857115999999</v>
      </c>
      <c r="P759" s="92">
        <v>160</v>
      </c>
      <c r="Q759" s="92" t="s">
        <v>612</v>
      </c>
      <c r="R759" s="92" t="s">
        <v>55</v>
      </c>
      <c r="S759" s="20">
        <v>537.70799999999997</v>
      </c>
    </row>
    <row r="760" spans="1:19" x14ac:dyDescent="0.15">
      <c r="A760" s="90">
        <v>44666</v>
      </c>
      <c r="B760" s="90" t="str">
        <f t="shared" si="101"/>
        <v>avril</v>
      </c>
      <c r="C760" s="90" t="str">
        <f t="shared" si="102"/>
        <v>2022</v>
      </c>
      <c r="D760" s="90" t="str">
        <f t="shared" si="103"/>
        <v>avril2022</v>
      </c>
      <c r="E760" s="91" t="s">
        <v>712</v>
      </c>
      <c r="F760" s="91">
        <v>162</v>
      </c>
      <c r="G760" s="94">
        <f t="shared" si="104"/>
        <v>0.16200000000000001</v>
      </c>
      <c r="H760" s="92" t="s">
        <v>46</v>
      </c>
      <c r="I760" s="96">
        <f t="shared" si="99"/>
        <v>0.3</v>
      </c>
      <c r="J760" s="96">
        <f t="shared" si="100"/>
        <v>0.7</v>
      </c>
      <c r="K760" s="92">
        <f>VLOOKUP(H760,'Taux émission CO2e'!$A$5:$D$16,4,FALSE)</f>
        <v>0.16</v>
      </c>
      <c r="L760" s="93">
        <f t="shared" si="105"/>
        <v>5.5599022080000005</v>
      </c>
      <c r="M760" s="92">
        <f>VLOOKUP(H760,'Taux émission CO2e'!$A$20:$D$31,4,FALSE)</f>
        <v>6.7400000000000002E-2</v>
      </c>
      <c r="N760" s="105">
        <f t="shared" si="106"/>
        <v>5.4649205452800009</v>
      </c>
      <c r="O760" s="93">
        <f t="shared" si="107"/>
        <v>11.024822753280002</v>
      </c>
      <c r="P760" s="92">
        <v>173</v>
      </c>
      <c r="Q760" s="92" t="s">
        <v>58</v>
      </c>
      <c r="R760" s="92" t="s">
        <v>544</v>
      </c>
      <c r="S760" s="20">
        <v>715.00800000000004</v>
      </c>
    </row>
    <row r="761" spans="1:19" x14ac:dyDescent="0.15">
      <c r="A761" s="90">
        <v>44666</v>
      </c>
      <c r="B761" s="90" t="str">
        <f t="shared" si="101"/>
        <v>avril</v>
      </c>
      <c r="C761" s="90" t="str">
        <f t="shared" si="102"/>
        <v>2022</v>
      </c>
      <c r="D761" s="90" t="str">
        <f t="shared" si="103"/>
        <v>avril2022</v>
      </c>
      <c r="E761" s="91" t="s">
        <v>713</v>
      </c>
      <c r="F761" s="91">
        <v>200</v>
      </c>
      <c r="G761" s="94">
        <f t="shared" si="104"/>
        <v>0.2</v>
      </c>
      <c r="H761" s="92" t="s">
        <v>46</v>
      </c>
      <c r="I761" s="96">
        <f t="shared" si="99"/>
        <v>0.3</v>
      </c>
      <c r="J761" s="96">
        <f t="shared" si="100"/>
        <v>0.7</v>
      </c>
      <c r="K761" s="92">
        <f>VLOOKUP(H761,'Taux émission CO2e'!$A$5:$D$16,4,FALSE)</f>
        <v>0.16</v>
      </c>
      <c r="L761" s="93">
        <f t="shared" si="105"/>
        <v>2.3884512</v>
      </c>
      <c r="M761" s="92">
        <f>VLOOKUP(H761,'Taux émission CO2e'!$A$20:$D$31,4,FALSE)</f>
        <v>6.7400000000000002E-2</v>
      </c>
      <c r="N761" s="105">
        <f t="shared" si="106"/>
        <v>2.3476484919999998</v>
      </c>
      <c r="O761" s="93">
        <f t="shared" si="107"/>
        <v>4.7360996919999998</v>
      </c>
      <c r="P761" s="92">
        <v>178</v>
      </c>
      <c r="Q761" s="92" t="s">
        <v>58</v>
      </c>
      <c r="R761" s="92" t="s">
        <v>82</v>
      </c>
      <c r="S761" s="20">
        <v>248.797</v>
      </c>
    </row>
    <row r="762" spans="1:19" x14ac:dyDescent="0.15">
      <c r="A762" s="90">
        <v>44666</v>
      </c>
      <c r="B762" s="90" t="str">
        <f t="shared" si="101"/>
        <v>avril</v>
      </c>
      <c r="C762" s="90" t="str">
        <f t="shared" si="102"/>
        <v>2022</v>
      </c>
      <c r="D762" s="90" t="str">
        <f t="shared" si="103"/>
        <v>avril2022</v>
      </c>
      <c r="E762" s="91" t="s">
        <v>714</v>
      </c>
      <c r="F762" s="91">
        <v>55</v>
      </c>
      <c r="G762" s="94">
        <f t="shared" si="104"/>
        <v>5.5E-2</v>
      </c>
      <c r="H762" s="92" t="s">
        <v>46</v>
      </c>
      <c r="I762" s="96">
        <f t="shared" si="99"/>
        <v>0.3</v>
      </c>
      <c r="J762" s="96">
        <f t="shared" si="100"/>
        <v>0.7</v>
      </c>
      <c r="K762" s="92">
        <f>VLOOKUP(H762,'Taux émission CO2e'!$A$5:$D$16,4,FALSE)</f>
        <v>0.16</v>
      </c>
      <c r="L762" s="93">
        <f t="shared" si="105"/>
        <v>2.02295544</v>
      </c>
      <c r="M762" s="92">
        <f>VLOOKUP(H762,'Taux émission CO2e'!$A$20:$D$31,4,FALSE)</f>
        <v>6.7400000000000002E-2</v>
      </c>
      <c r="N762" s="105">
        <f t="shared" si="106"/>
        <v>1.9883966178999997</v>
      </c>
      <c r="O762" s="93">
        <f t="shared" si="107"/>
        <v>4.0113520578999999</v>
      </c>
      <c r="P762" s="92">
        <v>194</v>
      </c>
      <c r="Q762" s="92" t="s">
        <v>58</v>
      </c>
      <c r="R762" s="92" t="s">
        <v>578</v>
      </c>
      <c r="S762" s="20">
        <v>766.27099999999996</v>
      </c>
    </row>
    <row r="763" spans="1:19" x14ac:dyDescent="0.15">
      <c r="A763" s="90">
        <v>44666</v>
      </c>
      <c r="B763" s="90" t="str">
        <f t="shared" si="101"/>
        <v>avril</v>
      </c>
      <c r="C763" s="90" t="str">
        <f t="shared" si="102"/>
        <v>2022</v>
      </c>
      <c r="D763" s="90" t="str">
        <f t="shared" si="103"/>
        <v>avril2022</v>
      </c>
      <c r="E763" s="91" t="s">
        <v>715</v>
      </c>
      <c r="F763" s="91">
        <v>172</v>
      </c>
      <c r="G763" s="94">
        <f t="shared" si="104"/>
        <v>0.17199999999999999</v>
      </c>
      <c r="H763" s="92" t="s">
        <v>46</v>
      </c>
      <c r="I763" s="96">
        <f t="shared" si="99"/>
        <v>0.3</v>
      </c>
      <c r="J763" s="96">
        <f t="shared" si="100"/>
        <v>0.7</v>
      </c>
      <c r="K763" s="92">
        <f>VLOOKUP(H763,'Taux émission CO2e'!$A$5:$D$16,4,FALSE)</f>
        <v>0.16</v>
      </c>
      <c r="L763" s="93">
        <f t="shared" si="105"/>
        <v>2.3174426879999999</v>
      </c>
      <c r="M763" s="92">
        <f>VLOOKUP(H763,'Taux émission CO2e'!$A$20:$D$31,4,FALSE)</f>
        <v>6.7400000000000002E-2</v>
      </c>
      <c r="N763" s="105">
        <f t="shared" si="106"/>
        <v>2.2778530420799994</v>
      </c>
      <c r="O763" s="93">
        <f t="shared" si="107"/>
        <v>4.5952957300799993</v>
      </c>
      <c r="P763" s="92">
        <v>234</v>
      </c>
      <c r="Q763" s="92" t="s">
        <v>58</v>
      </c>
      <c r="R763" s="92" t="s">
        <v>80</v>
      </c>
      <c r="S763" s="20">
        <v>280.69799999999998</v>
      </c>
    </row>
    <row r="764" spans="1:19" x14ac:dyDescent="0.15">
      <c r="A764" s="90">
        <v>44666</v>
      </c>
      <c r="B764" s="90" t="str">
        <f t="shared" si="101"/>
        <v>avril</v>
      </c>
      <c r="C764" s="90" t="str">
        <f t="shared" si="102"/>
        <v>2022</v>
      </c>
      <c r="D764" s="90" t="str">
        <f t="shared" si="103"/>
        <v>avril2022</v>
      </c>
      <c r="E764" s="91" t="s">
        <v>716</v>
      </c>
      <c r="F764" s="91">
        <v>212</v>
      </c>
      <c r="G764" s="94">
        <f t="shared" si="104"/>
        <v>0.21199999999999999</v>
      </c>
      <c r="H764" s="92" t="s">
        <v>46</v>
      </c>
      <c r="I764" s="96">
        <f t="shared" si="99"/>
        <v>0.3</v>
      </c>
      <c r="J764" s="96">
        <f t="shared" si="100"/>
        <v>0.7</v>
      </c>
      <c r="K764" s="92">
        <f>VLOOKUP(H764,'Taux émission CO2e'!$A$5:$D$16,4,FALSE)</f>
        <v>0.16</v>
      </c>
      <c r="L764" s="93">
        <f t="shared" si="105"/>
        <v>3.8715100799999997</v>
      </c>
      <c r="M764" s="92">
        <f>VLOOKUP(H764,'Taux émission CO2e'!$A$20:$D$31,4,FALSE)</f>
        <v>6.7400000000000002E-2</v>
      </c>
      <c r="N764" s="105">
        <f t="shared" si="106"/>
        <v>3.8053717827999995</v>
      </c>
      <c r="O764" s="93">
        <f t="shared" si="107"/>
        <v>7.6768818627999993</v>
      </c>
      <c r="P764" s="92">
        <v>261</v>
      </c>
      <c r="Q764" s="92" t="s">
        <v>58</v>
      </c>
      <c r="R764" s="92" t="s">
        <v>83</v>
      </c>
      <c r="S764" s="20">
        <v>380.45499999999998</v>
      </c>
    </row>
    <row r="765" spans="1:19" x14ac:dyDescent="0.15">
      <c r="A765" s="90">
        <v>44666</v>
      </c>
      <c r="B765" s="90" t="str">
        <f t="shared" si="101"/>
        <v>avril</v>
      </c>
      <c r="C765" s="90" t="str">
        <f t="shared" si="102"/>
        <v>2022</v>
      </c>
      <c r="D765" s="90" t="str">
        <f t="shared" si="103"/>
        <v>avril2022</v>
      </c>
      <c r="E765" s="91" t="s">
        <v>717</v>
      </c>
      <c r="F765" s="91">
        <v>364</v>
      </c>
      <c r="G765" s="94">
        <f t="shared" si="104"/>
        <v>0.36399999999999999</v>
      </c>
      <c r="H765" s="92" t="s">
        <v>46</v>
      </c>
      <c r="I765" s="96">
        <f t="shared" si="99"/>
        <v>0.3</v>
      </c>
      <c r="J765" s="96">
        <f t="shared" si="100"/>
        <v>0.7</v>
      </c>
      <c r="K765" s="92">
        <f>VLOOKUP(H765,'Taux émission CO2e'!$A$5:$D$16,4,FALSE)</f>
        <v>0.16</v>
      </c>
      <c r="L765" s="93">
        <f t="shared" si="105"/>
        <v>8.0110343040000007</v>
      </c>
      <c r="M765" s="92">
        <f>VLOOKUP(H765,'Taux émission CO2e'!$A$20:$D$31,4,FALSE)</f>
        <v>6.7400000000000002E-2</v>
      </c>
      <c r="N765" s="105">
        <f t="shared" si="106"/>
        <v>7.8741791346400003</v>
      </c>
      <c r="O765" s="93">
        <f t="shared" si="107"/>
        <v>15.885213438640001</v>
      </c>
      <c r="P765" s="92">
        <v>280</v>
      </c>
      <c r="Q765" s="92" t="s">
        <v>58</v>
      </c>
      <c r="R765" s="92" t="s">
        <v>427</v>
      </c>
      <c r="S765" s="20">
        <v>458.50700000000001</v>
      </c>
    </row>
    <row r="766" spans="1:19" x14ac:dyDescent="0.15">
      <c r="A766" s="90">
        <v>44666</v>
      </c>
      <c r="B766" s="90" t="str">
        <f t="shared" si="101"/>
        <v>avril</v>
      </c>
      <c r="C766" s="90" t="str">
        <f t="shared" si="102"/>
        <v>2022</v>
      </c>
      <c r="D766" s="90" t="str">
        <f t="shared" si="103"/>
        <v>avril2022</v>
      </c>
      <c r="E766" s="91" t="s">
        <v>718</v>
      </c>
      <c r="F766" s="91">
        <v>500</v>
      </c>
      <c r="G766" s="94">
        <f t="shared" si="104"/>
        <v>0.5</v>
      </c>
      <c r="H766" s="92" t="s">
        <v>46</v>
      </c>
      <c r="I766" s="96">
        <f t="shared" si="99"/>
        <v>0.3</v>
      </c>
      <c r="J766" s="96">
        <f t="shared" si="100"/>
        <v>0.7</v>
      </c>
      <c r="K766" s="92">
        <f>VLOOKUP(H766,'Taux émission CO2e'!$A$5:$D$16,4,FALSE)</f>
        <v>0.16</v>
      </c>
      <c r="L766" s="93">
        <f t="shared" si="105"/>
        <v>5.9156400000000007</v>
      </c>
      <c r="M766" s="92">
        <f>VLOOKUP(H766,'Taux émission CO2e'!$A$20:$D$31,4,FALSE)</f>
        <v>6.7400000000000002E-2</v>
      </c>
      <c r="N766" s="105">
        <f t="shared" si="106"/>
        <v>5.8145811500000004</v>
      </c>
      <c r="O766" s="93">
        <f t="shared" si="107"/>
        <v>11.730221150000002</v>
      </c>
      <c r="P766" s="92">
        <v>370</v>
      </c>
      <c r="Q766" s="92" t="s">
        <v>58</v>
      </c>
      <c r="R766" s="92" t="s">
        <v>127</v>
      </c>
      <c r="S766" s="20">
        <v>246.48500000000001</v>
      </c>
    </row>
    <row r="767" spans="1:19" x14ac:dyDescent="0.15">
      <c r="A767" s="90">
        <v>44666</v>
      </c>
      <c r="B767" s="90" t="str">
        <f t="shared" si="101"/>
        <v>avril</v>
      </c>
      <c r="C767" s="90" t="str">
        <f t="shared" si="102"/>
        <v>2022</v>
      </c>
      <c r="D767" s="90" t="str">
        <f t="shared" si="103"/>
        <v>avril2022</v>
      </c>
      <c r="E767" s="91" t="s">
        <v>719</v>
      </c>
      <c r="F767" s="92">
        <v>5000</v>
      </c>
      <c r="G767" s="94">
        <f t="shared" si="104"/>
        <v>5</v>
      </c>
      <c r="H767" s="92" t="s">
        <v>43</v>
      </c>
      <c r="I767" s="96">
        <f t="shared" si="99"/>
        <v>1</v>
      </c>
      <c r="J767" s="96">
        <f t="shared" si="100"/>
        <v>0</v>
      </c>
      <c r="K767" s="92">
        <f>VLOOKUP(H767,'Taux émission CO2e'!$A$5:$D$16,4,FALSE)</f>
        <v>0.16</v>
      </c>
      <c r="L767" s="93">
        <f t="shared" si="105"/>
        <v>198.03280000000001</v>
      </c>
      <c r="M767" s="92">
        <f>VLOOKUP(H767,'Taux émission CO2e'!$A$20:$D$31,4,FALSE)</f>
        <v>0</v>
      </c>
      <c r="N767" s="105">
        <f t="shared" si="106"/>
        <v>0</v>
      </c>
      <c r="O767" s="93">
        <f t="shared" si="107"/>
        <v>198.03280000000001</v>
      </c>
      <c r="P767" s="92">
        <v>550</v>
      </c>
      <c r="Q767" s="92" t="s">
        <v>109</v>
      </c>
      <c r="R767" s="92" t="s">
        <v>55</v>
      </c>
      <c r="S767" s="20">
        <v>247.541</v>
      </c>
    </row>
    <row r="768" spans="1:19" x14ac:dyDescent="0.15">
      <c r="A768" s="90">
        <v>44670</v>
      </c>
      <c r="B768" s="90" t="str">
        <f t="shared" si="101"/>
        <v>avril</v>
      </c>
      <c r="C768" s="90" t="str">
        <f t="shared" si="102"/>
        <v>2022</v>
      </c>
      <c r="D768" s="90" t="str">
        <f t="shared" si="103"/>
        <v>avril2022</v>
      </c>
      <c r="E768" s="91" t="s">
        <v>720</v>
      </c>
      <c r="F768" s="91">
        <v>219</v>
      </c>
      <c r="G768" s="94">
        <f t="shared" si="104"/>
        <v>0.219</v>
      </c>
      <c r="H768" s="92" t="s">
        <v>46</v>
      </c>
      <c r="I768" s="96">
        <f t="shared" si="99"/>
        <v>0.3</v>
      </c>
      <c r="J768" s="96">
        <f t="shared" si="100"/>
        <v>0.7</v>
      </c>
      <c r="K768" s="92">
        <f>VLOOKUP(H768,'Taux émission CO2e'!$A$5:$D$16,4,FALSE)</f>
        <v>0.16</v>
      </c>
      <c r="L768" s="93">
        <f t="shared" si="105"/>
        <v>5.6661151680000001</v>
      </c>
      <c r="M768" s="92">
        <f>VLOOKUP(H768,'Taux émission CO2e'!$A$20:$D$31,4,FALSE)</f>
        <v>6.7400000000000002E-2</v>
      </c>
      <c r="N768" s="105">
        <f t="shared" si="106"/>
        <v>5.5693190338800003</v>
      </c>
      <c r="O768" s="93">
        <f t="shared" si="107"/>
        <v>11.23543420188</v>
      </c>
      <c r="P768" s="92">
        <v>133</v>
      </c>
      <c r="Q768" s="92" t="s">
        <v>58</v>
      </c>
      <c r="R768" s="92" t="s">
        <v>405</v>
      </c>
      <c r="S768" s="20">
        <v>539.01400000000001</v>
      </c>
    </row>
    <row r="769" spans="1:19" x14ac:dyDescent="0.15">
      <c r="A769" s="90">
        <v>44670</v>
      </c>
      <c r="B769" s="90" t="str">
        <f t="shared" si="101"/>
        <v>avril</v>
      </c>
      <c r="C769" s="90" t="str">
        <f t="shared" si="102"/>
        <v>2022</v>
      </c>
      <c r="D769" s="90" t="str">
        <f t="shared" si="103"/>
        <v>avril2022</v>
      </c>
      <c r="E769" s="91" t="s">
        <v>721</v>
      </c>
      <c r="F769" s="91">
        <v>150</v>
      </c>
      <c r="G769" s="94">
        <f t="shared" si="104"/>
        <v>0.15</v>
      </c>
      <c r="H769" s="92" t="s">
        <v>46</v>
      </c>
      <c r="I769" s="96">
        <f t="shared" si="99"/>
        <v>0.3</v>
      </c>
      <c r="J769" s="96">
        <f t="shared" si="100"/>
        <v>0.7</v>
      </c>
      <c r="K769" s="92">
        <f>VLOOKUP(H769,'Taux émission CO2e'!$A$5:$D$16,4,FALSE)</f>
        <v>0.16</v>
      </c>
      <c r="L769" s="93">
        <f t="shared" si="105"/>
        <v>2.7402191999999999</v>
      </c>
      <c r="M769" s="92">
        <f>VLOOKUP(H769,'Taux émission CO2e'!$A$20:$D$31,4,FALSE)</f>
        <v>6.7400000000000002E-2</v>
      </c>
      <c r="N769" s="105">
        <f t="shared" si="106"/>
        <v>2.693407122</v>
      </c>
      <c r="O769" s="93">
        <f t="shared" si="107"/>
        <v>5.4336263220000003</v>
      </c>
      <c r="P769" s="92">
        <v>166</v>
      </c>
      <c r="Q769" s="92" t="s">
        <v>91</v>
      </c>
      <c r="R769" s="92" t="s">
        <v>55</v>
      </c>
      <c r="S769" s="20">
        <v>380.58600000000001</v>
      </c>
    </row>
    <row r="770" spans="1:19" x14ac:dyDescent="0.15">
      <c r="A770" s="90">
        <v>44671</v>
      </c>
      <c r="B770" s="90" t="str">
        <f t="shared" si="101"/>
        <v>avril</v>
      </c>
      <c r="C770" s="90" t="str">
        <f t="shared" si="102"/>
        <v>2022</v>
      </c>
      <c r="D770" s="90" t="str">
        <f t="shared" si="103"/>
        <v>avril2022</v>
      </c>
      <c r="E770" s="91" t="s">
        <v>722</v>
      </c>
      <c r="F770" s="91">
        <v>150</v>
      </c>
      <c r="G770" s="94">
        <f t="shared" si="104"/>
        <v>0.15</v>
      </c>
      <c r="H770" s="92" t="s">
        <v>38</v>
      </c>
      <c r="I770" s="96">
        <f t="shared" ref="I770:I833" si="108">VLOOKUP(H770,Segment1,2,FALSE)</f>
        <v>1</v>
      </c>
      <c r="J770" s="96">
        <f t="shared" ref="J770:J833" si="109">VLOOKUP(H770,Segment2,2,FALSE)</f>
        <v>0</v>
      </c>
      <c r="K770" s="92">
        <f>VLOOKUP(H770,'Taux émission CO2e'!$A$5:$D$16,4,FALSE)</f>
        <v>0.24099999999999999</v>
      </c>
      <c r="L770" s="93">
        <f t="shared" si="105"/>
        <v>1.2287746499999999</v>
      </c>
      <c r="M770" s="92">
        <f>VLOOKUP(H770,'Taux émission CO2e'!$A$20:$D$31,4,FALSE)</f>
        <v>0</v>
      </c>
      <c r="N770" s="105">
        <f t="shared" si="106"/>
        <v>0</v>
      </c>
      <c r="O770" s="93">
        <f t="shared" si="107"/>
        <v>1.2287746499999999</v>
      </c>
      <c r="P770" s="92">
        <v>80</v>
      </c>
      <c r="Q770" s="92" t="s">
        <v>67</v>
      </c>
      <c r="R770" s="92" t="s">
        <v>55</v>
      </c>
      <c r="S770" s="20">
        <v>33.991</v>
      </c>
    </row>
    <row r="771" spans="1:19" x14ac:dyDescent="0.15">
      <c r="A771" s="90">
        <v>44671</v>
      </c>
      <c r="B771" s="90" t="str">
        <f t="shared" ref="B771:B834" si="110">TEXT(A771,"mmmm")</f>
        <v>avril</v>
      </c>
      <c r="C771" s="90" t="str">
        <f t="shared" ref="C771:C834" si="111">TEXT(A771,"aaaa")</f>
        <v>2022</v>
      </c>
      <c r="D771" s="90" t="str">
        <f t="shared" ref="D771:D834" si="112">B771&amp;C771</f>
        <v>avril2022</v>
      </c>
      <c r="E771" s="91" t="s">
        <v>723</v>
      </c>
      <c r="F771" s="91">
        <v>365</v>
      </c>
      <c r="G771" s="94">
        <f t="shared" ref="G771:G834" si="113">F771/1000</f>
        <v>0.36499999999999999</v>
      </c>
      <c r="H771" s="92" t="s">
        <v>38</v>
      </c>
      <c r="I771" s="96">
        <f t="shared" si="108"/>
        <v>1</v>
      </c>
      <c r="J771" s="96">
        <f t="shared" si="109"/>
        <v>0</v>
      </c>
      <c r="K771" s="92">
        <f>VLOOKUP(H771,'Taux émission CO2e'!$A$5:$D$16,4,FALSE)</f>
        <v>0.24099999999999999</v>
      </c>
      <c r="L771" s="93">
        <f t="shared" ref="L771:L834" si="114">IFERROR(I771*K771*G771*S771,"0")</f>
        <v>2.9983749899999999</v>
      </c>
      <c r="M771" s="92">
        <f>VLOOKUP(H771,'Taux émission CO2e'!$A$20:$D$31,4,FALSE)</f>
        <v>0</v>
      </c>
      <c r="N771" s="105">
        <f t="shared" ref="N771:N834" si="115">IFERROR(J771*M771*G771*S771,"0")</f>
        <v>0</v>
      </c>
      <c r="O771" s="93">
        <f t="shared" ref="O771:O834" si="116">L771+N771</f>
        <v>2.9983749899999999</v>
      </c>
      <c r="P771" s="92">
        <v>125</v>
      </c>
      <c r="Q771" s="92" t="s">
        <v>58</v>
      </c>
      <c r="R771" s="92" t="s">
        <v>98</v>
      </c>
      <c r="S771" s="20">
        <v>34.085999999999999</v>
      </c>
    </row>
    <row r="772" spans="1:19" x14ac:dyDescent="0.15">
      <c r="A772" s="90">
        <v>44671</v>
      </c>
      <c r="B772" s="90" t="str">
        <f t="shared" si="110"/>
        <v>avril</v>
      </c>
      <c r="C772" s="90" t="str">
        <f t="shared" si="111"/>
        <v>2022</v>
      </c>
      <c r="D772" s="90" t="str">
        <f t="shared" si="112"/>
        <v>avril2022</v>
      </c>
      <c r="E772" s="91" t="s">
        <v>724</v>
      </c>
      <c r="F772" s="91">
        <v>200</v>
      </c>
      <c r="G772" s="94">
        <f t="shared" si="113"/>
        <v>0.2</v>
      </c>
      <c r="H772" s="92" t="s">
        <v>46</v>
      </c>
      <c r="I772" s="96">
        <f t="shared" si="108"/>
        <v>0.3</v>
      </c>
      <c r="J772" s="96">
        <f t="shared" si="109"/>
        <v>0.7</v>
      </c>
      <c r="K772" s="92">
        <f>VLOOKUP(H772,'Taux émission CO2e'!$A$5:$D$16,4,FALSE)</f>
        <v>0.16</v>
      </c>
      <c r="L772" s="93">
        <f t="shared" si="114"/>
        <v>4.2834336000000004</v>
      </c>
      <c r="M772" s="92">
        <f>VLOOKUP(H772,'Taux émission CO2e'!$A$20:$D$31,4,FALSE)</f>
        <v>6.7400000000000002E-2</v>
      </c>
      <c r="N772" s="105">
        <f t="shared" si="115"/>
        <v>4.2102582759999994</v>
      </c>
      <c r="O772" s="93">
        <f t="shared" si="116"/>
        <v>8.4936918759999998</v>
      </c>
      <c r="P772" s="92">
        <v>130</v>
      </c>
      <c r="Q772" s="92" t="s">
        <v>58</v>
      </c>
      <c r="R772" s="92" t="s">
        <v>529</v>
      </c>
      <c r="S772" s="20">
        <v>446.19099999999997</v>
      </c>
    </row>
    <row r="773" spans="1:19" x14ac:dyDescent="0.15">
      <c r="A773" s="90">
        <v>44671</v>
      </c>
      <c r="B773" s="90" t="str">
        <f t="shared" si="110"/>
        <v>avril</v>
      </c>
      <c r="C773" s="90" t="str">
        <f t="shared" si="111"/>
        <v>2022</v>
      </c>
      <c r="D773" s="90" t="str">
        <f t="shared" si="112"/>
        <v>avril2022</v>
      </c>
      <c r="E773" s="91" t="s">
        <v>725</v>
      </c>
      <c r="F773" s="91">
        <v>150</v>
      </c>
      <c r="G773" s="94">
        <f t="shared" si="113"/>
        <v>0.15</v>
      </c>
      <c r="H773" s="92" t="s">
        <v>45</v>
      </c>
      <c r="I773" s="96">
        <f t="shared" si="108"/>
        <v>0.3</v>
      </c>
      <c r="J773" s="96">
        <f t="shared" si="109"/>
        <v>0.7</v>
      </c>
      <c r="K773" s="92">
        <f>VLOOKUP(H773,'Taux émission CO2e'!$A$5:$D$16,4,FALSE)</f>
        <v>0.16</v>
      </c>
      <c r="L773" s="93">
        <f t="shared" si="114"/>
        <v>2.0026439999999996</v>
      </c>
      <c r="M773" s="92">
        <f>VLOOKUP(H773,'Taux émission CO2e'!$A$20:$D$31,4,FALSE)</f>
        <v>6.7400000000000002E-2</v>
      </c>
      <c r="N773" s="105">
        <f t="shared" si="115"/>
        <v>1.9684321649999998</v>
      </c>
      <c r="O773" s="93">
        <f t="shared" si="116"/>
        <v>3.9710761649999995</v>
      </c>
      <c r="P773" s="92">
        <v>158</v>
      </c>
      <c r="Q773" s="92" t="s">
        <v>74</v>
      </c>
      <c r="R773" s="92" t="s">
        <v>55</v>
      </c>
      <c r="S773" s="20">
        <v>278.14499999999998</v>
      </c>
    </row>
    <row r="774" spans="1:19" x14ac:dyDescent="0.15">
      <c r="A774" s="90">
        <v>44671</v>
      </c>
      <c r="B774" s="90" t="str">
        <f t="shared" si="110"/>
        <v>avril</v>
      </c>
      <c r="C774" s="90" t="str">
        <f t="shared" si="111"/>
        <v>2022</v>
      </c>
      <c r="D774" s="90" t="str">
        <f t="shared" si="112"/>
        <v>avril2022</v>
      </c>
      <c r="E774" s="91" t="s">
        <v>726</v>
      </c>
      <c r="F774" s="91">
        <v>546</v>
      </c>
      <c r="G774" s="94">
        <f t="shared" si="113"/>
        <v>0.54600000000000004</v>
      </c>
      <c r="H774" s="92" t="s">
        <v>38</v>
      </c>
      <c r="I774" s="96">
        <f t="shared" si="108"/>
        <v>1</v>
      </c>
      <c r="J774" s="96">
        <f t="shared" si="109"/>
        <v>0</v>
      </c>
      <c r="K774" s="92">
        <f>VLOOKUP(H774,'Taux émission CO2e'!$A$5:$D$16,4,FALSE)</f>
        <v>0.24099999999999999</v>
      </c>
      <c r="L774" s="93">
        <f t="shared" si="114"/>
        <v>6.1354604220000004</v>
      </c>
      <c r="M774" s="92">
        <f>VLOOKUP(H774,'Taux émission CO2e'!$A$20:$D$31,4,FALSE)</f>
        <v>0</v>
      </c>
      <c r="N774" s="105">
        <f t="shared" si="115"/>
        <v>0</v>
      </c>
      <c r="O774" s="93">
        <f t="shared" si="116"/>
        <v>6.1354604220000004</v>
      </c>
      <c r="P774" s="92">
        <v>250</v>
      </c>
      <c r="Q774" s="92" t="s">
        <v>58</v>
      </c>
      <c r="R774" s="92" t="s">
        <v>421</v>
      </c>
      <c r="S774" s="20">
        <v>46.627000000000002</v>
      </c>
    </row>
    <row r="775" spans="1:19" x14ac:dyDescent="0.15">
      <c r="A775" s="90">
        <v>44671</v>
      </c>
      <c r="B775" s="90" t="str">
        <f t="shared" si="110"/>
        <v>avril</v>
      </c>
      <c r="C775" s="90" t="str">
        <f t="shared" si="111"/>
        <v>2022</v>
      </c>
      <c r="D775" s="90" t="str">
        <f t="shared" si="112"/>
        <v>avril2022</v>
      </c>
      <c r="E775" s="91" t="s">
        <v>727</v>
      </c>
      <c r="F775" s="92">
        <v>2000</v>
      </c>
      <c r="G775" s="94">
        <f t="shared" si="113"/>
        <v>2</v>
      </c>
      <c r="H775" s="92" t="s">
        <v>32</v>
      </c>
      <c r="I775" s="96">
        <f t="shared" si="108"/>
        <v>1</v>
      </c>
      <c r="J775" s="96">
        <f t="shared" si="109"/>
        <v>0</v>
      </c>
      <c r="K775" s="92">
        <f>VLOOKUP(H775,'Taux émission CO2e'!$A$5:$D$16,4,FALSE)</f>
        <v>6.7400000000000002E-2</v>
      </c>
      <c r="L775" s="93">
        <f t="shared" si="114"/>
        <v>7.3817828000000008</v>
      </c>
      <c r="M775" s="92">
        <f>VLOOKUP(H775,'Taux émission CO2e'!$A$20:$D$31,4,FALSE)</f>
        <v>0</v>
      </c>
      <c r="N775" s="105">
        <f t="shared" si="115"/>
        <v>0</v>
      </c>
      <c r="O775" s="93">
        <f t="shared" si="116"/>
        <v>7.3817828000000008</v>
      </c>
      <c r="P775" s="92">
        <v>280</v>
      </c>
      <c r="Q775" s="92" t="s">
        <v>56</v>
      </c>
      <c r="R775" s="92" t="s">
        <v>55</v>
      </c>
      <c r="S775" s="20">
        <v>54.761000000000003</v>
      </c>
    </row>
    <row r="776" spans="1:19" x14ac:dyDescent="0.15">
      <c r="A776" s="90">
        <v>44671</v>
      </c>
      <c r="B776" s="90" t="str">
        <f t="shared" si="110"/>
        <v>avril</v>
      </c>
      <c r="C776" s="90" t="str">
        <f t="shared" si="111"/>
        <v>2022</v>
      </c>
      <c r="D776" s="90" t="str">
        <f t="shared" si="112"/>
        <v>avril2022</v>
      </c>
      <c r="E776" s="91" t="s">
        <v>728</v>
      </c>
      <c r="F776" s="91">
        <v>800</v>
      </c>
      <c r="G776" s="94">
        <f t="shared" si="113"/>
        <v>0.8</v>
      </c>
      <c r="H776" s="92" t="s">
        <v>46</v>
      </c>
      <c r="I776" s="96">
        <f t="shared" si="108"/>
        <v>0.3</v>
      </c>
      <c r="J776" s="96">
        <f t="shared" si="109"/>
        <v>0.7</v>
      </c>
      <c r="K776" s="92">
        <f>VLOOKUP(H776,'Taux émission CO2e'!$A$5:$D$16,4,FALSE)</f>
        <v>0.16</v>
      </c>
      <c r="L776" s="93">
        <f t="shared" si="114"/>
        <v>28.433088000000005</v>
      </c>
      <c r="M776" s="92">
        <f>VLOOKUP(H776,'Taux émission CO2e'!$A$20:$D$31,4,FALSE)</f>
        <v>6.7400000000000002E-2</v>
      </c>
      <c r="N776" s="105">
        <f t="shared" si="115"/>
        <v>27.947356080000002</v>
      </c>
      <c r="O776" s="93">
        <f t="shared" si="116"/>
        <v>56.380444080000004</v>
      </c>
      <c r="P776" s="92">
        <v>380</v>
      </c>
      <c r="Q776" s="92" t="s">
        <v>58</v>
      </c>
      <c r="R776" s="92" t="s">
        <v>59</v>
      </c>
      <c r="S776" s="20">
        <v>740.44500000000005</v>
      </c>
    </row>
    <row r="777" spans="1:19" x14ac:dyDescent="0.15">
      <c r="A777" s="90">
        <v>44672</v>
      </c>
      <c r="B777" s="90" t="str">
        <f t="shared" si="110"/>
        <v>avril</v>
      </c>
      <c r="C777" s="90" t="str">
        <f t="shared" si="111"/>
        <v>2022</v>
      </c>
      <c r="D777" s="90" t="str">
        <f t="shared" si="112"/>
        <v>avril2022</v>
      </c>
      <c r="E777" s="91" t="s">
        <v>729</v>
      </c>
      <c r="F777" s="91">
        <v>150</v>
      </c>
      <c r="G777" s="94">
        <f t="shared" si="113"/>
        <v>0.15</v>
      </c>
      <c r="H777" s="92" t="s">
        <v>46</v>
      </c>
      <c r="I777" s="96">
        <f t="shared" si="108"/>
        <v>0.3</v>
      </c>
      <c r="J777" s="96">
        <f t="shared" si="109"/>
        <v>0.7</v>
      </c>
      <c r="K777" s="92">
        <f>VLOOKUP(H777,'Taux émission CO2e'!$A$5:$D$16,4,FALSE)</f>
        <v>0.16</v>
      </c>
      <c r="L777" s="93">
        <f t="shared" si="114"/>
        <v>1.9215215999999999</v>
      </c>
      <c r="M777" s="92">
        <f>VLOOKUP(H777,'Taux émission CO2e'!$A$20:$D$31,4,FALSE)</f>
        <v>6.7400000000000002E-2</v>
      </c>
      <c r="N777" s="105">
        <f t="shared" si="115"/>
        <v>1.888695606</v>
      </c>
      <c r="O777" s="93">
        <f t="shared" si="116"/>
        <v>3.8102172059999999</v>
      </c>
      <c r="P777" s="92">
        <v>135</v>
      </c>
      <c r="Q777" s="92" t="s">
        <v>730</v>
      </c>
      <c r="R777" s="92" t="s">
        <v>55</v>
      </c>
      <c r="S777" s="20">
        <v>266.87799999999999</v>
      </c>
    </row>
    <row r="778" spans="1:19" x14ac:dyDescent="0.15">
      <c r="A778" s="90">
        <v>44672</v>
      </c>
      <c r="B778" s="90" t="str">
        <f t="shared" si="110"/>
        <v>avril</v>
      </c>
      <c r="C778" s="90" t="str">
        <f t="shared" si="111"/>
        <v>2022</v>
      </c>
      <c r="D778" s="90" t="str">
        <f t="shared" si="112"/>
        <v>avril2022</v>
      </c>
      <c r="E778" s="91" t="s">
        <v>731</v>
      </c>
      <c r="F778" s="91">
        <v>300</v>
      </c>
      <c r="G778" s="94">
        <f t="shared" si="113"/>
        <v>0.3</v>
      </c>
      <c r="H778" s="92" t="s">
        <v>46</v>
      </c>
      <c r="I778" s="96">
        <f t="shared" si="108"/>
        <v>0.3</v>
      </c>
      <c r="J778" s="96">
        <f t="shared" si="109"/>
        <v>0.7</v>
      </c>
      <c r="K778" s="92">
        <f>VLOOKUP(H778,'Taux émission CO2e'!$A$5:$D$16,4,FALSE)</f>
        <v>0.16</v>
      </c>
      <c r="L778" s="93">
        <f t="shared" si="114"/>
        <v>7.7979743999999993</v>
      </c>
      <c r="M778" s="92">
        <f>VLOOKUP(H778,'Taux émission CO2e'!$A$20:$D$31,4,FALSE)</f>
        <v>6.7400000000000002E-2</v>
      </c>
      <c r="N778" s="105">
        <f t="shared" si="115"/>
        <v>7.6647590039999995</v>
      </c>
      <c r="O778" s="93">
        <f t="shared" si="116"/>
        <v>15.462733403999998</v>
      </c>
      <c r="P778" s="92">
        <v>156</v>
      </c>
      <c r="Q778" s="92" t="s">
        <v>62</v>
      </c>
      <c r="R778" s="92" t="s">
        <v>55</v>
      </c>
      <c r="S778" s="20">
        <v>541.52599999999995</v>
      </c>
    </row>
    <row r="779" spans="1:19" x14ac:dyDescent="0.15">
      <c r="A779" s="90">
        <v>44672</v>
      </c>
      <c r="B779" s="90" t="str">
        <f t="shared" si="110"/>
        <v>avril</v>
      </c>
      <c r="C779" s="90" t="str">
        <f t="shared" si="111"/>
        <v>2022</v>
      </c>
      <c r="D779" s="90" t="str">
        <f t="shared" si="112"/>
        <v>avril2022</v>
      </c>
      <c r="E779" s="91" t="s">
        <v>732</v>
      </c>
      <c r="F779" s="91">
        <v>150</v>
      </c>
      <c r="G779" s="94">
        <f t="shared" si="113"/>
        <v>0.15</v>
      </c>
      <c r="H779" s="92" t="s">
        <v>45</v>
      </c>
      <c r="I779" s="96">
        <f t="shared" si="108"/>
        <v>0.3</v>
      </c>
      <c r="J779" s="96">
        <f t="shared" si="109"/>
        <v>0.7</v>
      </c>
      <c r="K779" s="92">
        <f>VLOOKUP(H779,'Taux émission CO2e'!$A$5:$D$16,4,FALSE)</f>
        <v>0.16</v>
      </c>
      <c r="L779" s="93">
        <f t="shared" si="114"/>
        <v>1.8020015999999999</v>
      </c>
      <c r="M779" s="92">
        <f>VLOOKUP(H779,'Taux émission CO2e'!$A$20:$D$31,4,FALSE)</f>
        <v>6.7400000000000002E-2</v>
      </c>
      <c r="N779" s="105">
        <f t="shared" si="115"/>
        <v>1.7712174059999999</v>
      </c>
      <c r="O779" s="93">
        <f t="shared" si="116"/>
        <v>3.5732190059999995</v>
      </c>
      <c r="P779" s="92">
        <v>190</v>
      </c>
      <c r="Q779" s="92" t="s">
        <v>89</v>
      </c>
      <c r="R779" s="92" t="s">
        <v>55</v>
      </c>
      <c r="S779" s="20">
        <v>250.27799999999999</v>
      </c>
    </row>
    <row r="780" spans="1:19" x14ac:dyDescent="0.15">
      <c r="A780" s="90">
        <v>44673</v>
      </c>
      <c r="B780" s="90" t="str">
        <f t="shared" si="110"/>
        <v>avril</v>
      </c>
      <c r="C780" s="90" t="str">
        <f t="shared" si="111"/>
        <v>2022</v>
      </c>
      <c r="D780" s="90" t="str">
        <f t="shared" si="112"/>
        <v>avril2022</v>
      </c>
      <c r="E780" s="91" t="s">
        <v>733</v>
      </c>
      <c r="F780" s="91">
        <v>150</v>
      </c>
      <c r="G780" s="94">
        <f t="shared" si="113"/>
        <v>0.15</v>
      </c>
      <c r="H780" s="92" t="s">
        <v>46</v>
      </c>
      <c r="I780" s="96">
        <f t="shared" si="108"/>
        <v>0.3</v>
      </c>
      <c r="J780" s="96">
        <f t="shared" si="109"/>
        <v>0.7</v>
      </c>
      <c r="K780" s="92">
        <f>VLOOKUP(H780,'Taux émission CO2e'!$A$5:$D$16,4,FALSE)</f>
        <v>0.16</v>
      </c>
      <c r="L780" s="93">
        <f t="shared" si="114"/>
        <v>1.8579095999999999</v>
      </c>
      <c r="M780" s="92">
        <f>VLOOKUP(H780,'Taux émission CO2e'!$A$20:$D$31,4,FALSE)</f>
        <v>6.7400000000000002E-2</v>
      </c>
      <c r="N780" s="105">
        <f t="shared" si="115"/>
        <v>1.826170311</v>
      </c>
      <c r="O780" s="93">
        <f t="shared" si="116"/>
        <v>3.684079911</v>
      </c>
      <c r="P780" s="92">
        <v>131</v>
      </c>
      <c r="Q780" s="92" t="s">
        <v>102</v>
      </c>
      <c r="R780" s="92" t="s">
        <v>55</v>
      </c>
      <c r="S780" s="20">
        <v>258.04300000000001</v>
      </c>
    </row>
    <row r="781" spans="1:19" x14ac:dyDescent="0.15">
      <c r="A781" s="90">
        <v>44673</v>
      </c>
      <c r="B781" s="90" t="str">
        <f t="shared" si="110"/>
        <v>avril</v>
      </c>
      <c r="C781" s="90" t="str">
        <f t="shared" si="111"/>
        <v>2022</v>
      </c>
      <c r="D781" s="90" t="str">
        <f t="shared" si="112"/>
        <v>avril2022</v>
      </c>
      <c r="E781" s="91" t="s">
        <v>734</v>
      </c>
      <c r="F781" s="91">
        <v>450</v>
      </c>
      <c r="G781" s="94">
        <f t="shared" si="113"/>
        <v>0.45</v>
      </c>
      <c r="H781" s="92" t="s">
        <v>45</v>
      </c>
      <c r="I781" s="96">
        <f t="shared" si="108"/>
        <v>0.3</v>
      </c>
      <c r="J781" s="96">
        <f t="shared" si="109"/>
        <v>0.7</v>
      </c>
      <c r="K781" s="92">
        <f>VLOOKUP(H781,'Taux émission CO2e'!$A$5:$D$16,4,FALSE)</f>
        <v>0.16</v>
      </c>
      <c r="L781" s="93">
        <f t="shared" si="114"/>
        <v>1.0071432</v>
      </c>
      <c r="M781" s="92">
        <f>VLOOKUP(H781,'Taux émission CO2e'!$A$20:$D$31,4,FALSE)</f>
        <v>6.7400000000000002E-2</v>
      </c>
      <c r="N781" s="105">
        <f t="shared" si="115"/>
        <v>0.98993783700000004</v>
      </c>
      <c r="O781" s="93">
        <f t="shared" si="116"/>
        <v>1.9970810370000001</v>
      </c>
      <c r="P781" s="92">
        <v>160</v>
      </c>
      <c r="Q781" s="92" t="s">
        <v>58</v>
      </c>
      <c r="R781" s="92" t="s">
        <v>421</v>
      </c>
      <c r="S781" s="20">
        <v>46.627000000000002</v>
      </c>
    </row>
    <row r="782" spans="1:19" x14ac:dyDescent="0.15">
      <c r="A782" s="90">
        <v>44673</v>
      </c>
      <c r="B782" s="90" t="str">
        <f t="shared" si="110"/>
        <v>avril</v>
      </c>
      <c r="C782" s="90" t="str">
        <f t="shared" si="111"/>
        <v>2022</v>
      </c>
      <c r="D782" s="90" t="str">
        <f t="shared" si="112"/>
        <v>avril2022</v>
      </c>
      <c r="E782" s="91" t="s">
        <v>735</v>
      </c>
      <c r="F782" s="91">
        <v>300</v>
      </c>
      <c r="G782" s="94">
        <f t="shared" si="113"/>
        <v>0.3</v>
      </c>
      <c r="H782" s="92" t="s">
        <v>45</v>
      </c>
      <c r="I782" s="96">
        <f t="shared" si="108"/>
        <v>0.3</v>
      </c>
      <c r="J782" s="96">
        <f t="shared" si="109"/>
        <v>0.7</v>
      </c>
      <c r="K782" s="92">
        <f>VLOOKUP(H782,'Taux émission CO2e'!$A$5:$D$16,4,FALSE)</f>
        <v>0.16</v>
      </c>
      <c r="L782" s="93">
        <f t="shared" si="114"/>
        <v>4.0103568000000003</v>
      </c>
      <c r="M782" s="92">
        <f>VLOOKUP(H782,'Taux émission CO2e'!$A$20:$D$31,4,FALSE)</f>
        <v>6.7400000000000002E-2</v>
      </c>
      <c r="N782" s="105">
        <f t="shared" si="115"/>
        <v>3.9418465380000001</v>
      </c>
      <c r="O782" s="93">
        <f t="shared" si="116"/>
        <v>7.9522033380000003</v>
      </c>
      <c r="P782" s="92">
        <v>180</v>
      </c>
      <c r="Q782" s="92" t="s">
        <v>90</v>
      </c>
      <c r="R782" s="92" t="s">
        <v>55</v>
      </c>
      <c r="S782" s="20">
        <v>278.49700000000001</v>
      </c>
    </row>
    <row r="783" spans="1:19" x14ac:dyDescent="0.15">
      <c r="A783" s="90">
        <v>44673</v>
      </c>
      <c r="B783" s="90" t="str">
        <f t="shared" si="110"/>
        <v>avril</v>
      </c>
      <c r="C783" s="90" t="str">
        <f t="shared" si="111"/>
        <v>2022</v>
      </c>
      <c r="D783" s="90" t="str">
        <f t="shared" si="112"/>
        <v>avril2022</v>
      </c>
      <c r="E783" s="91" t="s">
        <v>736</v>
      </c>
      <c r="F783" s="91">
        <v>200</v>
      </c>
      <c r="G783" s="94">
        <f t="shared" si="113"/>
        <v>0.2</v>
      </c>
      <c r="H783" s="92" t="s">
        <v>46</v>
      </c>
      <c r="I783" s="96">
        <f t="shared" si="108"/>
        <v>0.3</v>
      </c>
      <c r="J783" s="96">
        <f t="shared" si="109"/>
        <v>0.7</v>
      </c>
      <c r="K783" s="92">
        <f>VLOOKUP(H783,'Taux émission CO2e'!$A$5:$D$16,4,FALSE)</f>
        <v>0.16</v>
      </c>
      <c r="L783" s="93">
        <f t="shared" si="114"/>
        <v>4.4016672000000003</v>
      </c>
      <c r="M783" s="92">
        <f>VLOOKUP(H783,'Taux émission CO2e'!$A$20:$D$31,4,FALSE)</f>
        <v>6.7400000000000002E-2</v>
      </c>
      <c r="N783" s="105">
        <f t="shared" si="115"/>
        <v>4.3264720519999997</v>
      </c>
      <c r="O783" s="93">
        <f t="shared" si="116"/>
        <v>8.7281392520000001</v>
      </c>
      <c r="P783" s="92">
        <v>195</v>
      </c>
      <c r="Q783" s="92" t="s">
        <v>58</v>
      </c>
      <c r="R783" s="92" t="s">
        <v>427</v>
      </c>
      <c r="S783" s="20">
        <v>458.50700000000001</v>
      </c>
    </row>
    <row r="784" spans="1:19" x14ac:dyDescent="0.15">
      <c r="A784" s="90">
        <v>44673</v>
      </c>
      <c r="B784" s="90" t="str">
        <f t="shared" si="110"/>
        <v>avril</v>
      </c>
      <c r="C784" s="90" t="str">
        <f t="shared" si="111"/>
        <v>2022</v>
      </c>
      <c r="D784" s="90" t="str">
        <f t="shared" si="112"/>
        <v>avril2022</v>
      </c>
      <c r="E784" s="91" t="s">
        <v>737</v>
      </c>
      <c r="F784" s="91">
        <v>350</v>
      </c>
      <c r="G784" s="94">
        <f t="shared" si="113"/>
        <v>0.35</v>
      </c>
      <c r="H784" s="92" t="s">
        <v>46</v>
      </c>
      <c r="I784" s="96">
        <f t="shared" si="108"/>
        <v>0.3</v>
      </c>
      <c r="J784" s="96">
        <f t="shared" si="109"/>
        <v>0.7</v>
      </c>
      <c r="K784" s="92">
        <f>VLOOKUP(H784,'Taux émission CO2e'!$A$5:$D$16,4,FALSE)</f>
        <v>0.16</v>
      </c>
      <c r="L784" s="93">
        <f t="shared" si="114"/>
        <v>4.4715887999999993</v>
      </c>
      <c r="M784" s="92">
        <f>VLOOKUP(H784,'Taux émission CO2e'!$A$20:$D$31,4,FALSE)</f>
        <v>6.7400000000000002E-2</v>
      </c>
      <c r="N784" s="105">
        <f t="shared" si="115"/>
        <v>4.3951991579999996</v>
      </c>
      <c r="O784" s="93">
        <f t="shared" si="116"/>
        <v>8.8667879579999997</v>
      </c>
      <c r="P784" s="92">
        <v>220</v>
      </c>
      <c r="Q784" s="92" t="s">
        <v>58</v>
      </c>
      <c r="R784" s="92" t="s">
        <v>53</v>
      </c>
      <c r="S784" s="20">
        <v>266.166</v>
      </c>
    </row>
    <row r="785" spans="1:19" x14ac:dyDescent="0.15">
      <c r="A785" s="90">
        <v>44673</v>
      </c>
      <c r="B785" s="90" t="str">
        <f t="shared" si="110"/>
        <v>avril</v>
      </c>
      <c r="C785" s="90" t="str">
        <f t="shared" si="111"/>
        <v>2022</v>
      </c>
      <c r="D785" s="90" t="str">
        <f t="shared" si="112"/>
        <v>avril2022</v>
      </c>
      <c r="E785" s="91" t="s">
        <v>738</v>
      </c>
      <c r="F785" s="91">
        <v>300</v>
      </c>
      <c r="G785" s="94">
        <f t="shared" si="113"/>
        <v>0.3</v>
      </c>
      <c r="H785" s="92" t="s">
        <v>46</v>
      </c>
      <c r="I785" s="96">
        <f t="shared" si="108"/>
        <v>0.3</v>
      </c>
      <c r="J785" s="96">
        <f t="shared" si="109"/>
        <v>0.7</v>
      </c>
      <c r="K785" s="92">
        <f>VLOOKUP(H785,'Taux émission CO2e'!$A$5:$D$16,4,FALSE)</f>
        <v>0.16</v>
      </c>
      <c r="L785" s="93">
        <f t="shared" si="114"/>
        <v>7.4274911999999995</v>
      </c>
      <c r="M785" s="92">
        <f>VLOOKUP(H785,'Taux émission CO2e'!$A$20:$D$31,4,FALSE)</f>
        <v>6.7400000000000002E-2</v>
      </c>
      <c r="N785" s="105">
        <f t="shared" si="115"/>
        <v>7.300604892</v>
      </c>
      <c r="O785" s="93">
        <f t="shared" si="116"/>
        <v>14.728096091999999</v>
      </c>
      <c r="P785" s="92">
        <v>225</v>
      </c>
      <c r="Q785" s="92" t="s">
        <v>58</v>
      </c>
      <c r="R785" s="92" t="s">
        <v>57</v>
      </c>
      <c r="S785" s="20">
        <v>515.798</v>
      </c>
    </row>
    <row r="786" spans="1:19" x14ac:dyDescent="0.15">
      <c r="A786" s="90">
        <v>44673</v>
      </c>
      <c r="B786" s="90" t="str">
        <f t="shared" si="110"/>
        <v>avril</v>
      </c>
      <c r="C786" s="90" t="str">
        <f t="shared" si="111"/>
        <v>2022</v>
      </c>
      <c r="D786" s="90" t="str">
        <f t="shared" si="112"/>
        <v>avril2022</v>
      </c>
      <c r="E786" s="91" t="s">
        <v>739</v>
      </c>
      <c r="F786" s="91">
        <v>450</v>
      </c>
      <c r="G786" s="94">
        <f t="shared" si="113"/>
        <v>0.45</v>
      </c>
      <c r="H786" s="92" t="s">
        <v>46</v>
      </c>
      <c r="I786" s="96">
        <f t="shared" si="108"/>
        <v>0.3</v>
      </c>
      <c r="J786" s="96">
        <f t="shared" si="109"/>
        <v>0.7</v>
      </c>
      <c r="K786" s="92">
        <f>VLOOKUP(H786,'Taux émission CO2e'!$A$5:$D$16,4,FALSE)</f>
        <v>0.16</v>
      </c>
      <c r="L786" s="93">
        <f t="shared" si="114"/>
        <v>5.4901800000000005</v>
      </c>
      <c r="M786" s="92">
        <f>VLOOKUP(H786,'Taux émission CO2e'!$A$20:$D$31,4,FALSE)</f>
        <v>6.7400000000000002E-2</v>
      </c>
      <c r="N786" s="105">
        <f t="shared" si="115"/>
        <v>5.3963894250000006</v>
      </c>
      <c r="O786" s="93">
        <f t="shared" si="116"/>
        <v>10.886569425000001</v>
      </c>
      <c r="P786" s="92">
        <v>230</v>
      </c>
      <c r="Q786" s="92" t="s">
        <v>58</v>
      </c>
      <c r="R786" s="92" t="s">
        <v>93</v>
      </c>
      <c r="S786" s="20">
        <v>254.17500000000001</v>
      </c>
    </row>
    <row r="787" spans="1:19" x14ac:dyDescent="0.15">
      <c r="A787" s="90">
        <v>44673</v>
      </c>
      <c r="B787" s="90" t="str">
        <f t="shared" si="110"/>
        <v>avril</v>
      </c>
      <c r="C787" s="90" t="str">
        <f t="shared" si="111"/>
        <v>2022</v>
      </c>
      <c r="D787" s="90" t="str">
        <f t="shared" si="112"/>
        <v>avril2022</v>
      </c>
      <c r="E787" s="91" t="s">
        <v>740</v>
      </c>
      <c r="F787" s="91">
        <v>700</v>
      </c>
      <c r="G787" s="94">
        <f t="shared" si="113"/>
        <v>0.7</v>
      </c>
      <c r="H787" s="92" t="s">
        <v>46</v>
      </c>
      <c r="I787" s="96">
        <f t="shared" si="108"/>
        <v>0.3</v>
      </c>
      <c r="J787" s="96">
        <f t="shared" si="109"/>
        <v>0.7</v>
      </c>
      <c r="K787" s="92">
        <f>VLOOKUP(H787,'Taux émission CO2e'!$A$5:$D$16,4,FALSE)</f>
        <v>0.16</v>
      </c>
      <c r="L787" s="93">
        <f t="shared" si="114"/>
        <v>24.878952000000002</v>
      </c>
      <c r="M787" s="92">
        <f>VLOOKUP(H787,'Taux émission CO2e'!$A$20:$D$31,4,FALSE)</f>
        <v>6.7400000000000002E-2</v>
      </c>
      <c r="N787" s="105">
        <f t="shared" si="115"/>
        <v>24.45393657</v>
      </c>
      <c r="O787" s="93">
        <f t="shared" si="116"/>
        <v>49.332888570000001</v>
      </c>
      <c r="P787" s="92">
        <v>380</v>
      </c>
      <c r="Q787" s="92" t="s">
        <v>58</v>
      </c>
      <c r="R787" s="92" t="s">
        <v>59</v>
      </c>
      <c r="S787" s="20">
        <v>740.44500000000005</v>
      </c>
    </row>
    <row r="788" spans="1:19" x14ac:dyDescent="0.15">
      <c r="A788" s="90">
        <v>44673</v>
      </c>
      <c r="B788" s="90" t="str">
        <f t="shared" si="110"/>
        <v>avril</v>
      </c>
      <c r="C788" s="90" t="str">
        <f t="shared" si="111"/>
        <v>2022</v>
      </c>
      <c r="D788" s="90" t="str">
        <f t="shared" si="112"/>
        <v>avril2022</v>
      </c>
      <c r="E788" s="91" t="s">
        <v>741</v>
      </c>
      <c r="F788" s="92">
        <v>5000</v>
      </c>
      <c r="G788" s="94">
        <f t="shared" si="113"/>
        <v>5</v>
      </c>
      <c r="H788" s="92" t="s">
        <v>43</v>
      </c>
      <c r="I788" s="96">
        <f t="shared" si="108"/>
        <v>1</v>
      </c>
      <c r="J788" s="96">
        <f t="shared" si="109"/>
        <v>0</v>
      </c>
      <c r="K788" s="92">
        <f>VLOOKUP(H788,'Taux émission CO2e'!$A$5:$D$16,4,FALSE)</f>
        <v>0.16</v>
      </c>
      <c r="L788" s="93">
        <f t="shared" si="114"/>
        <v>198.03280000000001</v>
      </c>
      <c r="M788" s="92">
        <f>VLOOKUP(H788,'Taux émission CO2e'!$A$20:$D$31,4,FALSE)</f>
        <v>0</v>
      </c>
      <c r="N788" s="105">
        <f t="shared" si="115"/>
        <v>0</v>
      </c>
      <c r="O788" s="93">
        <f t="shared" si="116"/>
        <v>198.03280000000001</v>
      </c>
      <c r="P788" s="92">
        <v>550</v>
      </c>
      <c r="Q788" s="92" t="s">
        <v>109</v>
      </c>
      <c r="R788" s="92" t="s">
        <v>55</v>
      </c>
      <c r="S788" s="20">
        <v>247.541</v>
      </c>
    </row>
    <row r="789" spans="1:19" x14ac:dyDescent="0.15">
      <c r="A789" s="90">
        <v>44676</v>
      </c>
      <c r="B789" s="90" t="str">
        <f t="shared" si="110"/>
        <v>avril</v>
      </c>
      <c r="C789" s="90" t="str">
        <f t="shared" si="111"/>
        <v>2022</v>
      </c>
      <c r="D789" s="90" t="str">
        <f t="shared" si="112"/>
        <v>avril2022</v>
      </c>
      <c r="E789" s="91" t="s">
        <v>742</v>
      </c>
      <c r="F789" s="91">
        <v>162</v>
      </c>
      <c r="G789" s="94">
        <f t="shared" si="113"/>
        <v>0.16200000000000001</v>
      </c>
      <c r="H789" s="92" t="s">
        <v>38</v>
      </c>
      <c r="I789" s="96">
        <f t="shared" si="108"/>
        <v>1</v>
      </c>
      <c r="J789" s="96">
        <f t="shared" si="109"/>
        <v>0</v>
      </c>
      <c r="K789" s="92">
        <f>VLOOKUP(H789,'Taux émission CO2e'!$A$5:$D$16,4,FALSE)</f>
        <v>0.24099999999999999</v>
      </c>
      <c r="L789" s="93">
        <f t="shared" si="114"/>
        <v>0.90315858599999999</v>
      </c>
      <c r="M789" s="92">
        <f>VLOOKUP(H789,'Taux émission CO2e'!$A$20:$D$31,4,FALSE)</f>
        <v>0</v>
      </c>
      <c r="N789" s="105">
        <f t="shared" si="115"/>
        <v>0</v>
      </c>
      <c r="O789" s="93">
        <f t="shared" si="116"/>
        <v>0.90315858599999999</v>
      </c>
      <c r="P789" s="92">
        <v>60</v>
      </c>
      <c r="Q789" s="92" t="s">
        <v>58</v>
      </c>
      <c r="R789" s="92" t="s">
        <v>619</v>
      </c>
      <c r="S789" s="20">
        <v>23.132999999999999</v>
      </c>
    </row>
    <row r="790" spans="1:19" x14ac:dyDescent="0.15">
      <c r="A790" s="90">
        <v>44676</v>
      </c>
      <c r="B790" s="90" t="str">
        <f t="shared" si="110"/>
        <v>avril</v>
      </c>
      <c r="C790" s="90" t="str">
        <f t="shared" si="111"/>
        <v>2022</v>
      </c>
      <c r="D790" s="90" t="str">
        <f t="shared" si="112"/>
        <v>avril2022</v>
      </c>
      <c r="E790" s="91" t="s">
        <v>743</v>
      </c>
      <c r="F790" s="91">
        <v>51</v>
      </c>
      <c r="G790" s="94">
        <f t="shared" si="113"/>
        <v>5.0999999999999997E-2</v>
      </c>
      <c r="H790" s="92" t="s">
        <v>45</v>
      </c>
      <c r="I790" s="96">
        <f t="shared" si="108"/>
        <v>0.3</v>
      </c>
      <c r="J790" s="96">
        <f t="shared" si="109"/>
        <v>0.7</v>
      </c>
      <c r="K790" s="92">
        <f>VLOOKUP(H790,'Taux émission CO2e'!$A$5:$D$16,4,FALSE)</f>
        <v>0.16</v>
      </c>
      <c r="L790" s="93">
        <f t="shared" si="114"/>
        <v>0.60171350400000001</v>
      </c>
      <c r="M790" s="92">
        <f>VLOOKUP(H790,'Taux émission CO2e'!$A$20:$D$31,4,FALSE)</f>
        <v>6.7400000000000002E-2</v>
      </c>
      <c r="N790" s="105">
        <f t="shared" si="115"/>
        <v>0.59143423163999997</v>
      </c>
      <c r="O790" s="93">
        <f t="shared" si="116"/>
        <v>1.19314773564</v>
      </c>
      <c r="P790" s="92">
        <v>100</v>
      </c>
      <c r="Q790" s="92" t="s">
        <v>58</v>
      </c>
      <c r="R790" s="92" t="s">
        <v>105</v>
      </c>
      <c r="S790" s="20">
        <v>245.798</v>
      </c>
    </row>
    <row r="791" spans="1:19" x14ac:dyDescent="0.15">
      <c r="A791" s="90">
        <v>44676</v>
      </c>
      <c r="B791" s="90" t="str">
        <f t="shared" si="110"/>
        <v>avril</v>
      </c>
      <c r="C791" s="90" t="str">
        <f t="shared" si="111"/>
        <v>2022</v>
      </c>
      <c r="D791" s="90" t="str">
        <f t="shared" si="112"/>
        <v>avril2022</v>
      </c>
      <c r="E791" s="91" t="s">
        <v>744</v>
      </c>
      <c r="F791" s="91">
        <v>51</v>
      </c>
      <c r="G791" s="94">
        <f t="shared" si="113"/>
        <v>5.0999999999999997E-2</v>
      </c>
      <c r="H791" s="92" t="s">
        <v>45</v>
      </c>
      <c r="I791" s="96">
        <f t="shared" si="108"/>
        <v>0.3</v>
      </c>
      <c r="J791" s="96">
        <f t="shared" si="109"/>
        <v>0.7</v>
      </c>
      <c r="K791" s="92">
        <f>VLOOKUP(H791,'Taux émission CO2e'!$A$5:$D$16,4,FALSE)</f>
        <v>0.16</v>
      </c>
      <c r="L791" s="93">
        <f t="shared" si="114"/>
        <v>0.89383579200000007</v>
      </c>
      <c r="M791" s="92">
        <f>VLOOKUP(H791,'Taux émission CO2e'!$A$20:$D$31,4,FALSE)</f>
        <v>6.7400000000000002E-2</v>
      </c>
      <c r="N791" s="105">
        <f t="shared" si="115"/>
        <v>0.87856609722000001</v>
      </c>
      <c r="O791" s="93">
        <f t="shared" si="116"/>
        <v>1.7724018892200002</v>
      </c>
      <c r="P791" s="92">
        <v>105</v>
      </c>
      <c r="Q791" s="92" t="s">
        <v>58</v>
      </c>
      <c r="R791" s="92" t="s">
        <v>511</v>
      </c>
      <c r="S791" s="20">
        <v>365.12900000000002</v>
      </c>
    </row>
    <row r="792" spans="1:19" x14ac:dyDescent="0.15">
      <c r="A792" s="90">
        <v>44676</v>
      </c>
      <c r="B792" s="90" t="str">
        <f t="shared" si="110"/>
        <v>avril</v>
      </c>
      <c r="C792" s="90" t="str">
        <f t="shared" si="111"/>
        <v>2022</v>
      </c>
      <c r="D792" s="90" t="str">
        <f t="shared" si="112"/>
        <v>avril2022</v>
      </c>
      <c r="E792" s="91" t="s">
        <v>745</v>
      </c>
      <c r="F792" s="91">
        <v>184</v>
      </c>
      <c r="G792" s="94">
        <f t="shared" si="113"/>
        <v>0.184</v>
      </c>
      <c r="H792" s="92" t="s">
        <v>45</v>
      </c>
      <c r="I792" s="96">
        <f t="shared" si="108"/>
        <v>0.3</v>
      </c>
      <c r="J792" s="96">
        <f t="shared" si="109"/>
        <v>0.7</v>
      </c>
      <c r="K792" s="92">
        <f>VLOOKUP(H792,'Taux émission CO2e'!$A$5:$D$16,4,FALSE)</f>
        <v>0.16</v>
      </c>
      <c r="L792" s="93">
        <f t="shared" si="114"/>
        <v>1.484199936</v>
      </c>
      <c r="M792" s="92">
        <f>VLOOKUP(H792,'Taux émission CO2e'!$A$20:$D$31,4,FALSE)</f>
        <v>6.7400000000000002E-2</v>
      </c>
      <c r="N792" s="105">
        <f t="shared" si="115"/>
        <v>1.4588448537600001</v>
      </c>
      <c r="O792" s="93">
        <f t="shared" si="116"/>
        <v>2.9430447897600001</v>
      </c>
      <c r="P792" s="92">
        <v>130</v>
      </c>
      <c r="Q792" s="92" t="s">
        <v>58</v>
      </c>
      <c r="R792" s="92" t="s">
        <v>99</v>
      </c>
      <c r="S792" s="20">
        <v>168.048</v>
      </c>
    </row>
    <row r="793" spans="1:19" x14ac:dyDescent="0.15">
      <c r="A793" s="90">
        <v>44676</v>
      </c>
      <c r="B793" s="90" t="str">
        <f t="shared" si="110"/>
        <v>avril</v>
      </c>
      <c r="C793" s="90" t="str">
        <f t="shared" si="111"/>
        <v>2022</v>
      </c>
      <c r="D793" s="90" t="str">
        <f t="shared" si="112"/>
        <v>avril2022</v>
      </c>
      <c r="E793" s="91" t="s">
        <v>746</v>
      </c>
      <c r="F793" s="91">
        <v>96</v>
      </c>
      <c r="G793" s="94">
        <f t="shared" si="113"/>
        <v>9.6000000000000002E-2</v>
      </c>
      <c r="H793" s="92" t="s">
        <v>46</v>
      </c>
      <c r="I793" s="96">
        <f t="shared" si="108"/>
        <v>0.3</v>
      </c>
      <c r="J793" s="96">
        <f t="shared" si="109"/>
        <v>0.7</v>
      </c>
      <c r="K793" s="92">
        <f>VLOOKUP(H793,'Taux émission CO2e'!$A$5:$D$16,4,FALSE)</f>
        <v>0.16</v>
      </c>
      <c r="L793" s="93">
        <f t="shared" si="114"/>
        <v>2.4837765119999999</v>
      </c>
      <c r="M793" s="92">
        <f>VLOOKUP(H793,'Taux émission CO2e'!$A$20:$D$31,4,FALSE)</f>
        <v>6.7400000000000002E-2</v>
      </c>
      <c r="N793" s="105">
        <f t="shared" si="115"/>
        <v>2.4413453299200003</v>
      </c>
      <c r="O793" s="93">
        <f t="shared" si="116"/>
        <v>4.9251218419200002</v>
      </c>
      <c r="P793" s="92">
        <v>133</v>
      </c>
      <c r="Q793" s="92" t="s">
        <v>58</v>
      </c>
      <c r="R793" s="92" t="s">
        <v>405</v>
      </c>
      <c r="S793" s="20">
        <v>539.01400000000001</v>
      </c>
    </row>
    <row r="794" spans="1:19" x14ac:dyDescent="0.15">
      <c r="A794" s="90">
        <v>44676</v>
      </c>
      <c r="B794" s="90" t="str">
        <f t="shared" si="110"/>
        <v>avril</v>
      </c>
      <c r="C794" s="90" t="str">
        <f t="shared" si="111"/>
        <v>2022</v>
      </c>
      <c r="D794" s="90" t="str">
        <f t="shared" si="112"/>
        <v>avril2022</v>
      </c>
      <c r="E794" s="91" t="s">
        <v>747</v>
      </c>
      <c r="F794" s="91">
        <v>150</v>
      </c>
      <c r="G794" s="94">
        <f t="shared" si="113"/>
        <v>0.15</v>
      </c>
      <c r="H794" s="92" t="s">
        <v>46</v>
      </c>
      <c r="I794" s="96">
        <f t="shared" si="108"/>
        <v>0.3</v>
      </c>
      <c r="J794" s="96">
        <f t="shared" si="109"/>
        <v>0.7</v>
      </c>
      <c r="K794" s="92">
        <f>VLOOKUP(H794,'Taux émission CO2e'!$A$5:$D$16,4,FALSE)</f>
        <v>0.16</v>
      </c>
      <c r="L794" s="93">
        <f t="shared" si="114"/>
        <v>2.7402191999999999</v>
      </c>
      <c r="M794" s="92">
        <f>VLOOKUP(H794,'Taux émission CO2e'!$A$20:$D$31,4,FALSE)</f>
        <v>6.7400000000000002E-2</v>
      </c>
      <c r="N794" s="105">
        <f t="shared" si="115"/>
        <v>2.693407122</v>
      </c>
      <c r="O794" s="93">
        <f t="shared" si="116"/>
        <v>5.4336263220000003</v>
      </c>
      <c r="P794" s="92">
        <v>166</v>
      </c>
      <c r="Q794" s="92" t="s">
        <v>91</v>
      </c>
      <c r="R794" s="92" t="s">
        <v>55</v>
      </c>
      <c r="S794" s="20">
        <v>380.58600000000001</v>
      </c>
    </row>
    <row r="795" spans="1:19" x14ac:dyDescent="0.15">
      <c r="A795" s="90">
        <v>44676</v>
      </c>
      <c r="B795" s="90" t="str">
        <f t="shared" si="110"/>
        <v>avril</v>
      </c>
      <c r="C795" s="90" t="str">
        <f t="shared" si="111"/>
        <v>2022</v>
      </c>
      <c r="D795" s="90" t="str">
        <f t="shared" si="112"/>
        <v>avril2022</v>
      </c>
      <c r="E795" s="91" t="s">
        <v>748</v>
      </c>
      <c r="F795" s="91">
        <v>96</v>
      </c>
      <c r="G795" s="94">
        <f t="shared" si="113"/>
        <v>9.6000000000000002E-2</v>
      </c>
      <c r="H795" s="92" t="s">
        <v>46</v>
      </c>
      <c r="I795" s="96">
        <f t="shared" si="108"/>
        <v>0.3</v>
      </c>
      <c r="J795" s="96">
        <f t="shared" si="109"/>
        <v>0.7</v>
      </c>
      <c r="K795" s="92">
        <f>VLOOKUP(H795,'Taux émission CO2e'!$A$5:$D$16,4,FALSE)</f>
        <v>0.16</v>
      </c>
      <c r="L795" s="93">
        <f t="shared" si="114"/>
        <v>1.5834193920000001</v>
      </c>
      <c r="M795" s="92">
        <f>VLOOKUP(H795,'Taux émission CO2e'!$A$20:$D$31,4,FALSE)</f>
        <v>6.7400000000000002E-2</v>
      </c>
      <c r="N795" s="105">
        <f t="shared" si="115"/>
        <v>1.5563693107200001</v>
      </c>
      <c r="O795" s="93">
        <f t="shared" si="116"/>
        <v>3.1397887027200002</v>
      </c>
      <c r="P795" s="92">
        <v>180</v>
      </c>
      <c r="Q795" s="92" t="s">
        <v>58</v>
      </c>
      <c r="R795" s="92" t="s">
        <v>513</v>
      </c>
      <c r="S795" s="20">
        <v>343.62400000000002</v>
      </c>
    </row>
    <row r="796" spans="1:19" x14ac:dyDescent="0.15">
      <c r="A796" s="90">
        <v>44676</v>
      </c>
      <c r="B796" s="90" t="str">
        <f t="shared" si="110"/>
        <v>avril</v>
      </c>
      <c r="C796" s="90" t="str">
        <f t="shared" si="111"/>
        <v>2022</v>
      </c>
      <c r="D796" s="90" t="str">
        <f t="shared" si="112"/>
        <v>avril2022</v>
      </c>
      <c r="E796" s="91" t="s">
        <v>749</v>
      </c>
      <c r="F796" s="91">
        <v>51</v>
      </c>
      <c r="G796" s="94">
        <f t="shared" si="113"/>
        <v>5.0999999999999997E-2</v>
      </c>
      <c r="H796" s="92" t="s">
        <v>46</v>
      </c>
      <c r="I796" s="96">
        <f t="shared" si="108"/>
        <v>0.3</v>
      </c>
      <c r="J796" s="96">
        <f t="shared" si="109"/>
        <v>0.7</v>
      </c>
      <c r="K796" s="92">
        <f>VLOOKUP(H796,'Taux émission CO2e'!$A$5:$D$16,4,FALSE)</f>
        <v>0.16</v>
      </c>
      <c r="L796" s="93">
        <f t="shared" si="114"/>
        <v>1.9065513600000001</v>
      </c>
      <c r="M796" s="92">
        <f>VLOOKUP(H796,'Taux émission CO2e'!$A$20:$D$31,4,FALSE)</f>
        <v>6.7400000000000002E-2</v>
      </c>
      <c r="N796" s="105">
        <f t="shared" si="115"/>
        <v>1.8739811076000001</v>
      </c>
      <c r="O796" s="93">
        <f t="shared" si="116"/>
        <v>3.7805324676000005</v>
      </c>
      <c r="P796" s="92">
        <v>200</v>
      </c>
      <c r="Q796" s="92" t="s">
        <v>58</v>
      </c>
      <c r="R796" s="92" t="s">
        <v>750</v>
      </c>
      <c r="S796" s="20">
        <v>778.82</v>
      </c>
    </row>
    <row r="797" spans="1:19" x14ac:dyDescent="0.15">
      <c r="A797" s="90">
        <v>44676</v>
      </c>
      <c r="B797" s="90" t="str">
        <f t="shared" si="110"/>
        <v>avril</v>
      </c>
      <c r="C797" s="90" t="str">
        <f t="shared" si="111"/>
        <v>2022</v>
      </c>
      <c r="D797" s="90" t="str">
        <f t="shared" si="112"/>
        <v>avril2022</v>
      </c>
      <c r="E797" s="91" t="s">
        <v>751</v>
      </c>
      <c r="F797" s="91">
        <v>182</v>
      </c>
      <c r="G797" s="94">
        <f t="shared" si="113"/>
        <v>0.182</v>
      </c>
      <c r="H797" s="92" t="s">
        <v>46</v>
      </c>
      <c r="I797" s="96">
        <f t="shared" si="108"/>
        <v>0.3</v>
      </c>
      <c r="J797" s="96">
        <f t="shared" si="109"/>
        <v>0.7</v>
      </c>
      <c r="K797" s="92">
        <f>VLOOKUP(H797,'Taux émission CO2e'!$A$5:$D$16,4,FALSE)</f>
        <v>0.16</v>
      </c>
      <c r="L797" s="93">
        <f t="shared" si="114"/>
        <v>7.315639968000001</v>
      </c>
      <c r="M797" s="92">
        <f>VLOOKUP(H797,'Taux émission CO2e'!$A$20:$D$31,4,FALSE)</f>
        <v>6.7400000000000002E-2</v>
      </c>
      <c r="N797" s="105">
        <f t="shared" si="115"/>
        <v>7.1906644518800009</v>
      </c>
      <c r="O797" s="93">
        <f t="shared" si="116"/>
        <v>14.506304419880003</v>
      </c>
      <c r="P797" s="92">
        <v>210</v>
      </c>
      <c r="Q797" s="92" t="s">
        <v>58</v>
      </c>
      <c r="R797" s="92" t="s">
        <v>61</v>
      </c>
      <c r="S797" s="20">
        <v>837.41300000000001</v>
      </c>
    </row>
    <row r="798" spans="1:19" x14ac:dyDescent="0.15">
      <c r="A798" s="90">
        <v>44676</v>
      </c>
      <c r="B798" s="90" t="str">
        <f t="shared" si="110"/>
        <v>avril</v>
      </c>
      <c r="C798" s="90" t="str">
        <f t="shared" si="111"/>
        <v>2022</v>
      </c>
      <c r="D798" s="90" t="str">
        <f t="shared" si="112"/>
        <v>avril2022</v>
      </c>
      <c r="E798" s="91" t="s">
        <v>752</v>
      </c>
      <c r="F798" s="91">
        <v>213</v>
      </c>
      <c r="G798" s="94">
        <f t="shared" si="113"/>
        <v>0.21299999999999999</v>
      </c>
      <c r="H798" s="92" t="s">
        <v>46</v>
      </c>
      <c r="I798" s="96">
        <f t="shared" si="108"/>
        <v>0.3</v>
      </c>
      <c r="J798" s="96">
        <f t="shared" si="109"/>
        <v>0.7</v>
      </c>
      <c r="K798" s="92">
        <f>VLOOKUP(H798,'Taux émission CO2e'!$A$5:$D$16,4,FALSE)</f>
        <v>0.16</v>
      </c>
      <c r="L798" s="93">
        <f t="shared" si="114"/>
        <v>5.882439744</v>
      </c>
      <c r="M798" s="92">
        <f>VLOOKUP(H798,'Taux émission CO2e'!$A$20:$D$31,4,FALSE)</f>
        <v>6.7400000000000002E-2</v>
      </c>
      <c r="N798" s="105">
        <f t="shared" si="115"/>
        <v>5.7819480650399999</v>
      </c>
      <c r="O798" s="93">
        <f t="shared" si="116"/>
        <v>11.664387809040001</v>
      </c>
      <c r="P798" s="92">
        <v>265</v>
      </c>
      <c r="Q798" s="92" t="s">
        <v>58</v>
      </c>
      <c r="R798" s="92" t="s">
        <v>495</v>
      </c>
      <c r="S798" s="20">
        <v>575.35599999999999</v>
      </c>
    </row>
    <row r="799" spans="1:19" x14ac:dyDescent="0.15">
      <c r="A799" s="90">
        <v>44677</v>
      </c>
      <c r="B799" s="90" t="str">
        <f t="shared" si="110"/>
        <v>avril</v>
      </c>
      <c r="C799" s="90" t="str">
        <f t="shared" si="111"/>
        <v>2022</v>
      </c>
      <c r="D799" s="90" t="str">
        <f t="shared" si="112"/>
        <v>avril2022</v>
      </c>
      <c r="E799" s="91" t="s">
        <v>753</v>
      </c>
      <c r="F799" s="91">
        <v>150</v>
      </c>
      <c r="G799" s="94">
        <f t="shared" si="113"/>
        <v>0.15</v>
      </c>
      <c r="H799" s="92" t="s">
        <v>46</v>
      </c>
      <c r="I799" s="96">
        <f t="shared" si="108"/>
        <v>0.3</v>
      </c>
      <c r="J799" s="96">
        <f t="shared" si="109"/>
        <v>0.7</v>
      </c>
      <c r="K799" s="92">
        <f>VLOOKUP(H799,'Taux émission CO2e'!$A$5:$D$16,4,FALSE)</f>
        <v>0.16</v>
      </c>
      <c r="L799" s="93">
        <f t="shared" si="114"/>
        <v>1.8579095999999999</v>
      </c>
      <c r="M799" s="92">
        <f>VLOOKUP(H799,'Taux émission CO2e'!$A$20:$D$31,4,FALSE)</f>
        <v>6.7400000000000002E-2</v>
      </c>
      <c r="N799" s="105">
        <f t="shared" si="115"/>
        <v>1.826170311</v>
      </c>
      <c r="O799" s="93">
        <f t="shared" si="116"/>
        <v>3.684079911</v>
      </c>
      <c r="P799" s="92">
        <v>131</v>
      </c>
      <c r="Q799" s="92" t="s">
        <v>102</v>
      </c>
      <c r="R799" s="92" t="s">
        <v>55</v>
      </c>
      <c r="S799" s="20">
        <v>258.04300000000001</v>
      </c>
    </row>
    <row r="800" spans="1:19" x14ac:dyDescent="0.15">
      <c r="A800" s="90">
        <v>44677</v>
      </c>
      <c r="B800" s="90" t="str">
        <f t="shared" si="110"/>
        <v>avril</v>
      </c>
      <c r="C800" s="90" t="str">
        <f t="shared" si="111"/>
        <v>2022</v>
      </c>
      <c r="D800" s="90" t="str">
        <f t="shared" si="112"/>
        <v>avril2022</v>
      </c>
      <c r="E800" s="91" t="s">
        <v>754</v>
      </c>
      <c r="F800" s="91">
        <v>150</v>
      </c>
      <c r="G800" s="94">
        <f t="shared" si="113"/>
        <v>0.15</v>
      </c>
      <c r="H800" s="92" t="s">
        <v>45</v>
      </c>
      <c r="I800" s="96">
        <f t="shared" si="108"/>
        <v>0.3</v>
      </c>
      <c r="J800" s="96">
        <f t="shared" si="109"/>
        <v>0.7</v>
      </c>
      <c r="K800" s="92">
        <f>VLOOKUP(H800,'Taux émission CO2e'!$A$5:$D$16,4,FALSE)</f>
        <v>0.16</v>
      </c>
      <c r="L800" s="93">
        <f t="shared" si="114"/>
        <v>3.8714975999999997</v>
      </c>
      <c r="M800" s="92">
        <f>VLOOKUP(H800,'Taux émission CO2e'!$A$20:$D$31,4,FALSE)</f>
        <v>6.7400000000000002E-2</v>
      </c>
      <c r="N800" s="105">
        <f t="shared" si="115"/>
        <v>3.8053595159999998</v>
      </c>
      <c r="O800" s="93">
        <f t="shared" si="116"/>
        <v>7.676857115999999</v>
      </c>
      <c r="P800" s="92">
        <v>160</v>
      </c>
      <c r="Q800" s="92" t="s">
        <v>612</v>
      </c>
      <c r="R800" s="92" t="s">
        <v>55</v>
      </c>
      <c r="S800" s="20">
        <v>537.70799999999997</v>
      </c>
    </row>
    <row r="801" spans="1:19" x14ac:dyDescent="0.15">
      <c r="A801" s="90">
        <v>44677</v>
      </c>
      <c r="B801" s="90" t="str">
        <f t="shared" si="110"/>
        <v>avril</v>
      </c>
      <c r="C801" s="90" t="str">
        <f t="shared" si="111"/>
        <v>2022</v>
      </c>
      <c r="D801" s="90" t="str">
        <f t="shared" si="112"/>
        <v>avril2022</v>
      </c>
      <c r="E801" s="91" t="s">
        <v>755</v>
      </c>
      <c r="F801" s="91">
        <v>150</v>
      </c>
      <c r="G801" s="94">
        <f t="shared" si="113"/>
        <v>0.15</v>
      </c>
      <c r="H801" s="92" t="s">
        <v>45</v>
      </c>
      <c r="I801" s="96">
        <f t="shared" si="108"/>
        <v>0.3</v>
      </c>
      <c r="J801" s="96">
        <f t="shared" si="109"/>
        <v>0.7</v>
      </c>
      <c r="K801" s="92">
        <f>VLOOKUP(H801,'Taux émission CO2e'!$A$5:$D$16,4,FALSE)</f>
        <v>0.16</v>
      </c>
      <c r="L801" s="93">
        <f t="shared" si="114"/>
        <v>5.4150624000000001</v>
      </c>
      <c r="M801" s="92">
        <f>VLOOKUP(H801,'Taux émission CO2e'!$A$20:$D$31,4,FALSE)</f>
        <v>6.7400000000000002E-2</v>
      </c>
      <c r="N801" s="105">
        <f t="shared" si="115"/>
        <v>5.3225550840000002</v>
      </c>
      <c r="O801" s="93">
        <f t="shared" si="116"/>
        <v>10.737617484000001</v>
      </c>
      <c r="P801" s="92">
        <v>175</v>
      </c>
      <c r="Q801" s="92" t="s">
        <v>73</v>
      </c>
      <c r="R801" s="92" t="s">
        <v>55</v>
      </c>
      <c r="S801" s="20">
        <v>752.09199999999998</v>
      </c>
    </row>
    <row r="802" spans="1:19" x14ac:dyDescent="0.15">
      <c r="A802" s="90">
        <v>44678</v>
      </c>
      <c r="B802" s="90" t="str">
        <f t="shared" si="110"/>
        <v>avril</v>
      </c>
      <c r="C802" s="90" t="str">
        <f t="shared" si="111"/>
        <v>2022</v>
      </c>
      <c r="D802" s="90" t="str">
        <f t="shared" si="112"/>
        <v>avril2022</v>
      </c>
      <c r="E802" s="91" t="s">
        <v>756</v>
      </c>
      <c r="F802" s="91">
        <v>117</v>
      </c>
      <c r="G802" s="94">
        <f t="shared" si="113"/>
        <v>0.11700000000000001</v>
      </c>
      <c r="H802" s="92" t="s">
        <v>38</v>
      </c>
      <c r="I802" s="96">
        <f t="shared" si="108"/>
        <v>1</v>
      </c>
      <c r="J802" s="96">
        <f t="shared" si="109"/>
        <v>0</v>
      </c>
      <c r="K802" s="92">
        <f>VLOOKUP(H802,'Taux émission CO2e'!$A$5:$D$16,4,FALSE)</f>
        <v>0.24099999999999999</v>
      </c>
      <c r="L802" s="93">
        <f t="shared" si="114"/>
        <v>0.96112294199999992</v>
      </c>
      <c r="M802" s="92">
        <f>VLOOKUP(H802,'Taux émission CO2e'!$A$20:$D$31,4,FALSE)</f>
        <v>0</v>
      </c>
      <c r="N802" s="105">
        <f t="shared" si="115"/>
        <v>0</v>
      </c>
      <c r="O802" s="93">
        <f t="shared" si="116"/>
        <v>0.96112294199999992</v>
      </c>
      <c r="P802" s="92">
        <v>80</v>
      </c>
      <c r="Q802" s="92" t="s">
        <v>58</v>
      </c>
      <c r="R802" s="92" t="s">
        <v>98</v>
      </c>
      <c r="S802" s="20">
        <v>34.085999999999999</v>
      </c>
    </row>
    <row r="803" spans="1:19" x14ac:dyDescent="0.15">
      <c r="A803" s="90">
        <v>44678</v>
      </c>
      <c r="B803" s="90" t="str">
        <f t="shared" si="110"/>
        <v>avril</v>
      </c>
      <c r="C803" s="90" t="str">
        <f t="shared" si="111"/>
        <v>2022</v>
      </c>
      <c r="D803" s="90" t="str">
        <f t="shared" si="112"/>
        <v>avril2022</v>
      </c>
      <c r="E803" s="91" t="s">
        <v>757</v>
      </c>
      <c r="F803" s="91">
        <v>163</v>
      </c>
      <c r="G803" s="94">
        <f t="shared" si="113"/>
        <v>0.16300000000000001</v>
      </c>
      <c r="H803" s="92" t="s">
        <v>46</v>
      </c>
      <c r="I803" s="96">
        <f t="shared" si="108"/>
        <v>0.3</v>
      </c>
      <c r="J803" s="96">
        <f t="shared" si="109"/>
        <v>0.7</v>
      </c>
      <c r="K803" s="92">
        <f>VLOOKUP(H803,'Taux émission CO2e'!$A$5:$D$16,4,FALSE)</f>
        <v>0.16</v>
      </c>
      <c r="L803" s="93">
        <f t="shared" si="114"/>
        <v>2.0776240800000005</v>
      </c>
      <c r="M803" s="92">
        <f>VLOOKUP(H803,'Taux émission CO2e'!$A$20:$D$31,4,FALSE)</f>
        <v>6.7400000000000002E-2</v>
      </c>
      <c r="N803" s="105">
        <f t="shared" si="115"/>
        <v>2.0421313353000001</v>
      </c>
      <c r="O803" s="93">
        <f t="shared" si="116"/>
        <v>4.1197554153000002</v>
      </c>
      <c r="P803" s="92">
        <v>100</v>
      </c>
      <c r="Q803" s="92" t="s">
        <v>58</v>
      </c>
      <c r="R803" s="92" t="s">
        <v>71</v>
      </c>
      <c r="S803" s="20">
        <v>265.54500000000002</v>
      </c>
    </row>
    <row r="804" spans="1:19" x14ac:dyDescent="0.15">
      <c r="A804" s="90">
        <v>44678</v>
      </c>
      <c r="B804" s="90" t="str">
        <f t="shared" si="110"/>
        <v>avril</v>
      </c>
      <c r="C804" s="90" t="str">
        <f t="shared" si="111"/>
        <v>2022</v>
      </c>
      <c r="D804" s="90" t="str">
        <f t="shared" si="112"/>
        <v>avril2022</v>
      </c>
      <c r="E804" s="91" t="s">
        <v>758</v>
      </c>
      <c r="F804" s="91">
        <v>120</v>
      </c>
      <c r="G804" s="94">
        <f t="shared" si="113"/>
        <v>0.12</v>
      </c>
      <c r="H804" s="92" t="s">
        <v>46</v>
      </c>
      <c r="I804" s="96">
        <f t="shared" si="108"/>
        <v>0.3</v>
      </c>
      <c r="J804" s="96">
        <f t="shared" si="109"/>
        <v>0.7</v>
      </c>
      <c r="K804" s="92">
        <f>VLOOKUP(H804,'Taux émission CO2e'!$A$5:$D$16,4,FALSE)</f>
        <v>0.16</v>
      </c>
      <c r="L804" s="93">
        <f t="shared" si="114"/>
        <v>0.76887360000000005</v>
      </c>
      <c r="M804" s="92">
        <f>VLOOKUP(H804,'Taux émission CO2e'!$A$20:$D$31,4,FALSE)</f>
        <v>6.7400000000000002E-2</v>
      </c>
      <c r="N804" s="105">
        <f t="shared" si="115"/>
        <v>0.75573867600000011</v>
      </c>
      <c r="O804" s="93">
        <f t="shared" si="116"/>
        <v>1.524612276</v>
      </c>
      <c r="P804" s="92">
        <v>105</v>
      </c>
      <c r="Q804" s="92" t="s">
        <v>58</v>
      </c>
      <c r="R804" s="92" t="s">
        <v>72</v>
      </c>
      <c r="S804" s="20">
        <v>133.48500000000001</v>
      </c>
    </row>
    <row r="805" spans="1:19" x14ac:dyDescent="0.15">
      <c r="A805" s="90">
        <v>44678</v>
      </c>
      <c r="B805" s="90" t="str">
        <f t="shared" si="110"/>
        <v>avril</v>
      </c>
      <c r="C805" s="90" t="str">
        <f t="shared" si="111"/>
        <v>2022</v>
      </c>
      <c r="D805" s="90" t="str">
        <f t="shared" si="112"/>
        <v>avril2022</v>
      </c>
      <c r="E805" s="91" t="s">
        <v>759</v>
      </c>
      <c r="F805" s="91">
        <v>94</v>
      </c>
      <c r="G805" s="94">
        <f t="shared" si="113"/>
        <v>9.4E-2</v>
      </c>
      <c r="H805" s="92" t="s">
        <v>46</v>
      </c>
      <c r="I805" s="96">
        <f t="shared" si="108"/>
        <v>0.3</v>
      </c>
      <c r="J805" s="96">
        <f t="shared" si="109"/>
        <v>0.7</v>
      </c>
      <c r="K805" s="92">
        <f>VLOOKUP(H805,'Taux émission CO2e'!$A$5:$D$16,4,FALSE)</f>
        <v>0.16</v>
      </c>
      <c r="L805" s="93">
        <f t="shared" si="114"/>
        <v>2.1441114240000001</v>
      </c>
      <c r="M805" s="92">
        <f>VLOOKUP(H805,'Taux émission CO2e'!$A$20:$D$31,4,FALSE)</f>
        <v>6.7400000000000002E-2</v>
      </c>
      <c r="N805" s="105">
        <f t="shared" si="115"/>
        <v>2.1074828538400001</v>
      </c>
      <c r="O805" s="93">
        <f t="shared" si="116"/>
        <v>4.2515942778400007</v>
      </c>
      <c r="P805" s="92">
        <v>137</v>
      </c>
      <c r="Q805" s="92" t="s">
        <v>58</v>
      </c>
      <c r="R805" s="92" t="s">
        <v>760</v>
      </c>
      <c r="S805" s="20">
        <v>475.202</v>
      </c>
    </row>
    <row r="806" spans="1:19" x14ac:dyDescent="0.15">
      <c r="A806" s="90">
        <v>44678</v>
      </c>
      <c r="B806" s="90" t="str">
        <f t="shared" si="110"/>
        <v>avril</v>
      </c>
      <c r="C806" s="90" t="str">
        <f t="shared" si="111"/>
        <v>2022</v>
      </c>
      <c r="D806" s="90" t="str">
        <f t="shared" si="112"/>
        <v>avril2022</v>
      </c>
      <c r="E806" s="91" t="s">
        <v>761</v>
      </c>
      <c r="F806" s="91">
        <v>137</v>
      </c>
      <c r="G806" s="94">
        <f t="shared" si="113"/>
        <v>0.13700000000000001</v>
      </c>
      <c r="H806" s="92" t="s">
        <v>46</v>
      </c>
      <c r="I806" s="96">
        <f t="shared" si="108"/>
        <v>0.3</v>
      </c>
      <c r="J806" s="96">
        <f t="shared" si="109"/>
        <v>0.7</v>
      </c>
      <c r="K806" s="92">
        <f>VLOOKUP(H806,'Taux émission CO2e'!$A$5:$D$16,4,FALSE)</f>
        <v>0.16</v>
      </c>
      <c r="L806" s="93">
        <f t="shared" si="114"/>
        <v>3.7835410560000002</v>
      </c>
      <c r="M806" s="92">
        <f>VLOOKUP(H806,'Taux émission CO2e'!$A$20:$D$31,4,FALSE)</f>
        <v>6.7400000000000002E-2</v>
      </c>
      <c r="N806" s="105">
        <f t="shared" si="115"/>
        <v>3.7189055629600003</v>
      </c>
      <c r="O806" s="93">
        <f t="shared" si="116"/>
        <v>7.5024466189600005</v>
      </c>
      <c r="P806" s="92">
        <v>155</v>
      </c>
      <c r="Q806" s="92" t="s">
        <v>58</v>
      </c>
      <c r="R806" s="92" t="s">
        <v>495</v>
      </c>
      <c r="S806" s="20">
        <v>575.35599999999999</v>
      </c>
    </row>
    <row r="807" spans="1:19" x14ac:dyDescent="0.15">
      <c r="A807" s="90">
        <v>44678</v>
      </c>
      <c r="B807" s="90" t="str">
        <f t="shared" si="110"/>
        <v>avril</v>
      </c>
      <c r="C807" s="90" t="str">
        <f t="shared" si="111"/>
        <v>2022</v>
      </c>
      <c r="D807" s="90" t="str">
        <f t="shared" si="112"/>
        <v>avril2022</v>
      </c>
      <c r="E807" s="91" t="s">
        <v>762</v>
      </c>
      <c r="F807" s="91">
        <v>150</v>
      </c>
      <c r="G807" s="94">
        <f t="shared" si="113"/>
        <v>0.15</v>
      </c>
      <c r="H807" s="92" t="s">
        <v>45</v>
      </c>
      <c r="I807" s="96">
        <f t="shared" si="108"/>
        <v>0.3</v>
      </c>
      <c r="J807" s="96">
        <f t="shared" si="109"/>
        <v>0.7</v>
      </c>
      <c r="K807" s="92">
        <f>VLOOKUP(H807,'Taux émission CO2e'!$A$5:$D$16,4,FALSE)</f>
        <v>0.16</v>
      </c>
      <c r="L807" s="93">
        <f t="shared" si="114"/>
        <v>2.0026439999999996</v>
      </c>
      <c r="M807" s="92">
        <f>VLOOKUP(H807,'Taux émission CO2e'!$A$20:$D$31,4,FALSE)</f>
        <v>6.7400000000000002E-2</v>
      </c>
      <c r="N807" s="105">
        <f t="shared" si="115"/>
        <v>1.9684321649999998</v>
      </c>
      <c r="O807" s="93">
        <f t="shared" si="116"/>
        <v>3.9710761649999995</v>
      </c>
      <c r="P807" s="92">
        <v>158</v>
      </c>
      <c r="Q807" s="92" t="s">
        <v>74</v>
      </c>
      <c r="R807" s="92" t="s">
        <v>55</v>
      </c>
      <c r="S807" s="20">
        <v>278.14499999999998</v>
      </c>
    </row>
    <row r="808" spans="1:19" x14ac:dyDescent="0.15">
      <c r="A808" s="90">
        <v>44678</v>
      </c>
      <c r="B808" s="90" t="str">
        <f t="shared" si="110"/>
        <v>avril</v>
      </c>
      <c r="C808" s="90" t="str">
        <f t="shared" si="111"/>
        <v>2022</v>
      </c>
      <c r="D808" s="90" t="str">
        <f t="shared" si="112"/>
        <v>avril2022</v>
      </c>
      <c r="E808" s="91" t="s">
        <v>763</v>
      </c>
      <c r="F808" s="91">
        <v>150</v>
      </c>
      <c r="G808" s="94">
        <f t="shared" si="113"/>
        <v>0.15</v>
      </c>
      <c r="H808" s="92" t="s">
        <v>46</v>
      </c>
      <c r="I808" s="96">
        <f t="shared" si="108"/>
        <v>0.3</v>
      </c>
      <c r="J808" s="96">
        <f t="shared" si="109"/>
        <v>0.7</v>
      </c>
      <c r="K808" s="92">
        <f>VLOOKUP(H808,'Taux émission CO2e'!$A$5:$D$16,4,FALSE)</f>
        <v>0.16</v>
      </c>
      <c r="L808" s="93">
        <f t="shared" si="114"/>
        <v>1.9177416</v>
      </c>
      <c r="M808" s="92">
        <f>VLOOKUP(H808,'Taux émission CO2e'!$A$20:$D$31,4,FALSE)</f>
        <v>6.7400000000000002E-2</v>
      </c>
      <c r="N808" s="105">
        <f t="shared" si="115"/>
        <v>1.884980181</v>
      </c>
      <c r="O808" s="93">
        <f t="shared" si="116"/>
        <v>3.8027217809999998</v>
      </c>
      <c r="P808" s="92">
        <v>158</v>
      </c>
      <c r="Q808" s="92" t="s">
        <v>77</v>
      </c>
      <c r="R808" s="92" t="s">
        <v>55</v>
      </c>
      <c r="S808" s="20">
        <v>266.35300000000001</v>
      </c>
    </row>
    <row r="809" spans="1:19" x14ac:dyDescent="0.15">
      <c r="A809" s="90">
        <v>44678</v>
      </c>
      <c r="B809" s="90" t="str">
        <f t="shared" si="110"/>
        <v>avril</v>
      </c>
      <c r="C809" s="90" t="str">
        <f t="shared" si="111"/>
        <v>2022</v>
      </c>
      <c r="D809" s="90" t="str">
        <f t="shared" si="112"/>
        <v>avril2022</v>
      </c>
      <c r="E809" s="91" t="s">
        <v>764</v>
      </c>
      <c r="F809" s="91">
        <v>50</v>
      </c>
      <c r="G809" s="94">
        <f t="shared" si="113"/>
        <v>0.05</v>
      </c>
      <c r="H809" s="92" t="s">
        <v>46</v>
      </c>
      <c r="I809" s="96">
        <f t="shared" si="108"/>
        <v>0.3</v>
      </c>
      <c r="J809" s="96">
        <f t="shared" si="109"/>
        <v>0.7</v>
      </c>
      <c r="K809" s="92">
        <f>VLOOKUP(H809,'Taux émission CO2e'!$A$5:$D$16,4,FALSE)</f>
        <v>0.16</v>
      </c>
      <c r="L809" s="93">
        <f t="shared" si="114"/>
        <v>1.7473464000000003</v>
      </c>
      <c r="M809" s="92">
        <f>VLOOKUP(H809,'Taux émission CO2e'!$A$20:$D$31,4,FALSE)</f>
        <v>6.7400000000000002E-2</v>
      </c>
      <c r="N809" s="105">
        <f t="shared" si="115"/>
        <v>1.717495899</v>
      </c>
      <c r="O809" s="93">
        <f t="shared" si="116"/>
        <v>3.4648422990000003</v>
      </c>
      <c r="P809" s="92">
        <v>159</v>
      </c>
      <c r="Q809" s="92" t="s">
        <v>58</v>
      </c>
      <c r="R809" s="92" t="s">
        <v>574</v>
      </c>
      <c r="S809" s="20">
        <v>728.06100000000004</v>
      </c>
    </row>
    <row r="810" spans="1:19" x14ac:dyDescent="0.15">
      <c r="A810" s="90">
        <v>44678</v>
      </c>
      <c r="B810" s="90" t="str">
        <f t="shared" si="110"/>
        <v>avril</v>
      </c>
      <c r="C810" s="90" t="str">
        <f t="shared" si="111"/>
        <v>2022</v>
      </c>
      <c r="D810" s="90" t="str">
        <f t="shared" si="112"/>
        <v>avril2022</v>
      </c>
      <c r="E810" s="91" t="s">
        <v>765</v>
      </c>
      <c r="F810" s="91">
        <v>150</v>
      </c>
      <c r="G810" s="94">
        <f t="shared" si="113"/>
        <v>0.15</v>
      </c>
      <c r="H810" s="92" t="s">
        <v>46</v>
      </c>
      <c r="I810" s="96">
        <f t="shared" si="108"/>
        <v>0.3</v>
      </c>
      <c r="J810" s="96">
        <f t="shared" si="109"/>
        <v>0.7</v>
      </c>
      <c r="K810" s="92">
        <f>VLOOKUP(H810,'Taux émission CO2e'!$A$5:$D$16,4,FALSE)</f>
        <v>0.16</v>
      </c>
      <c r="L810" s="93">
        <f t="shared" si="114"/>
        <v>5.1263063999999998</v>
      </c>
      <c r="M810" s="92">
        <f>VLOOKUP(H810,'Taux émission CO2e'!$A$20:$D$31,4,FALSE)</f>
        <v>6.7400000000000002E-2</v>
      </c>
      <c r="N810" s="105">
        <f t="shared" si="115"/>
        <v>5.0387319989999995</v>
      </c>
      <c r="O810" s="93">
        <f t="shared" si="116"/>
        <v>10.165038399</v>
      </c>
      <c r="P810" s="92">
        <v>220</v>
      </c>
      <c r="Q810" s="92" t="s">
        <v>766</v>
      </c>
      <c r="R810" s="92" t="s">
        <v>55</v>
      </c>
      <c r="S810" s="20">
        <v>711.98699999999997</v>
      </c>
    </row>
    <row r="811" spans="1:19" x14ac:dyDescent="0.15">
      <c r="A811" s="90">
        <v>44678</v>
      </c>
      <c r="B811" s="90" t="str">
        <f t="shared" si="110"/>
        <v>avril</v>
      </c>
      <c r="C811" s="90" t="str">
        <f t="shared" si="111"/>
        <v>2022</v>
      </c>
      <c r="D811" s="90" t="str">
        <f t="shared" si="112"/>
        <v>avril2022</v>
      </c>
      <c r="E811" s="91" t="s">
        <v>767</v>
      </c>
      <c r="F811" s="91">
        <v>318</v>
      </c>
      <c r="G811" s="94">
        <f t="shared" si="113"/>
        <v>0.318</v>
      </c>
      <c r="H811" s="92" t="s">
        <v>46</v>
      </c>
      <c r="I811" s="96">
        <f t="shared" si="108"/>
        <v>0.3</v>
      </c>
      <c r="J811" s="96">
        <f t="shared" si="109"/>
        <v>0.7</v>
      </c>
      <c r="K811" s="92">
        <f>VLOOKUP(H811,'Taux émission CO2e'!$A$5:$D$16,4,FALSE)</f>
        <v>0.16</v>
      </c>
      <c r="L811" s="93">
        <f t="shared" si="114"/>
        <v>2.6520589440000002</v>
      </c>
      <c r="M811" s="92">
        <f>VLOOKUP(H811,'Taux émission CO2e'!$A$20:$D$31,4,FALSE)</f>
        <v>6.7400000000000002E-2</v>
      </c>
      <c r="N811" s="105">
        <f t="shared" si="115"/>
        <v>2.60675293704</v>
      </c>
      <c r="O811" s="93">
        <f t="shared" si="116"/>
        <v>5.2588118810399997</v>
      </c>
      <c r="P811" s="92">
        <v>240</v>
      </c>
      <c r="Q811" s="92" t="s">
        <v>58</v>
      </c>
      <c r="R811" s="92" t="s">
        <v>485</v>
      </c>
      <c r="S811" s="20">
        <v>173.74600000000001</v>
      </c>
    </row>
    <row r="812" spans="1:19" x14ac:dyDescent="0.15">
      <c r="A812" s="90">
        <v>44679</v>
      </c>
      <c r="B812" s="90" t="str">
        <f t="shared" si="110"/>
        <v>avril</v>
      </c>
      <c r="C812" s="90" t="str">
        <f t="shared" si="111"/>
        <v>2022</v>
      </c>
      <c r="D812" s="90" t="str">
        <f t="shared" si="112"/>
        <v>avril2022</v>
      </c>
      <c r="E812" s="91" t="s">
        <v>768</v>
      </c>
      <c r="F812" s="91">
        <v>104</v>
      </c>
      <c r="G812" s="94">
        <f t="shared" si="113"/>
        <v>0.104</v>
      </c>
      <c r="H812" s="92" t="s">
        <v>45</v>
      </c>
      <c r="I812" s="96">
        <f t="shared" si="108"/>
        <v>0.3</v>
      </c>
      <c r="J812" s="96">
        <f t="shared" si="109"/>
        <v>0.7</v>
      </c>
      <c r="K812" s="92">
        <f>VLOOKUP(H812,'Taux émission CO2e'!$A$5:$D$16,4,FALSE)</f>
        <v>0.16</v>
      </c>
      <c r="L812" s="93">
        <f t="shared" si="114"/>
        <v>0.27647692800000001</v>
      </c>
      <c r="M812" s="92">
        <f>VLOOKUP(H812,'Taux émission CO2e'!$A$20:$D$31,4,FALSE)</f>
        <v>6.7400000000000002E-2</v>
      </c>
      <c r="N812" s="105">
        <f t="shared" si="115"/>
        <v>0.27175378047999998</v>
      </c>
      <c r="O812" s="93">
        <f t="shared" si="116"/>
        <v>0.54823070848</v>
      </c>
      <c r="P812" s="92">
        <v>80</v>
      </c>
      <c r="Q812" s="92" t="s">
        <v>58</v>
      </c>
      <c r="R812" s="92" t="s">
        <v>769</v>
      </c>
      <c r="S812" s="20">
        <v>55.384</v>
      </c>
    </row>
    <row r="813" spans="1:19" x14ac:dyDescent="0.15">
      <c r="A813" s="90">
        <v>44679</v>
      </c>
      <c r="B813" s="90" t="str">
        <f t="shared" si="110"/>
        <v>avril</v>
      </c>
      <c r="C813" s="90" t="str">
        <f t="shared" si="111"/>
        <v>2022</v>
      </c>
      <c r="D813" s="90" t="str">
        <f t="shared" si="112"/>
        <v>avril2022</v>
      </c>
      <c r="E813" s="91" t="s">
        <v>770</v>
      </c>
      <c r="F813" s="91">
        <v>174</v>
      </c>
      <c r="G813" s="94">
        <f t="shared" si="113"/>
        <v>0.17399999999999999</v>
      </c>
      <c r="H813" s="92" t="s">
        <v>46</v>
      </c>
      <c r="I813" s="96">
        <f t="shared" si="108"/>
        <v>0.3</v>
      </c>
      <c r="J813" s="96">
        <f t="shared" si="109"/>
        <v>0.7</v>
      </c>
      <c r="K813" s="92">
        <f>VLOOKUP(H813,'Taux émission CO2e'!$A$5:$D$16,4,FALSE)</f>
        <v>0.16</v>
      </c>
      <c r="L813" s="93">
        <f t="shared" si="114"/>
        <v>2.2178318400000001</v>
      </c>
      <c r="M813" s="92">
        <f>VLOOKUP(H813,'Taux émission CO2e'!$A$20:$D$31,4,FALSE)</f>
        <v>6.7400000000000002E-2</v>
      </c>
      <c r="N813" s="105">
        <f t="shared" si="115"/>
        <v>2.1799438794000001</v>
      </c>
      <c r="O813" s="93">
        <f t="shared" si="116"/>
        <v>4.3977757194000002</v>
      </c>
      <c r="P813" s="92">
        <v>100</v>
      </c>
      <c r="Q813" s="92" t="s">
        <v>58</v>
      </c>
      <c r="R813" s="92" t="s">
        <v>71</v>
      </c>
      <c r="S813" s="20">
        <v>265.54500000000002</v>
      </c>
    </row>
    <row r="814" spans="1:19" x14ac:dyDescent="0.15">
      <c r="A814" s="90">
        <v>44679</v>
      </c>
      <c r="B814" s="90" t="str">
        <f t="shared" si="110"/>
        <v>avril</v>
      </c>
      <c r="C814" s="90" t="str">
        <f t="shared" si="111"/>
        <v>2022</v>
      </c>
      <c r="D814" s="90" t="str">
        <f t="shared" si="112"/>
        <v>avril2022</v>
      </c>
      <c r="E814" s="91" t="s">
        <v>771</v>
      </c>
      <c r="F814" s="91">
        <v>100</v>
      </c>
      <c r="G814" s="94">
        <f t="shared" si="113"/>
        <v>0.1</v>
      </c>
      <c r="H814" s="92" t="s">
        <v>46</v>
      </c>
      <c r="I814" s="96">
        <f t="shared" si="108"/>
        <v>0.3</v>
      </c>
      <c r="J814" s="96">
        <f t="shared" si="109"/>
        <v>0.7</v>
      </c>
      <c r="K814" s="92">
        <f>VLOOKUP(H814,'Taux émission CO2e'!$A$5:$D$16,4,FALSE)</f>
        <v>0.16</v>
      </c>
      <c r="L814" s="93">
        <f t="shared" si="114"/>
        <v>3.5541360000000006</v>
      </c>
      <c r="M814" s="92">
        <f>VLOOKUP(H814,'Taux émission CO2e'!$A$20:$D$31,4,FALSE)</f>
        <v>6.7400000000000002E-2</v>
      </c>
      <c r="N814" s="105">
        <f t="shared" si="115"/>
        <v>3.4934195100000003</v>
      </c>
      <c r="O814" s="93">
        <f t="shared" si="116"/>
        <v>7.0475555100000005</v>
      </c>
      <c r="P814" s="92">
        <v>159</v>
      </c>
      <c r="Q814" s="92" t="s">
        <v>58</v>
      </c>
      <c r="R814" s="92" t="s">
        <v>59</v>
      </c>
      <c r="S814" s="20">
        <v>740.44500000000005</v>
      </c>
    </row>
    <row r="815" spans="1:19" x14ac:dyDescent="0.15">
      <c r="A815" s="90">
        <v>44679</v>
      </c>
      <c r="B815" s="90" t="str">
        <f t="shared" si="110"/>
        <v>avril</v>
      </c>
      <c r="C815" s="90" t="str">
        <f t="shared" si="111"/>
        <v>2022</v>
      </c>
      <c r="D815" s="90" t="str">
        <f t="shared" si="112"/>
        <v>avril2022</v>
      </c>
      <c r="E815" s="91" t="s">
        <v>772</v>
      </c>
      <c r="F815" s="91">
        <v>150</v>
      </c>
      <c r="G815" s="94">
        <f t="shared" si="113"/>
        <v>0.15</v>
      </c>
      <c r="H815" s="92" t="s">
        <v>46</v>
      </c>
      <c r="I815" s="96">
        <f t="shared" si="108"/>
        <v>0.3</v>
      </c>
      <c r="J815" s="96">
        <f t="shared" si="109"/>
        <v>0.7</v>
      </c>
      <c r="K815" s="92">
        <f>VLOOKUP(H815,'Taux émission CO2e'!$A$5:$D$16,4,FALSE)</f>
        <v>0.16</v>
      </c>
      <c r="L815" s="93">
        <f t="shared" si="114"/>
        <v>1.8579095999999999</v>
      </c>
      <c r="M815" s="92">
        <f>VLOOKUP(H815,'Taux émission CO2e'!$A$20:$D$31,4,FALSE)</f>
        <v>6.7400000000000002E-2</v>
      </c>
      <c r="N815" s="105">
        <f t="shared" si="115"/>
        <v>1.826170311</v>
      </c>
      <c r="O815" s="93">
        <f t="shared" si="116"/>
        <v>3.684079911</v>
      </c>
      <c r="P815" s="92">
        <v>200</v>
      </c>
      <c r="Q815" s="92" t="s">
        <v>102</v>
      </c>
      <c r="R815" s="92" t="s">
        <v>55</v>
      </c>
      <c r="S815" s="20">
        <v>258.04300000000001</v>
      </c>
    </row>
    <row r="816" spans="1:19" x14ac:dyDescent="0.15">
      <c r="A816" s="90">
        <v>44679</v>
      </c>
      <c r="B816" s="90" t="str">
        <f t="shared" si="110"/>
        <v>avril</v>
      </c>
      <c r="C816" s="90" t="str">
        <f t="shared" si="111"/>
        <v>2022</v>
      </c>
      <c r="D816" s="90" t="str">
        <f t="shared" si="112"/>
        <v>avril2022</v>
      </c>
      <c r="E816" s="91" t="s">
        <v>773</v>
      </c>
      <c r="F816" s="92">
        <v>1000</v>
      </c>
      <c r="G816" s="94">
        <f t="shared" si="113"/>
        <v>1</v>
      </c>
      <c r="H816" s="92" t="s">
        <v>32</v>
      </c>
      <c r="I816" s="96">
        <f t="shared" si="108"/>
        <v>1</v>
      </c>
      <c r="J816" s="96">
        <f t="shared" si="109"/>
        <v>0</v>
      </c>
      <c r="K816" s="92">
        <f>VLOOKUP(H816,'Taux émission CO2e'!$A$5:$D$16,4,FALSE)</f>
        <v>6.7400000000000002E-2</v>
      </c>
      <c r="L816" s="93">
        <f t="shared" si="114"/>
        <v>3.6908914000000004</v>
      </c>
      <c r="M816" s="92">
        <f>VLOOKUP(H816,'Taux émission CO2e'!$A$20:$D$31,4,FALSE)</f>
        <v>0</v>
      </c>
      <c r="N816" s="105">
        <f t="shared" si="115"/>
        <v>0</v>
      </c>
      <c r="O816" s="93">
        <f t="shared" si="116"/>
        <v>3.6908914000000004</v>
      </c>
      <c r="P816" s="92">
        <v>220</v>
      </c>
      <c r="Q816" s="92" t="s">
        <v>56</v>
      </c>
      <c r="R816" s="92" t="s">
        <v>55</v>
      </c>
      <c r="S816" s="20">
        <v>54.761000000000003</v>
      </c>
    </row>
    <row r="817" spans="1:19" x14ac:dyDescent="0.15">
      <c r="A817" s="90">
        <v>44679</v>
      </c>
      <c r="B817" s="90" t="str">
        <f t="shared" si="110"/>
        <v>avril</v>
      </c>
      <c r="C817" s="90" t="str">
        <f t="shared" si="111"/>
        <v>2022</v>
      </c>
      <c r="D817" s="90" t="str">
        <f t="shared" si="112"/>
        <v>avril2022</v>
      </c>
      <c r="E817" s="91" t="s">
        <v>774</v>
      </c>
      <c r="F817" s="91">
        <v>300</v>
      </c>
      <c r="G817" s="94">
        <f t="shared" si="113"/>
        <v>0.3</v>
      </c>
      <c r="H817" s="92" t="s">
        <v>46</v>
      </c>
      <c r="I817" s="96">
        <f t="shared" si="108"/>
        <v>0.3</v>
      </c>
      <c r="J817" s="96">
        <f t="shared" si="109"/>
        <v>0.7</v>
      </c>
      <c r="K817" s="92">
        <f>VLOOKUP(H817,'Taux émission CO2e'!$A$5:$D$16,4,FALSE)</f>
        <v>0.16</v>
      </c>
      <c r="L817" s="93">
        <f t="shared" si="114"/>
        <v>7.7979743999999993</v>
      </c>
      <c r="M817" s="92">
        <f>VLOOKUP(H817,'Taux émission CO2e'!$A$20:$D$31,4,FALSE)</f>
        <v>6.7400000000000002E-2</v>
      </c>
      <c r="N817" s="105">
        <f t="shared" si="115"/>
        <v>7.6647590039999995</v>
      </c>
      <c r="O817" s="93">
        <f t="shared" si="116"/>
        <v>15.462733403999998</v>
      </c>
      <c r="P817" s="92">
        <v>239</v>
      </c>
      <c r="Q817" s="92" t="s">
        <v>62</v>
      </c>
      <c r="R817" s="92" t="s">
        <v>55</v>
      </c>
      <c r="S817" s="20">
        <v>541.52599999999995</v>
      </c>
    </row>
    <row r="818" spans="1:19" x14ac:dyDescent="0.15">
      <c r="A818" s="90">
        <v>44679</v>
      </c>
      <c r="B818" s="90" t="str">
        <f t="shared" si="110"/>
        <v>avril</v>
      </c>
      <c r="C818" s="90" t="str">
        <f t="shared" si="111"/>
        <v>2022</v>
      </c>
      <c r="D818" s="90" t="str">
        <f t="shared" si="112"/>
        <v>avril2022</v>
      </c>
      <c r="E818" s="91" t="s">
        <v>775</v>
      </c>
      <c r="F818" s="91">
        <v>800</v>
      </c>
      <c r="G818" s="94">
        <f t="shared" si="113"/>
        <v>0.8</v>
      </c>
      <c r="H818" s="92" t="s">
        <v>45</v>
      </c>
      <c r="I818" s="96">
        <f t="shared" si="108"/>
        <v>0.3</v>
      </c>
      <c r="J818" s="96">
        <f t="shared" si="109"/>
        <v>0.7</v>
      </c>
      <c r="K818" s="92">
        <f>VLOOKUP(H818,'Taux émission CO2e'!$A$5:$D$16,4,FALSE)</f>
        <v>0.16</v>
      </c>
      <c r="L818" s="93">
        <f t="shared" si="114"/>
        <v>9.6106752000000011</v>
      </c>
      <c r="M818" s="92">
        <f>VLOOKUP(H818,'Taux émission CO2e'!$A$20:$D$31,4,FALSE)</f>
        <v>6.7400000000000002E-2</v>
      </c>
      <c r="N818" s="105">
        <f t="shared" si="115"/>
        <v>9.4464928319999988</v>
      </c>
      <c r="O818" s="93">
        <f t="shared" si="116"/>
        <v>19.057168032</v>
      </c>
      <c r="P818" s="92">
        <v>294</v>
      </c>
      <c r="Q818" s="92" t="s">
        <v>89</v>
      </c>
      <c r="R818" s="92" t="s">
        <v>55</v>
      </c>
      <c r="S818" s="20">
        <v>250.27799999999999</v>
      </c>
    </row>
    <row r="819" spans="1:19" x14ac:dyDescent="0.15">
      <c r="A819" s="90">
        <v>44680</v>
      </c>
      <c r="B819" s="90" t="str">
        <f t="shared" si="110"/>
        <v>avril</v>
      </c>
      <c r="C819" s="90" t="str">
        <f t="shared" si="111"/>
        <v>2022</v>
      </c>
      <c r="D819" s="90" t="str">
        <f t="shared" si="112"/>
        <v>avril2022</v>
      </c>
      <c r="E819" s="91" t="s">
        <v>776</v>
      </c>
      <c r="F819" s="91">
        <v>139</v>
      </c>
      <c r="G819" s="94">
        <f t="shared" si="113"/>
        <v>0.13900000000000001</v>
      </c>
      <c r="H819" s="92" t="s">
        <v>38</v>
      </c>
      <c r="I819" s="96">
        <f t="shared" si="108"/>
        <v>1</v>
      </c>
      <c r="J819" s="96">
        <f t="shared" si="109"/>
        <v>0</v>
      </c>
      <c r="K819" s="92">
        <f>VLOOKUP(H819,'Taux émission CO2e'!$A$5:$D$16,4,FALSE)</f>
        <v>0.24099999999999999</v>
      </c>
      <c r="L819" s="93">
        <f t="shared" si="114"/>
        <v>1.141846914</v>
      </c>
      <c r="M819" s="92">
        <f>VLOOKUP(H819,'Taux émission CO2e'!$A$20:$D$31,4,FALSE)</f>
        <v>0</v>
      </c>
      <c r="N819" s="105">
        <f t="shared" si="115"/>
        <v>0</v>
      </c>
      <c r="O819" s="93">
        <f t="shared" si="116"/>
        <v>1.141846914</v>
      </c>
      <c r="P819" s="92">
        <v>80</v>
      </c>
      <c r="Q819" s="92" t="s">
        <v>58</v>
      </c>
      <c r="R819" s="92" t="s">
        <v>98</v>
      </c>
      <c r="S819" s="20">
        <v>34.085999999999999</v>
      </c>
    </row>
    <row r="820" spans="1:19" x14ac:dyDescent="0.15">
      <c r="A820" s="90">
        <v>44680</v>
      </c>
      <c r="B820" s="90" t="str">
        <f t="shared" si="110"/>
        <v>avril</v>
      </c>
      <c r="C820" s="90" t="str">
        <f t="shared" si="111"/>
        <v>2022</v>
      </c>
      <c r="D820" s="90" t="str">
        <f t="shared" si="112"/>
        <v>avril2022</v>
      </c>
      <c r="E820" s="91" t="s">
        <v>777</v>
      </c>
      <c r="F820" s="91">
        <v>218</v>
      </c>
      <c r="G820" s="94">
        <f t="shared" si="113"/>
        <v>0.218</v>
      </c>
      <c r="H820" s="92" t="s">
        <v>46</v>
      </c>
      <c r="I820" s="96">
        <f t="shared" si="108"/>
        <v>0.3</v>
      </c>
      <c r="J820" s="96">
        <f t="shared" si="109"/>
        <v>0.7</v>
      </c>
      <c r="K820" s="92">
        <f>VLOOKUP(H820,'Taux émission CO2e'!$A$5:$D$16,4,FALSE)</f>
        <v>0.16</v>
      </c>
      <c r="L820" s="93">
        <f t="shared" si="114"/>
        <v>5.6402424959999999</v>
      </c>
      <c r="M820" s="92">
        <f>VLOOKUP(H820,'Taux émission CO2e'!$A$20:$D$31,4,FALSE)</f>
        <v>6.7400000000000002E-2</v>
      </c>
      <c r="N820" s="105">
        <f t="shared" si="115"/>
        <v>5.5438883533599999</v>
      </c>
      <c r="O820" s="93">
        <f t="shared" si="116"/>
        <v>11.184130849359999</v>
      </c>
      <c r="P820" s="92">
        <v>133</v>
      </c>
      <c r="Q820" s="92" t="s">
        <v>58</v>
      </c>
      <c r="R820" s="92" t="s">
        <v>405</v>
      </c>
      <c r="S820" s="20">
        <v>539.01400000000001</v>
      </c>
    </row>
    <row r="821" spans="1:19" x14ac:dyDescent="0.15">
      <c r="A821" s="90">
        <v>44680</v>
      </c>
      <c r="B821" s="90" t="str">
        <f t="shared" si="110"/>
        <v>avril</v>
      </c>
      <c r="C821" s="90" t="str">
        <f t="shared" si="111"/>
        <v>2022</v>
      </c>
      <c r="D821" s="90" t="str">
        <f t="shared" si="112"/>
        <v>avril2022</v>
      </c>
      <c r="E821" s="91" t="s">
        <v>778</v>
      </c>
      <c r="F821" s="91">
        <v>150</v>
      </c>
      <c r="G821" s="94">
        <f t="shared" si="113"/>
        <v>0.15</v>
      </c>
      <c r="H821" s="92" t="s">
        <v>45</v>
      </c>
      <c r="I821" s="96">
        <f t="shared" si="108"/>
        <v>0.3</v>
      </c>
      <c r="J821" s="96">
        <f t="shared" si="109"/>
        <v>0.7</v>
      </c>
      <c r="K821" s="92">
        <f>VLOOKUP(H821,'Taux émission CO2e'!$A$5:$D$16,4,FALSE)</f>
        <v>0.16</v>
      </c>
      <c r="L821" s="93">
        <f t="shared" si="114"/>
        <v>1.9215215999999999</v>
      </c>
      <c r="M821" s="92">
        <f>VLOOKUP(H821,'Taux émission CO2e'!$A$20:$D$31,4,FALSE)</f>
        <v>6.7400000000000002E-2</v>
      </c>
      <c r="N821" s="105">
        <f t="shared" si="115"/>
        <v>1.888695606</v>
      </c>
      <c r="O821" s="93">
        <f t="shared" si="116"/>
        <v>3.8102172059999999</v>
      </c>
      <c r="P821" s="92">
        <v>135</v>
      </c>
      <c r="Q821" s="92" t="s">
        <v>730</v>
      </c>
      <c r="R821" s="92" t="s">
        <v>55</v>
      </c>
      <c r="S821" s="20">
        <v>266.87799999999999</v>
      </c>
    </row>
    <row r="822" spans="1:19" x14ac:dyDescent="0.15">
      <c r="A822" s="90">
        <v>44680</v>
      </c>
      <c r="B822" s="90" t="str">
        <f t="shared" si="110"/>
        <v>avril</v>
      </c>
      <c r="C822" s="90" t="str">
        <f t="shared" si="111"/>
        <v>2022</v>
      </c>
      <c r="D822" s="90" t="str">
        <f t="shared" si="112"/>
        <v>avril2022</v>
      </c>
      <c r="E822" s="91" t="s">
        <v>779</v>
      </c>
      <c r="F822" s="91">
        <v>150</v>
      </c>
      <c r="G822" s="94">
        <f t="shared" si="113"/>
        <v>0.15</v>
      </c>
      <c r="H822" s="92" t="s">
        <v>46</v>
      </c>
      <c r="I822" s="96">
        <f t="shared" si="108"/>
        <v>0.3</v>
      </c>
      <c r="J822" s="96">
        <f t="shared" si="109"/>
        <v>0.7</v>
      </c>
      <c r="K822" s="92">
        <f>VLOOKUP(H822,'Taux émission CO2e'!$A$5:$D$16,4,FALSE)</f>
        <v>0.16</v>
      </c>
      <c r="L822" s="93">
        <f t="shared" si="114"/>
        <v>1.2471839999999998</v>
      </c>
      <c r="M822" s="92">
        <f>VLOOKUP(H822,'Taux émission CO2e'!$A$20:$D$31,4,FALSE)</f>
        <v>6.7400000000000002E-2</v>
      </c>
      <c r="N822" s="105">
        <f t="shared" si="115"/>
        <v>1.2258779399999999</v>
      </c>
      <c r="O822" s="93">
        <f t="shared" si="116"/>
        <v>2.47306194</v>
      </c>
      <c r="P822" s="92">
        <v>140</v>
      </c>
      <c r="Q822" s="92" t="s">
        <v>708</v>
      </c>
      <c r="R822" s="92" t="s">
        <v>55</v>
      </c>
      <c r="S822" s="20">
        <v>173.22</v>
      </c>
    </row>
    <row r="823" spans="1:19" x14ac:dyDescent="0.15">
      <c r="A823" s="90">
        <v>44680</v>
      </c>
      <c r="B823" s="90" t="str">
        <f t="shared" si="110"/>
        <v>avril</v>
      </c>
      <c r="C823" s="90" t="str">
        <f t="shared" si="111"/>
        <v>2022</v>
      </c>
      <c r="D823" s="90" t="str">
        <f t="shared" si="112"/>
        <v>avril2022</v>
      </c>
      <c r="E823" s="91" t="s">
        <v>780</v>
      </c>
      <c r="F823" s="91">
        <v>150</v>
      </c>
      <c r="G823" s="94">
        <f t="shared" si="113"/>
        <v>0.15</v>
      </c>
      <c r="H823" s="92" t="s">
        <v>46</v>
      </c>
      <c r="I823" s="96">
        <f t="shared" si="108"/>
        <v>0.3</v>
      </c>
      <c r="J823" s="96">
        <f t="shared" si="109"/>
        <v>0.7</v>
      </c>
      <c r="K823" s="92">
        <f>VLOOKUP(H823,'Taux émission CO2e'!$A$5:$D$16,4,FALSE)</f>
        <v>0.16</v>
      </c>
      <c r="L823" s="93">
        <f t="shared" si="114"/>
        <v>1.3450607999999999</v>
      </c>
      <c r="M823" s="92">
        <f>VLOOKUP(H823,'Taux émission CO2e'!$A$20:$D$31,4,FALSE)</f>
        <v>6.7400000000000002E-2</v>
      </c>
      <c r="N823" s="105">
        <f t="shared" si="115"/>
        <v>1.3220826779999999</v>
      </c>
      <c r="O823" s="93">
        <f t="shared" si="116"/>
        <v>2.6671434779999998</v>
      </c>
      <c r="P823" s="92">
        <v>140</v>
      </c>
      <c r="Q823" s="92" t="s">
        <v>688</v>
      </c>
      <c r="R823" s="92" t="s">
        <v>55</v>
      </c>
      <c r="S823" s="20">
        <v>186.81399999999999</v>
      </c>
    </row>
    <row r="824" spans="1:19" x14ac:dyDescent="0.15">
      <c r="A824" s="90">
        <v>44680</v>
      </c>
      <c r="B824" s="90" t="str">
        <f t="shared" si="110"/>
        <v>avril</v>
      </c>
      <c r="C824" s="90" t="str">
        <f t="shared" si="111"/>
        <v>2022</v>
      </c>
      <c r="D824" s="90" t="str">
        <f t="shared" si="112"/>
        <v>avril2022</v>
      </c>
      <c r="E824" s="91" t="s">
        <v>781</v>
      </c>
      <c r="F824" s="91">
        <v>140</v>
      </c>
      <c r="G824" s="94">
        <f t="shared" si="113"/>
        <v>0.14000000000000001</v>
      </c>
      <c r="H824" s="92" t="s">
        <v>46</v>
      </c>
      <c r="I824" s="96">
        <f t="shared" si="108"/>
        <v>0.3</v>
      </c>
      <c r="J824" s="96">
        <f t="shared" si="109"/>
        <v>0.7</v>
      </c>
      <c r="K824" s="92">
        <f>VLOOKUP(H824,'Taux émission CO2e'!$A$5:$D$16,4,FALSE)</f>
        <v>0.16</v>
      </c>
      <c r="L824" s="93">
        <f t="shared" si="114"/>
        <v>2.9920934400000005</v>
      </c>
      <c r="M824" s="92">
        <f>VLOOKUP(H824,'Taux émission CO2e'!$A$20:$D$31,4,FALSE)</f>
        <v>6.7400000000000002E-2</v>
      </c>
      <c r="N824" s="105">
        <f t="shared" si="115"/>
        <v>2.9409785104000004</v>
      </c>
      <c r="O824" s="93">
        <f t="shared" si="116"/>
        <v>5.9330719504000005</v>
      </c>
      <c r="P824" s="92">
        <v>145</v>
      </c>
      <c r="Q824" s="92" t="s">
        <v>58</v>
      </c>
      <c r="R824" s="92" t="s">
        <v>640</v>
      </c>
      <c r="S824" s="20">
        <v>445.25200000000001</v>
      </c>
    </row>
    <row r="825" spans="1:19" x14ac:dyDescent="0.15">
      <c r="A825" s="90">
        <v>44680</v>
      </c>
      <c r="B825" s="90" t="str">
        <f t="shared" si="110"/>
        <v>avril</v>
      </c>
      <c r="C825" s="90" t="str">
        <f t="shared" si="111"/>
        <v>2022</v>
      </c>
      <c r="D825" s="90" t="str">
        <f t="shared" si="112"/>
        <v>avril2022</v>
      </c>
      <c r="E825" s="91" t="s">
        <v>782</v>
      </c>
      <c r="F825" s="91">
        <v>56</v>
      </c>
      <c r="G825" s="94">
        <f t="shared" si="113"/>
        <v>5.6000000000000001E-2</v>
      </c>
      <c r="H825" s="92" t="s">
        <v>46</v>
      </c>
      <c r="I825" s="96">
        <f t="shared" si="108"/>
        <v>0.3</v>
      </c>
      <c r="J825" s="96">
        <f t="shared" si="109"/>
        <v>0.7</v>
      </c>
      <c r="K825" s="92">
        <f>VLOOKUP(H825,'Taux émission CO2e'!$A$5:$D$16,4,FALSE)</f>
        <v>0.16</v>
      </c>
      <c r="L825" s="93">
        <f t="shared" si="114"/>
        <v>1.2078259200000001</v>
      </c>
      <c r="M825" s="92">
        <f>VLOOKUP(H825,'Taux émission CO2e'!$A$20:$D$31,4,FALSE)</f>
        <v>6.7400000000000002E-2</v>
      </c>
      <c r="N825" s="105">
        <f t="shared" si="115"/>
        <v>1.1871922271999999</v>
      </c>
      <c r="O825" s="93">
        <f t="shared" si="116"/>
        <v>2.3950181472000001</v>
      </c>
      <c r="P825" s="92">
        <v>154</v>
      </c>
      <c r="Q825" s="92" t="s">
        <v>58</v>
      </c>
      <c r="R825" s="92" t="s">
        <v>783</v>
      </c>
      <c r="S825" s="20">
        <v>449.34</v>
      </c>
    </row>
    <row r="826" spans="1:19" x14ac:dyDescent="0.15">
      <c r="A826" s="90">
        <v>44680</v>
      </c>
      <c r="B826" s="90" t="str">
        <f t="shared" si="110"/>
        <v>avril</v>
      </c>
      <c r="C826" s="90" t="str">
        <f t="shared" si="111"/>
        <v>2022</v>
      </c>
      <c r="D826" s="90" t="str">
        <f t="shared" si="112"/>
        <v>avril2022</v>
      </c>
      <c r="E826" s="91" t="s">
        <v>784</v>
      </c>
      <c r="F826" s="91">
        <v>385</v>
      </c>
      <c r="G826" s="94">
        <f t="shared" si="113"/>
        <v>0.38500000000000001</v>
      </c>
      <c r="H826" s="92" t="s">
        <v>46</v>
      </c>
      <c r="I826" s="96">
        <f t="shared" si="108"/>
        <v>0.3</v>
      </c>
      <c r="J826" s="96">
        <f t="shared" si="109"/>
        <v>0.7</v>
      </c>
      <c r="K826" s="92">
        <f>VLOOKUP(H826,'Taux émission CO2e'!$A$5:$D$16,4,FALSE)</f>
        <v>0.16</v>
      </c>
      <c r="L826" s="93">
        <f t="shared" si="114"/>
        <v>4.5977685599999996</v>
      </c>
      <c r="M826" s="92">
        <f>VLOOKUP(H826,'Taux émission CO2e'!$A$20:$D$31,4,FALSE)</f>
        <v>6.7400000000000002E-2</v>
      </c>
      <c r="N826" s="105">
        <f t="shared" si="115"/>
        <v>4.5192233471000005</v>
      </c>
      <c r="O826" s="93">
        <f t="shared" si="116"/>
        <v>9.116991907100001</v>
      </c>
      <c r="P826" s="92">
        <v>178</v>
      </c>
      <c r="Q826" s="92" t="s">
        <v>58</v>
      </c>
      <c r="R826" s="92" t="s">
        <v>82</v>
      </c>
      <c r="S826" s="20">
        <v>248.797</v>
      </c>
    </row>
    <row r="827" spans="1:19" x14ac:dyDescent="0.15">
      <c r="A827" s="90">
        <v>44683</v>
      </c>
      <c r="B827" s="90" t="str">
        <f t="shared" si="110"/>
        <v>mai</v>
      </c>
      <c r="C827" s="90" t="str">
        <f t="shared" si="111"/>
        <v>2022</v>
      </c>
      <c r="D827" s="90" t="str">
        <f t="shared" si="112"/>
        <v>mai2022</v>
      </c>
      <c r="E827" s="91" t="s">
        <v>785</v>
      </c>
      <c r="F827" s="91">
        <v>150</v>
      </c>
      <c r="G827" s="94">
        <f t="shared" si="113"/>
        <v>0.15</v>
      </c>
      <c r="H827" s="92" t="s">
        <v>38</v>
      </c>
      <c r="I827" s="96">
        <f t="shared" si="108"/>
        <v>1</v>
      </c>
      <c r="J827" s="96">
        <f t="shared" si="109"/>
        <v>0</v>
      </c>
      <c r="K827" s="92">
        <f>VLOOKUP(H827,'Taux émission CO2e'!$A$5:$D$16,4,FALSE)</f>
        <v>0.24099999999999999</v>
      </c>
      <c r="L827" s="93">
        <f t="shared" si="114"/>
        <v>1.2287746499999999</v>
      </c>
      <c r="M827" s="92">
        <f>VLOOKUP(H827,'Taux émission CO2e'!$A$20:$D$31,4,FALSE)</f>
        <v>0</v>
      </c>
      <c r="N827" s="105">
        <f t="shared" si="115"/>
        <v>0</v>
      </c>
      <c r="O827" s="93">
        <f t="shared" si="116"/>
        <v>1.2287746499999999</v>
      </c>
      <c r="P827" s="92">
        <v>80</v>
      </c>
      <c r="Q827" s="92" t="s">
        <v>67</v>
      </c>
      <c r="R827" s="92" t="s">
        <v>55</v>
      </c>
      <c r="S827" s="20">
        <v>33.991</v>
      </c>
    </row>
    <row r="828" spans="1:19" x14ac:dyDescent="0.15">
      <c r="A828" s="90">
        <v>44683</v>
      </c>
      <c r="B828" s="90" t="str">
        <f t="shared" si="110"/>
        <v>mai</v>
      </c>
      <c r="C828" s="90" t="str">
        <f t="shared" si="111"/>
        <v>2022</v>
      </c>
      <c r="D828" s="90" t="str">
        <f t="shared" si="112"/>
        <v>mai2022</v>
      </c>
      <c r="E828" s="91" t="s">
        <v>786</v>
      </c>
      <c r="F828" s="91">
        <v>105</v>
      </c>
      <c r="G828" s="94">
        <f t="shared" si="113"/>
        <v>0.105</v>
      </c>
      <c r="H828" s="92" t="s">
        <v>46</v>
      </c>
      <c r="I828" s="96">
        <f t="shared" si="108"/>
        <v>0.3</v>
      </c>
      <c r="J828" s="96">
        <f t="shared" si="109"/>
        <v>0.7</v>
      </c>
      <c r="K828" s="92">
        <f>VLOOKUP(H828,'Taux émission CO2e'!$A$5:$D$16,4,FALSE)</f>
        <v>0.16</v>
      </c>
      <c r="L828" s="93">
        <f t="shared" si="114"/>
        <v>1.2629181600000001</v>
      </c>
      <c r="M828" s="92">
        <f>VLOOKUP(H828,'Taux émission CO2e'!$A$20:$D$31,4,FALSE)</f>
        <v>6.7400000000000002E-2</v>
      </c>
      <c r="N828" s="105">
        <f t="shared" si="115"/>
        <v>1.2413433081</v>
      </c>
      <c r="O828" s="93">
        <f t="shared" si="116"/>
        <v>2.5042614681000002</v>
      </c>
      <c r="P828" s="92">
        <v>100</v>
      </c>
      <c r="Q828" s="92" t="s">
        <v>58</v>
      </c>
      <c r="R828" s="92" t="s">
        <v>79</v>
      </c>
      <c r="S828" s="20">
        <v>250.57900000000001</v>
      </c>
    </row>
    <row r="829" spans="1:19" x14ac:dyDescent="0.15">
      <c r="A829" s="90">
        <v>44683</v>
      </c>
      <c r="B829" s="90" t="str">
        <f t="shared" si="110"/>
        <v>mai</v>
      </c>
      <c r="C829" s="90" t="str">
        <f t="shared" si="111"/>
        <v>2022</v>
      </c>
      <c r="D829" s="90" t="str">
        <f t="shared" si="112"/>
        <v>mai2022</v>
      </c>
      <c r="E829" s="91" t="s">
        <v>787</v>
      </c>
      <c r="F829" s="91">
        <v>182</v>
      </c>
      <c r="G829" s="94">
        <f t="shared" si="113"/>
        <v>0.182</v>
      </c>
      <c r="H829" s="92" t="s">
        <v>46</v>
      </c>
      <c r="I829" s="96">
        <f t="shared" si="108"/>
        <v>0.3</v>
      </c>
      <c r="J829" s="96">
        <f t="shared" si="109"/>
        <v>0.7</v>
      </c>
      <c r="K829" s="92">
        <f>VLOOKUP(H829,'Taux émission CO2e'!$A$5:$D$16,4,FALSE)</f>
        <v>0.16</v>
      </c>
      <c r="L829" s="93">
        <f t="shared" si="114"/>
        <v>1.4621443200000002</v>
      </c>
      <c r="M829" s="92">
        <f>VLOOKUP(H829,'Taux émission CO2e'!$A$20:$D$31,4,FALSE)</f>
        <v>6.7400000000000002E-2</v>
      </c>
      <c r="N829" s="105">
        <f t="shared" si="115"/>
        <v>1.4371660212000001</v>
      </c>
      <c r="O829" s="93">
        <f t="shared" si="116"/>
        <v>2.8993103412000005</v>
      </c>
      <c r="P829" s="92">
        <v>108</v>
      </c>
      <c r="Q829" s="92" t="s">
        <v>58</v>
      </c>
      <c r="R829" s="92" t="s">
        <v>112</v>
      </c>
      <c r="S829" s="20">
        <v>167.37</v>
      </c>
    </row>
    <row r="830" spans="1:19" x14ac:dyDescent="0.15">
      <c r="A830" s="90">
        <v>44683</v>
      </c>
      <c r="B830" s="90" t="str">
        <f t="shared" si="110"/>
        <v>mai</v>
      </c>
      <c r="C830" s="90" t="str">
        <f t="shared" si="111"/>
        <v>2022</v>
      </c>
      <c r="D830" s="90" t="str">
        <f t="shared" si="112"/>
        <v>mai2022</v>
      </c>
      <c r="E830" s="91" t="s">
        <v>788</v>
      </c>
      <c r="F830" s="91">
        <v>218</v>
      </c>
      <c r="G830" s="94">
        <f t="shared" si="113"/>
        <v>0.218</v>
      </c>
      <c r="H830" s="92" t="s">
        <v>46</v>
      </c>
      <c r="I830" s="96">
        <f t="shared" si="108"/>
        <v>0.3</v>
      </c>
      <c r="J830" s="96">
        <f t="shared" si="109"/>
        <v>0.7</v>
      </c>
      <c r="K830" s="92">
        <f>VLOOKUP(H830,'Taux émission CO2e'!$A$5:$D$16,4,FALSE)</f>
        <v>0.16</v>
      </c>
      <c r="L830" s="93">
        <f t="shared" si="114"/>
        <v>5.6402424959999999</v>
      </c>
      <c r="M830" s="92">
        <f>VLOOKUP(H830,'Taux émission CO2e'!$A$20:$D$31,4,FALSE)</f>
        <v>6.7400000000000002E-2</v>
      </c>
      <c r="N830" s="105">
        <f t="shared" si="115"/>
        <v>5.5438883533599999</v>
      </c>
      <c r="O830" s="93">
        <f t="shared" si="116"/>
        <v>11.184130849359999</v>
      </c>
      <c r="P830" s="92">
        <v>133</v>
      </c>
      <c r="Q830" s="92" t="s">
        <v>58</v>
      </c>
      <c r="R830" s="92" t="s">
        <v>405</v>
      </c>
      <c r="S830" s="20">
        <v>539.01400000000001</v>
      </c>
    </row>
    <row r="831" spans="1:19" x14ac:dyDescent="0.15">
      <c r="A831" s="90">
        <v>44683</v>
      </c>
      <c r="B831" s="90" t="str">
        <f t="shared" si="110"/>
        <v>mai</v>
      </c>
      <c r="C831" s="90" t="str">
        <f t="shared" si="111"/>
        <v>2022</v>
      </c>
      <c r="D831" s="90" t="str">
        <f t="shared" si="112"/>
        <v>mai2022</v>
      </c>
      <c r="E831" s="91" t="s">
        <v>789</v>
      </c>
      <c r="F831" s="91">
        <v>291</v>
      </c>
      <c r="G831" s="94">
        <f t="shared" si="113"/>
        <v>0.29099999999999998</v>
      </c>
      <c r="H831" s="92" t="s">
        <v>46</v>
      </c>
      <c r="I831" s="96">
        <f t="shared" si="108"/>
        <v>0.3</v>
      </c>
      <c r="J831" s="96">
        <f t="shared" si="109"/>
        <v>0.7</v>
      </c>
      <c r="K831" s="92">
        <f>VLOOKUP(H831,'Taux émission CO2e'!$A$5:$D$16,4,FALSE)</f>
        <v>0.16</v>
      </c>
      <c r="L831" s="93">
        <f t="shared" si="114"/>
        <v>2.6341273439999999</v>
      </c>
      <c r="M831" s="92">
        <f>VLOOKUP(H831,'Taux émission CO2e'!$A$20:$D$31,4,FALSE)</f>
        <v>6.7400000000000002E-2</v>
      </c>
      <c r="N831" s="105">
        <f t="shared" si="115"/>
        <v>2.5891276685399998</v>
      </c>
      <c r="O831" s="93">
        <f t="shared" si="116"/>
        <v>5.2232550125399992</v>
      </c>
      <c r="P831" s="92">
        <v>200</v>
      </c>
      <c r="Q831" s="92" t="s">
        <v>58</v>
      </c>
      <c r="R831" s="92" t="s">
        <v>531</v>
      </c>
      <c r="S831" s="20">
        <v>188.583</v>
      </c>
    </row>
    <row r="832" spans="1:19" x14ac:dyDescent="0.15">
      <c r="A832" s="90">
        <v>44683</v>
      </c>
      <c r="B832" s="90" t="str">
        <f t="shared" si="110"/>
        <v>mai</v>
      </c>
      <c r="C832" s="90" t="str">
        <f t="shared" si="111"/>
        <v>2022</v>
      </c>
      <c r="D832" s="90" t="str">
        <f t="shared" si="112"/>
        <v>mai2022</v>
      </c>
      <c r="E832" s="91" t="s">
        <v>790</v>
      </c>
      <c r="F832" s="91">
        <v>318</v>
      </c>
      <c r="G832" s="94">
        <f t="shared" si="113"/>
        <v>0.318</v>
      </c>
      <c r="H832" s="92" t="s">
        <v>46</v>
      </c>
      <c r="I832" s="96">
        <f t="shared" si="108"/>
        <v>0.3</v>
      </c>
      <c r="J832" s="96">
        <f t="shared" si="109"/>
        <v>0.7</v>
      </c>
      <c r="K832" s="92">
        <f>VLOOKUP(H832,'Taux émission CO2e'!$A$5:$D$16,4,FALSE)</f>
        <v>0.16</v>
      </c>
      <c r="L832" s="93">
        <f t="shared" si="114"/>
        <v>3.7976374079999999</v>
      </c>
      <c r="M832" s="92">
        <f>VLOOKUP(H832,'Taux émission CO2e'!$A$20:$D$31,4,FALSE)</f>
        <v>6.7400000000000002E-2</v>
      </c>
      <c r="N832" s="105">
        <f t="shared" si="115"/>
        <v>3.7327611022799996</v>
      </c>
      <c r="O832" s="93">
        <f t="shared" si="116"/>
        <v>7.5303985102799995</v>
      </c>
      <c r="P832" s="92">
        <v>234</v>
      </c>
      <c r="Q832" s="92" t="s">
        <v>58</v>
      </c>
      <c r="R832" s="92" t="s">
        <v>82</v>
      </c>
      <c r="S832" s="20">
        <v>248.797</v>
      </c>
    </row>
    <row r="833" spans="1:19" x14ac:dyDescent="0.15">
      <c r="A833" s="90">
        <v>44683</v>
      </c>
      <c r="B833" s="90" t="str">
        <f t="shared" si="110"/>
        <v>mai</v>
      </c>
      <c r="C833" s="90" t="str">
        <f t="shared" si="111"/>
        <v>2022</v>
      </c>
      <c r="D833" s="90" t="str">
        <f t="shared" si="112"/>
        <v>mai2022</v>
      </c>
      <c r="E833" s="91" t="s">
        <v>791</v>
      </c>
      <c r="F833" s="92">
        <v>1000</v>
      </c>
      <c r="G833" s="94">
        <f t="shared" si="113"/>
        <v>1</v>
      </c>
      <c r="H833" s="92" t="s">
        <v>46</v>
      </c>
      <c r="I833" s="96">
        <f t="shared" si="108"/>
        <v>0.3</v>
      </c>
      <c r="J833" s="96">
        <f t="shared" si="109"/>
        <v>0.7</v>
      </c>
      <c r="K833" s="92">
        <f>VLOOKUP(H833,'Taux émission CO2e'!$A$5:$D$16,4,FALSE)</f>
        <v>0.16</v>
      </c>
      <c r="L833" s="93">
        <f t="shared" si="114"/>
        <v>18.268128000000001</v>
      </c>
      <c r="M833" s="92">
        <f>VLOOKUP(H833,'Taux émission CO2e'!$A$20:$D$31,4,FALSE)</f>
        <v>6.7400000000000002E-2</v>
      </c>
      <c r="N833" s="105">
        <f t="shared" si="115"/>
        <v>17.956047479999999</v>
      </c>
      <c r="O833" s="93">
        <f t="shared" si="116"/>
        <v>36.22417548</v>
      </c>
      <c r="P833" s="92">
        <v>450</v>
      </c>
      <c r="Q833" s="92" t="s">
        <v>91</v>
      </c>
      <c r="R833" s="92" t="s">
        <v>55</v>
      </c>
      <c r="S833" s="20">
        <v>380.58600000000001</v>
      </c>
    </row>
    <row r="834" spans="1:19" x14ac:dyDescent="0.15">
      <c r="A834" s="90">
        <v>44683</v>
      </c>
      <c r="B834" s="90" t="str">
        <f t="shared" si="110"/>
        <v>mai</v>
      </c>
      <c r="C834" s="90" t="str">
        <f t="shared" si="111"/>
        <v>2022</v>
      </c>
      <c r="D834" s="90" t="str">
        <f t="shared" si="112"/>
        <v>mai2022</v>
      </c>
      <c r="E834" s="91" t="s">
        <v>792</v>
      </c>
      <c r="F834" s="92">
        <v>5000</v>
      </c>
      <c r="G834" s="94">
        <f t="shared" si="113"/>
        <v>5</v>
      </c>
      <c r="H834" s="92" t="s">
        <v>43</v>
      </c>
      <c r="I834" s="96">
        <f t="shared" ref="I834:I897" si="117">VLOOKUP(H834,Segment1,2,FALSE)</f>
        <v>1</v>
      </c>
      <c r="J834" s="96">
        <f t="shared" ref="J834:J897" si="118">VLOOKUP(H834,Segment2,2,FALSE)</f>
        <v>0</v>
      </c>
      <c r="K834" s="92">
        <f>VLOOKUP(H834,'Taux émission CO2e'!$A$5:$D$16,4,FALSE)</f>
        <v>0.16</v>
      </c>
      <c r="L834" s="93">
        <f t="shared" si="114"/>
        <v>198.03280000000001</v>
      </c>
      <c r="M834" s="92">
        <f>VLOOKUP(H834,'Taux émission CO2e'!$A$20:$D$31,4,FALSE)</f>
        <v>0</v>
      </c>
      <c r="N834" s="105">
        <f t="shared" si="115"/>
        <v>0</v>
      </c>
      <c r="O834" s="93">
        <f t="shared" si="116"/>
        <v>198.03280000000001</v>
      </c>
      <c r="P834" s="92">
        <v>550</v>
      </c>
      <c r="Q834" s="92" t="s">
        <v>109</v>
      </c>
      <c r="R834" s="92" t="s">
        <v>55</v>
      </c>
      <c r="S834" s="20">
        <v>247.541</v>
      </c>
    </row>
    <row r="835" spans="1:19" x14ac:dyDescent="0.15">
      <c r="A835" s="90">
        <v>44684</v>
      </c>
      <c r="B835" s="90" t="str">
        <f t="shared" ref="B835:B898" si="119">TEXT(A835,"mmmm")</f>
        <v>mai</v>
      </c>
      <c r="C835" s="90" t="str">
        <f t="shared" ref="C835:C898" si="120">TEXT(A835,"aaaa")</f>
        <v>2022</v>
      </c>
      <c r="D835" s="90" t="str">
        <f t="shared" ref="D835:D898" si="121">B835&amp;C835</f>
        <v>mai2022</v>
      </c>
      <c r="E835" s="91" t="s">
        <v>793</v>
      </c>
      <c r="F835" s="91">
        <v>100</v>
      </c>
      <c r="G835" s="94">
        <f t="shared" ref="G835:G898" si="122">F835/1000</f>
        <v>0.1</v>
      </c>
      <c r="H835" s="92" t="s">
        <v>46</v>
      </c>
      <c r="I835" s="96">
        <f t="shared" si="117"/>
        <v>0.3</v>
      </c>
      <c r="J835" s="96">
        <f t="shared" si="118"/>
        <v>0.7</v>
      </c>
      <c r="K835" s="92">
        <f>VLOOKUP(H835,'Taux émission CO2e'!$A$5:$D$16,4,FALSE)</f>
        <v>0.16</v>
      </c>
      <c r="L835" s="93">
        <f t="shared" ref="L835:L898" si="123">IFERROR(I835*K835*G835*S835,"0")</f>
        <v>1.2200400000000002</v>
      </c>
      <c r="M835" s="92">
        <f>VLOOKUP(H835,'Taux émission CO2e'!$A$20:$D$31,4,FALSE)</f>
        <v>6.7400000000000002E-2</v>
      </c>
      <c r="N835" s="105">
        <f t="shared" ref="N835:N898" si="124">IFERROR(J835*M835*G835*S835,"0")</f>
        <v>1.1991976500000001</v>
      </c>
      <c r="O835" s="93">
        <f t="shared" ref="O835:O898" si="125">L835+N835</f>
        <v>2.4192376500000004</v>
      </c>
      <c r="P835" s="92">
        <v>100</v>
      </c>
      <c r="Q835" s="92" t="s">
        <v>58</v>
      </c>
      <c r="R835" s="92" t="s">
        <v>93</v>
      </c>
      <c r="S835" s="20">
        <v>254.17500000000001</v>
      </c>
    </row>
    <row r="836" spans="1:19" x14ac:dyDescent="0.15">
      <c r="A836" s="90">
        <v>44685</v>
      </c>
      <c r="B836" s="90" t="str">
        <f t="shared" si="119"/>
        <v>mai</v>
      </c>
      <c r="C836" s="90" t="str">
        <f t="shared" si="120"/>
        <v>2022</v>
      </c>
      <c r="D836" s="90" t="str">
        <f t="shared" si="121"/>
        <v>mai2022</v>
      </c>
      <c r="E836" s="91" t="s">
        <v>794</v>
      </c>
      <c r="F836" s="91">
        <v>150</v>
      </c>
      <c r="G836" s="94">
        <f t="shared" si="122"/>
        <v>0.15</v>
      </c>
      <c r="H836" s="92" t="s">
        <v>45</v>
      </c>
      <c r="I836" s="96">
        <f t="shared" si="117"/>
        <v>0.3</v>
      </c>
      <c r="J836" s="96">
        <f t="shared" si="118"/>
        <v>0.7</v>
      </c>
      <c r="K836" s="92">
        <f>VLOOKUP(H836,'Taux émission CO2e'!$A$5:$D$16,4,FALSE)</f>
        <v>0.16</v>
      </c>
      <c r="L836" s="93">
        <f t="shared" si="123"/>
        <v>2.0026439999999996</v>
      </c>
      <c r="M836" s="92">
        <f>VLOOKUP(H836,'Taux émission CO2e'!$A$20:$D$31,4,FALSE)</f>
        <v>6.7400000000000002E-2</v>
      </c>
      <c r="N836" s="105">
        <f t="shared" si="124"/>
        <v>1.9684321649999998</v>
      </c>
      <c r="O836" s="93">
        <f t="shared" si="125"/>
        <v>3.9710761649999995</v>
      </c>
      <c r="P836" s="92">
        <v>158</v>
      </c>
      <c r="Q836" s="92" t="s">
        <v>74</v>
      </c>
      <c r="R836" s="92" t="s">
        <v>55</v>
      </c>
      <c r="S836" s="20">
        <v>278.14499999999998</v>
      </c>
    </row>
    <row r="837" spans="1:19" x14ac:dyDescent="0.15">
      <c r="A837" s="90">
        <v>44685</v>
      </c>
      <c r="B837" s="90" t="str">
        <f t="shared" si="119"/>
        <v>mai</v>
      </c>
      <c r="C837" s="90" t="str">
        <f t="shared" si="120"/>
        <v>2022</v>
      </c>
      <c r="D837" s="90" t="str">
        <f t="shared" si="121"/>
        <v>mai2022</v>
      </c>
      <c r="E837" s="91" t="s">
        <v>795</v>
      </c>
      <c r="F837" s="91">
        <v>150</v>
      </c>
      <c r="G837" s="94">
        <f t="shared" si="122"/>
        <v>0.15</v>
      </c>
      <c r="H837" s="92" t="s">
        <v>45</v>
      </c>
      <c r="I837" s="96">
        <f t="shared" si="117"/>
        <v>0.3</v>
      </c>
      <c r="J837" s="96">
        <f t="shared" si="118"/>
        <v>0.7</v>
      </c>
      <c r="K837" s="92">
        <f>VLOOKUP(H837,'Taux émission CO2e'!$A$5:$D$16,4,FALSE)</f>
        <v>0.16</v>
      </c>
      <c r="L837" s="93">
        <f t="shared" si="123"/>
        <v>3.8714975999999997</v>
      </c>
      <c r="M837" s="92">
        <f>VLOOKUP(H837,'Taux émission CO2e'!$A$20:$D$31,4,FALSE)</f>
        <v>6.7400000000000002E-2</v>
      </c>
      <c r="N837" s="105">
        <f t="shared" si="124"/>
        <v>3.8053595159999998</v>
      </c>
      <c r="O837" s="93">
        <f t="shared" si="125"/>
        <v>7.676857115999999</v>
      </c>
      <c r="P837" s="92">
        <v>160</v>
      </c>
      <c r="Q837" s="92" t="s">
        <v>612</v>
      </c>
      <c r="R837" s="92" t="s">
        <v>55</v>
      </c>
      <c r="S837" s="20">
        <v>537.70799999999997</v>
      </c>
    </row>
    <row r="838" spans="1:19" x14ac:dyDescent="0.15">
      <c r="A838" s="90">
        <v>44685</v>
      </c>
      <c r="B838" s="90" t="str">
        <f t="shared" si="119"/>
        <v>mai</v>
      </c>
      <c r="C838" s="90" t="str">
        <f t="shared" si="120"/>
        <v>2022</v>
      </c>
      <c r="D838" s="90" t="str">
        <f t="shared" si="121"/>
        <v>mai2022</v>
      </c>
      <c r="E838" s="91" t="s">
        <v>796</v>
      </c>
      <c r="F838" s="91">
        <v>150</v>
      </c>
      <c r="G838" s="94">
        <f t="shared" si="122"/>
        <v>0.15</v>
      </c>
      <c r="H838" s="92" t="s">
        <v>45</v>
      </c>
      <c r="I838" s="96">
        <f t="shared" si="117"/>
        <v>0.3</v>
      </c>
      <c r="J838" s="96">
        <f t="shared" si="118"/>
        <v>0.7</v>
      </c>
      <c r="K838" s="92">
        <f>VLOOKUP(H838,'Taux émission CO2e'!$A$5:$D$16,4,FALSE)</f>
        <v>0.16</v>
      </c>
      <c r="L838" s="93">
        <f t="shared" si="123"/>
        <v>5.4150624000000001</v>
      </c>
      <c r="M838" s="92">
        <f>VLOOKUP(H838,'Taux émission CO2e'!$A$20:$D$31,4,FALSE)</f>
        <v>6.7400000000000002E-2</v>
      </c>
      <c r="N838" s="105">
        <f t="shared" si="124"/>
        <v>5.3225550840000002</v>
      </c>
      <c r="O838" s="93">
        <f t="shared" si="125"/>
        <v>10.737617484000001</v>
      </c>
      <c r="P838" s="92">
        <v>175</v>
      </c>
      <c r="Q838" s="92" t="s">
        <v>73</v>
      </c>
      <c r="R838" s="92" t="s">
        <v>55</v>
      </c>
      <c r="S838" s="20">
        <v>752.09199999999998</v>
      </c>
    </row>
    <row r="839" spans="1:19" x14ac:dyDescent="0.15">
      <c r="A839" s="90">
        <v>44686</v>
      </c>
      <c r="B839" s="90" t="str">
        <f t="shared" si="119"/>
        <v>mai</v>
      </c>
      <c r="C839" s="90" t="str">
        <f t="shared" si="120"/>
        <v>2022</v>
      </c>
      <c r="D839" s="90" t="str">
        <f t="shared" si="121"/>
        <v>mai2022</v>
      </c>
      <c r="E839" s="91" t="s">
        <v>797</v>
      </c>
      <c r="F839" s="91">
        <v>150</v>
      </c>
      <c r="G839" s="94">
        <f t="shared" si="122"/>
        <v>0.15</v>
      </c>
      <c r="H839" s="92" t="s">
        <v>46</v>
      </c>
      <c r="I839" s="96">
        <f t="shared" si="117"/>
        <v>0.3</v>
      </c>
      <c r="J839" s="96">
        <f t="shared" si="118"/>
        <v>0.7</v>
      </c>
      <c r="K839" s="92">
        <f>VLOOKUP(H839,'Taux émission CO2e'!$A$5:$D$16,4,FALSE)</f>
        <v>0.16</v>
      </c>
      <c r="L839" s="93">
        <f t="shared" si="123"/>
        <v>3.8989871999999997</v>
      </c>
      <c r="M839" s="92">
        <f>VLOOKUP(H839,'Taux émission CO2e'!$A$20:$D$31,4,FALSE)</f>
        <v>6.7400000000000002E-2</v>
      </c>
      <c r="N839" s="105">
        <f t="shared" si="124"/>
        <v>3.8323795019999998</v>
      </c>
      <c r="O839" s="93">
        <f t="shared" si="125"/>
        <v>7.731366701999999</v>
      </c>
      <c r="P839" s="92">
        <v>156</v>
      </c>
      <c r="Q839" s="92" t="s">
        <v>62</v>
      </c>
      <c r="R839" s="92" t="s">
        <v>55</v>
      </c>
      <c r="S839" s="20">
        <v>541.52599999999995</v>
      </c>
    </row>
    <row r="840" spans="1:19" x14ac:dyDescent="0.15">
      <c r="A840" s="90">
        <v>44686</v>
      </c>
      <c r="B840" s="90" t="str">
        <f t="shared" si="119"/>
        <v>mai</v>
      </c>
      <c r="C840" s="90" t="str">
        <f t="shared" si="120"/>
        <v>2022</v>
      </c>
      <c r="D840" s="90" t="str">
        <f t="shared" si="121"/>
        <v>mai2022</v>
      </c>
      <c r="E840" s="91" t="s">
        <v>798</v>
      </c>
      <c r="F840" s="92">
        <v>1000</v>
      </c>
      <c r="G840" s="94">
        <f t="shared" si="122"/>
        <v>1</v>
      </c>
      <c r="H840" s="92" t="s">
        <v>38</v>
      </c>
      <c r="I840" s="96">
        <f t="shared" si="117"/>
        <v>1</v>
      </c>
      <c r="J840" s="96">
        <f t="shared" si="118"/>
        <v>0</v>
      </c>
      <c r="K840" s="92">
        <f>VLOOKUP(H840,'Taux émission CO2e'!$A$5:$D$16,4,FALSE)</f>
        <v>0.24099999999999999</v>
      </c>
      <c r="L840" s="93">
        <f t="shared" si="123"/>
        <v>13.197401000000001</v>
      </c>
      <c r="M840" s="92">
        <f>VLOOKUP(H840,'Taux émission CO2e'!$A$20:$D$31,4,FALSE)</f>
        <v>0</v>
      </c>
      <c r="N840" s="105">
        <f t="shared" si="124"/>
        <v>0</v>
      </c>
      <c r="O840" s="93">
        <f t="shared" si="125"/>
        <v>13.197401000000001</v>
      </c>
      <c r="P840" s="92">
        <v>170</v>
      </c>
      <c r="Q840" s="92" t="s">
        <v>56</v>
      </c>
      <c r="R840" s="92" t="s">
        <v>55</v>
      </c>
      <c r="S840" s="20">
        <v>54.761000000000003</v>
      </c>
    </row>
    <row r="841" spans="1:19" x14ac:dyDescent="0.15">
      <c r="A841" s="90">
        <v>44686</v>
      </c>
      <c r="B841" s="90" t="str">
        <f t="shared" si="119"/>
        <v>mai</v>
      </c>
      <c r="C841" s="90" t="str">
        <f t="shared" si="120"/>
        <v>2022</v>
      </c>
      <c r="D841" s="90" t="str">
        <f t="shared" si="121"/>
        <v>mai2022</v>
      </c>
      <c r="E841" s="91" t="s">
        <v>799</v>
      </c>
      <c r="F841" s="91">
        <v>150</v>
      </c>
      <c r="G841" s="94">
        <f t="shared" si="122"/>
        <v>0.15</v>
      </c>
      <c r="H841" s="92" t="s">
        <v>45</v>
      </c>
      <c r="I841" s="96">
        <f t="shared" si="117"/>
        <v>0.3</v>
      </c>
      <c r="J841" s="96">
        <f t="shared" si="118"/>
        <v>0.7</v>
      </c>
      <c r="K841" s="92">
        <f>VLOOKUP(H841,'Taux émission CO2e'!$A$5:$D$16,4,FALSE)</f>
        <v>0.16</v>
      </c>
      <c r="L841" s="93">
        <f t="shared" si="123"/>
        <v>1.8020015999999999</v>
      </c>
      <c r="M841" s="92">
        <f>VLOOKUP(H841,'Taux émission CO2e'!$A$20:$D$31,4,FALSE)</f>
        <v>6.7400000000000002E-2</v>
      </c>
      <c r="N841" s="105">
        <f t="shared" si="124"/>
        <v>1.7712174059999999</v>
      </c>
      <c r="O841" s="93">
        <f t="shared" si="125"/>
        <v>3.5732190059999995</v>
      </c>
      <c r="P841" s="92">
        <v>200</v>
      </c>
      <c r="Q841" s="92" t="s">
        <v>89</v>
      </c>
      <c r="R841" s="92" t="s">
        <v>55</v>
      </c>
      <c r="S841" s="20">
        <v>250.27799999999999</v>
      </c>
    </row>
    <row r="842" spans="1:19" x14ac:dyDescent="0.15">
      <c r="A842" s="90">
        <v>44686</v>
      </c>
      <c r="B842" s="90" t="str">
        <f t="shared" si="119"/>
        <v>mai</v>
      </c>
      <c r="C842" s="90" t="str">
        <f t="shared" si="120"/>
        <v>2022</v>
      </c>
      <c r="D842" s="90" t="str">
        <f t="shared" si="121"/>
        <v>mai2022</v>
      </c>
      <c r="E842" s="91" t="s">
        <v>800</v>
      </c>
      <c r="F842" s="91">
        <v>225</v>
      </c>
      <c r="G842" s="94">
        <f t="shared" si="122"/>
        <v>0.22500000000000001</v>
      </c>
      <c r="H842" s="92" t="s">
        <v>46</v>
      </c>
      <c r="I842" s="96">
        <f t="shared" si="117"/>
        <v>0.3</v>
      </c>
      <c r="J842" s="96">
        <f t="shared" si="118"/>
        <v>0.7</v>
      </c>
      <c r="K842" s="92">
        <f>VLOOKUP(H842,'Taux émission CO2e'!$A$5:$D$16,4,FALSE)</f>
        <v>0.16</v>
      </c>
      <c r="L842" s="93">
        <f t="shared" si="123"/>
        <v>2.7450900000000003</v>
      </c>
      <c r="M842" s="92">
        <f>VLOOKUP(H842,'Taux émission CO2e'!$A$20:$D$31,4,FALSE)</f>
        <v>6.7400000000000002E-2</v>
      </c>
      <c r="N842" s="105">
        <f t="shared" si="124"/>
        <v>2.6981947125000003</v>
      </c>
      <c r="O842" s="93">
        <f t="shared" si="125"/>
        <v>5.4432847125000006</v>
      </c>
      <c r="P842" s="92">
        <v>200</v>
      </c>
      <c r="Q842" s="92" t="s">
        <v>58</v>
      </c>
      <c r="R842" s="92" t="s">
        <v>93</v>
      </c>
      <c r="S842" s="20">
        <v>254.17500000000001</v>
      </c>
    </row>
    <row r="843" spans="1:19" x14ac:dyDescent="0.15">
      <c r="A843" s="90">
        <v>44686</v>
      </c>
      <c r="B843" s="90" t="str">
        <f t="shared" si="119"/>
        <v>mai</v>
      </c>
      <c r="C843" s="90" t="str">
        <f t="shared" si="120"/>
        <v>2022</v>
      </c>
      <c r="D843" s="90" t="str">
        <f t="shared" si="121"/>
        <v>mai2022</v>
      </c>
      <c r="E843" s="91" t="s">
        <v>801</v>
      </c>
      <c r="F843" s="91">
        <v>300</v>
      </c>
      <c r="G843" s="94">
        <f t="shared" si="122"/>
        <v>0.3</v>
      </c>
      <c r="H843" s="92" t="s">
        <v>45</v>
      </c>
      <c r="I843" s="96">
        <f t="shared" si="117"/>
        <v>0.3</v>
      </c>
      <c r="J843" s="96">
        <f t="shared" si="118"/>
        <v>0.7</v>
      </c>
      <c r="K843" s="92">
        <f>VLOOKUP(H843,'Taux émission CO2e'!$A$5:$D$16,4,FALSE)</f>
        <v>0.16</v>
      </c>
      <c r="L843" s="93">
        <f t="shared" si="123"/>
        <v>2.9598624</v>
      </c>
      <c r="M843" s="92">
        <f>VLOOKUP(H843,'Taux émission CO2e'!$A$20:$D$31,4,FALSE)</f>
        <v>6.7400000000000002E-2</v>
      </c>
      <c r="N843" s="105">
        <f t="shared" si="124"/>
        <v>2.909298084</v>
      </c>
      <c r="O843" s="93">
        <f t="shared" si="125"/>
        <v>5.869160484</v>
      </c>
      <c r="P843" s="92">
        <v>202.5</v>
      </c>
      <c r="Q843" s="92" t="s">
        <v>89</v>
      </c>
      <c r="R843" s="92" t="s">
        <v>421</v>
      </c>
      <c r="S843" s="20">
        <v>205.54599999999999</v>
      </c>
    </row>
    <row r="844" spans="1:19" x14ac:dyDescent="0.15">
      <c r="A844" s="90">
        <v>44686</v>
      </c>
      <c r="B844" s="90" t="str">
        <f t="shared" si="119"/>
        <v>mai</v>
      </c>
      <c r="C844" s="90" t="str">
        <f t="shared" si="120"/>
        <v>2022</v>
      </c>
      <c r="D844" s="90" t="str">
        <f t="shared" si="121"/>
        <v>mai2022</v>
      </c>
      <c r="E844" s="91" t="s">
        <v>802</v>
      </c>
      <c r="F844" s="91">
        <v>132</v>
      </c>
      <c r="G844" s="94">
        <f t="shared" si="122"/>
        <v>0.13200000000000001</v>
      </c>
      <c r="H844" s="92" t="s">
        <v>46</v>
      </c>
      <c r="I844" s="96">
        <f t="shared" si="117"/>
        <v>0.3</v>
      </c>
      <c r="J844" s="96">
        <f t="shared" si="118"/>
        <v>0.7</v>
      </c>
      <c r="K844" s="92">
        <f>VLOOKUP(H844,'Taux émission CO2e'!$A$5:$D$16,4,FALSE)</f>
        <v>0.16</v>
      </c>
      <c r="L844" s="93">
        <f t="shared" si="123"/>
        <v>2.4105628800000001</v>
      </c>
      <c r="M844" s="92">
        <f>VLOOKUP(H844,'Taux émission CO2e'!$A$20:$D$31,4,FALSE)</f>
        <v>6.7400000000000002E-2</v>
      </c>
      <c r="N844" s="105">
        <f t="shared" si="124"/>
        <v>2.3693824308</v>
      </c>
      <c r="O844" s="93">
        <f t="shared" si="125"/>
        <v>4.7799453108000005</v>
      </c>
      <c r="P844" s="92">
        <v>261</v>
      </c>
      <c r="Q844" s="92" t="s">
        <v>58</v>
      </c>
      <c r="R844" s="92" t="s">
        <v>83</v>
      </c>
      <c r="S844" s="20">
        <v>380.45499999999998</v>
      </c>
    </row>
    <row r="845" spans="1:19" x14ac:dyDescent="0.15">
      <c r="A845" s="90">
        <v>44686</v>
      </c>
      <c r="B845" s="90" t="str">
        <f t="shared" si="119"/>
        <v>mai</v>
      </c>
      <c r="C845" s="90" t="str">
        <f t="shared" si="120"/>
        <v>2022</v>
      </c>
      <c r="D845" s="90" t="str">
        <f t="shared" si="121"/>
        <v>mai2022</v>
      </c>
      <c r="E845" s="91" t="s">
        <v>803</v>
      </c>
      <c r="F845" s="91">
        <v>450</v>
      </c>
      <c r="G845" s="94">
        <f t="shared" si="122"/>
        <v>0.45</v>
      </c>
      <c r="H845" s="92" t="s">
        <v>46</v>
      </c>
      <c r="I845" s="96">
        <f t="shared" si="117"/>
        <v>0.3</v>
      </c>
      <c r="J845" s="96">
        <f t="shared" si="118"/>
        <v>0.7</v>
      </c>
      <c r="K845" s="92">
        <f>VLOOKUP(H845,'Taux émission CO2e'!$A$5:$D$16,4,FALSE)</f>
        <v>0.16</v>
      </c>
      <c r="L845" s="93">
        <f t="shared" si="123"/>
        <v>5.3740152000000005</v>
      </c>
      <c r="M845" s="92">
        <f>VLOOKUP(H845,'Taux émission CO2e'!$A$20:$D$31,4,FALSE)</f>
        <v>6.7400000000000002E-2</v>
      </c>
      <c r="N845" s="105">
        <f t="shared" si="124"/>
        <v>5.2822091069999999</v>
      </c>
      <c r="O845" s="93">
        <f t="shared" si="125"/>
        <v>10.656224307</v>
      </c>
      <c r="P845" s="92">
        <v>270</v>
      </c>
      <c r="Q845" s="92" t="s">
        <v>58</v>
      </c>
      <c r="R845" s="92" t="s">
        <v>82</v>
      </c>
      <c r="S845" s="20">
        <v>248.797</v>
      </c>
    </row>
    <row r="846" spans="1:19" x14ac:dyDescent="0.15">
      <c r="A846" s="90">
        <v>44686</v>
      </c>
      <c r="B846" s="90" t="str">
        <f t="shared" si="119"/>
        <v>mai</v>
      </c>
      <c r="C846" s="90" t="str">
        <f t="shared" si="120"/>
        <v>2022</v>
      </c>
      <c r="D846" s="90" t="str">
        <f t="shared" si="121"/>
        <v>mai2022</v>
      </c>
      <c r="E846" s="91" t="s">
        <v>804</v>
      </c>
      <c r="F846" s="91">
        <v>450</v>
      </c>
      <c r="G846" s="94">
        <f t="shared" si="122"/>
        <v>0.45</v>
      </c>
      <c r="H846" s="92" t="s">
        <v>46</v>
      </c>
      <c r="I846" s="96">
        <f t="shared" si="117"/>
        <v>0.3</v>
      </c>
      <c r="J846" s="96">
        <f t="shared" si="118"/>
        <v>0.7</v>
      </c>
      <c r="K846" s="92">
        <f>VLOOKUP(H846,'Taux émission CO2e'!$A$5:$D$16,4,FALSE)</f>
        <v>0.16</v>
      </c>
      <c r="L846" s="93">
        <f t="shared" si="123"/>
        <v>9.9037512000000003</v>
      </c>
      <c r="M846" s="92">
        <f>VLOOKUP(H846,'Taux émission CO2e'!$A$20:$D$31,4,FALSE)</f>
        <v>6.7400000000000002E-2</v>
      </c>
      <c r="N846" s="105">
        <f t="shared" si="124"/>
        <v>9.7345621169999994</v>
      </c>
      <c r="O846" s="93">
        <f t="shared" si="125"/>
        <v>19.638313316999998</v>
      </c>
      <c r="P846" s="92">
        <v>280</v>
      </c>
      <c r="Q846" s="92" t="s">
        <v>58</v>
      </c>
      <c r="R846" s="92" t="s">
        <v>427</v>
      </c>
      <c r="S846" s="20">
        <v>458.50700000000001</v>
      </c>
    </row>
    <row r="847" spans="1:19" x14ac:dyDescent="0.15">
      <c r="A847" s="90">
        <v>44687</v>
      </c>
      <c r="B847" s="90" t="str">
        <f t="shared" si="119"/>
        <v>mai</v>
      </c>
      <c r="C847" s="90" t="str">
        <f t="shared" si="120"/>
        <v>2022</v>
      </c>
      <c r="D847" s="90" t="str">
        <f t="shared" si="121"/>
        <v>mai2022</v>
      </c>
      <c r="E847" s="91" t="s">
        <v>805</v>
      </c>
      <c r="F847" s="91">
        <v>150</v>
      </c>
      <c r="G847" s="94">
        <f t="shared" si="122"/>
        <v>0.15</v>
      </c>
      <c r="H847" s="92" t="s">
        <v>38</v>
      </c>
      <c r="I847" s="96">
        <f t="shared" si="117"/>
        <v>1</v>
      </c>
      <c r="J847" s="96">
        <f t="shared" si="118"/>
        <v>0</v>
      </c>
      <c r="K847" s="92">
        <f>VLOOKUP(H847,'Taux émission CO2e'!$A$5:$D$16,4,FALSE)</f>
        <v>0.24099999999999999</v>
      </c>
      <c r="L847" s="93">
        <f t="shared" si="123"/>
        <v>1.2287746499999999</v>
      </c>
      <c r="M847" s="92">
        <f>VLOOKUP(H847,'Taux émission CO2e'!$A$20:$D$31,4,FALSE)</f>
        <v>0</v>
      </c>
      <c r="N847" s="105">
        <f t="shared" si="124"/>
        <v>0</v>
      </c>
      <c r="O847" s="93">
        <f t="shared" si="125"/>
        <v>1.2287746499999999</v>
      </c>
      <c r="P847" s="92">
        <v>80</v>
      </c>
      <c r="Q847" s="92" t="s">
        <v>67</v>
      </c>
      <c r="R847" s="92" t="s">
        <v>55</v>
      </c>
      <c r="S847" s="20">
        <v>33.991</v>
      </c>
    </row>
    <row r="848" spans="1:19" x14ac:dyDescent="0.15">
      <c r="A848" s="90">
        <v>44687</v>
      </c>
      <c r="B848" s="90" t="str">
        <f t="shared" si="119"/>
        <v>mai</v>
      </c>
      <c r="C848" s="90" t="str">
        <f t="shared" si="120"/>
        <v>2022</v>
      </c>
      <c r="D848" s="90" t="str">
        <f t="shared" si="121"/>
        <v>mai2022</v>
      </c>
      <c r="E848" s="91" t="s">
        <v>806</v>
      </c>
      <c r="F848" s="91">
        <v>250</v>
      </c>
      <c r="G848" s="94">
        <f t="shared" si="122"/>
        <v>0.25</v>
      </c>
      <c r="H848" s="92" t="s">
        <v>45</v>
      </c>
      <c r="I848" s="96">
        <f t="shared" si="117"/>
        <v>0.3</v>
      </c>
      <c r="J848" s="96">
        <f t="shared" si="118"/>
        <v>0.7</v>
      </c>
      <c r="K848" s="92">
        <f>VLOOKUP(H848,'Taux émission CO2e'!$A$5:$D$16,4,FALSE)</f>
        <v>0.16</v>
      </c>
      <c r="L848" s="93">
        <f t="shared" si="123"/>
        <v>0.64771199999999995</v>
      </c>
      <c r="M848" s="92">
        <f>VLOOKUP(H848,'Taux émission CO2e'!$A$20:$D$31,4,FALSE)</f>
        <v>6.7400000000000002E-2</v>
      </c>
      <c r="N848" s="105">
        <f t="shared" si="124"/>
        <v>0.63664692000000001</v>
      </c>
      <c r="O848" s="93">
        <f t="shared" si="125"/>
        <v>1.2843589199999998</v>
      </c>
      <c r="P848" s="92">
        <v>80</v>
      </c>
      <c r="Q848" s="92" t="s">
        <v>58</v>
      </c>
      <c r="R848" s="92" t="s">
        <v>63</v>
      </c>
      <c r="S848" s="20">
        <v>53.975999999999999</v>
      </c>
    </row>
    <row r="849" spans="1:19" x14ac:dyDescent="0.15">
      <c r="A849" s="90">
        <v>44687</v>
      </c>
      <c r="B849" s="90" t="str">
        <f t="shared" si="119"/>
        <v>mai</v>
      </c>
      <c r="C849" s="90" t="str">
        <f t="shared" si="120"/>
        <v>2022</v>
      </c>
      <c r="D849" s="90" t="str">
        <f t="shared" si="121"/>
        <v>mai2022</v>
      </c>
      <c r="E849" s="91" t="s">
        <v>807</v>
      </c>
      <c r="F849" s="91">
        <v>293</v>
      </c>
      <c r="G849" s="94">
        <f t="shared" si="122"/>
        <v>0.29299999999999998</v>
      </c>
      <c r="H849" s="92" t="s">
        <v>45</v>
      </c>
      <c r="I849" s="96">
        <f t="shared" si="117"/>
        <v>0.3</v>
      </c>
      <c r="J849" s="96">
        <f t="shared" si="118"/>
        <v>0.7</v>
      </c>
      <c r="K849" s="92">
        <f>VLOOKUP(H849,'Taux émission CO2e'!$A$5:$D$16,4,FALSE)</f>
        <v>0.16</v>
      </c>
      <c r="L849" s="93">
        <f t="shared" si="123"/>
        <v>0.71850163200000006</v>
      </c>
      <c r="M849" s="92">
        <f>VLOOKUP(H849,'Taux émission CO2e'!$A$20:$D$31,4,FALSE)</f>
        <v>6.7400000000000002E-2</v>
      </c>
      <c r="N849" s="105">
        <f t="shared" si="124"/>
        <v>0.70622722912000002</v>
      </c>
      <c r="O849" s="93">
        <f t="shared" si="125"/>
        <v>1.4247288611200002</v>
      </c>
      <c r="P849" s="92">
        <v>100</v>
      </c>
      <c r="Q849" s="92" t="s">
        <v>58</v>
      </c>
      <c r="R849" s="92" t="s">
        <v>146</v>
      </c>
      <c r="S849" s="20">
        <v>51.088000000000001</v>
      </c>
    </row>
    <row r="850" spans="1:19" x14ac:dyDescent="0.15">
      <c r="A850" s="90">
        <v>44687</v>
      </c>
      <c r="B850" s="90" t="str">
        <f t="shared" si="119"/>
        <v>mai</v>
      </c>
      <c r="C850" s="90" t="str">
        <f t="shared" si="120"/>
        <v>2022</v>
      </c>
      <c r="D850" s="90" t="str">
        <f t="shared" si="121"/>
        <v>mai2022</v>
      </c>
      <c r="E850" s="91" t="s">
        <v>808</v>
      </c>
      <c r="F850" s="91">
        <v>150</v>
      </c>
      <c r="G850" s="94">
        <f t="shared" si="122"/>
        <v>0.15</v>
      </c>
      <c r="H850" s="92" t="s">
        <v>46</v>
      </c>
      <c r="I850" s="96">
        <f t="shared" si="117"/>
        <v>0.3</v>
      </c>
      <c r="J850" s="96">
        <f t="shared" si="118"/>
        <v>0.7</v>
      </c>
      <c r="K850" s="92">
        <f>VLOOKUP(H850,'Taux émission CO2e'!$A$5:$D$16,4,FALSE)</f>
        <v>0.16</v>
      </c>
      <c r="L850" s="93">
        <f t="shared" si="123"/>
        <v>0.91074959999999994</v>
      </c>
      <c r="M850" s="92">
        <f>VLOOKUP(H850,'Taux émission CO2e'!$A$20:$D$31,4,FALSE)</f>
        <v>6.7400000000000002E-2</v>
      </c>
      <c r="N850" s="105">
        <f t="shared" si="124"/>
        <v>0.89519096099999995</v>
      </c>
      <c r="O850" s="93">
        <f t="shared" si="125"/>
        <v>1.8059405609999999</v>
      </c>
      <c r="P850" s="92">
        <v>110</v>
      </c>
      <c r="Q850" s="92" t="s">
        <v>58</v>
      </c>
      <c r="R850" s="92" t="s">
        <v>809</v>
      </c>
      <c r="S850" s="20">
        <v>126.49299999999999</v>
      </c>
    </row>
    <row r="851" spans="1:19" x14ac:dyDescent="0.15">
      <c r="A851" s="90">
        <v>44687</v>
      </c>
      <c r="B851" s="90" t="str">
        <f t="shared" si="119"/>
        <v>mai</v>
      </c>
      <c r="C851" s="90" t="str">
        <f t="shared" si="120"/>
        <v>2022</v>
      </c>
      <c r="D851" s="90" t="str">
        <f t="shared" si="121"/>
        <v>mai2022</v>
      </c>
      <c r="E851" s="91" t="s">
        <v>810</v>
      </c>
      <c r="F851" s="91">
        <v>106</v>
      </c>
      <c r="G851" s="94">
        <f t="shared" si="122"/>
        <v>0.106</v>
      </c>
      <c r="H851" s="92" t="s">
        <v>46</v>
      </c>
      <c r="I851" s="96">
        <f t="shared" si="117"/>
        <v>0.3</v>
      </c>
      <c r="J851" s="96">
        <f t="shared" si="118"/>
        <v>0.7</v>
      </c>
      <c r="K851" s="92">
        <f>VLOOKUP(H851,'Taux émission CO2e'!$A$5:$D$16,4,FALSE)</f>
        <v>0.16</v>
      </c>
      <c r="L851" s="93">
        <f t="shared" si="123"/>
        <v>1.748358912</v>
      </c>
      <c r="M851" s="92">
        <f>VLOOKUP(H851,'Taux émission CO2e'!$A$20:$D$31,4,FALSE)</f>
        <v>6.7400000000000002E-2</v>
      </c>
      <c r="N851" s="105">
        <f t="shared" si="124"/>
        <v>1.7184911139200001</v>
      </c>
      <c r="O851" s="93">
        <f t="shared" si="125"/>
        <v>3.4668500259200004</v>
      </c>
      <c r="P851" s="92">
        <v>125</v>
      </c>
      <c r="Q851" s="92" t="s">
        <v>58</v>
      </c>
      <c r="R851" s="92" t="s">
        <v>513</v>
      </c>
      <c r="S851" s="20">
        <v>343.62400000000002</v>
      </c>
    </row>
    <row r="852" spans="1:19" x14ac:dyDescent="0.15">
      <c r="A852" s="90">
        <v>44687</v>
      </c>
      <c r="B852" s="90" t="str">
        <f t="shared" si="119"/>
        <v>mai</v>
      </c>
      <c r="C852" s="90" t="str">
        <f t="shared" si="120"/>
        <v>2022</v>
      </c>
      <c r="D852" s="90" t="str">
        <f t="shared" si="121"/>
        <v>mai2022</v>
      </c>
      <c r="E852" s="91" t="s">
        <v>811</v>
      </c>
      <c r="F852" s="91">
        <v>150</v>
      </c>
      <c r="G852" s="94">
        <f t="shared" si="122"/>
        <v>0.15</v>
      </c>
      <c r="H852" s="92" t="s">
        <v>46</v>
      </c>
      <c r="I852" s="96">
        <f t="shared" si="117"/>
        <v>0.3</v>
      </c>
      <c r="J852" s="96">
        <f t="shared" si="118"/>
        <v>0.7</v>
      </c>
      <c r="K852" s="92">
        <f>VLOOKUP(H852,'Taux émission CO2e'!$A$5:$D$16,4,FALSE)</f>
        <v>0.16</v>
      </c>
      <c r="L852" s="93">
        <f t="shared" si="123"/>
        <v>1.8579095999999999</v>
      </c>
      <c r="M852" s="92">
        <f>VLOOKUP(H852,'Taux émission CO2e'!$A$20:$D$31,4,FALSE)</f>
        <v>6.7400000000000002E-2</v>
      </c>
      <c r="N852" s="105">
        <f t="shared" si="124"/>
        <v>1.826170311</v>
      </c>
      <c r="O852" s="93">
        <f t="shared" si="125"/>
        <v>3.684079911</v>
      </c>
      <c r="P852" s="92">
        <v>131</v>
      </c>
      <c r="Q852" s="92" t="s">
        <v>102</v>
      </c>
      <c r="R852" s="92" t="s">
        <v>55</v>
      </c>
      <c r="S852" s="20">
        <v>258.04300000000001</v>
      </c>
    </row>
    <row r="853" spans="1:19" x14ac:dyDescent="0.15">
      <c r="A853" s="90">
        <v>44687</v>
      </c>
      <c r="B853" s="90" t="str">
        <f t="shared" si="119"/>
        <v>mai</v>
      </c>
      <c r="C853" s="90" t="str">
        <f t="shared" si="120"/>
        <v>2022</v>
      </c>
      <c r="D853" s="90" t="str">
        <f t="shared" si="121"/>
        <v>mai2022</v>
      </c>
      <c r="E853" s="91" t="s">
        <v>812</v>
      </c>
      <c r="F853" s="91">
        <v>150</v>
      </c>
      <c r="G853" s="94">
        <f t="shared" si="122"/>
        <v>0.15</v>
      </c>
      <c r="H853" s="92" t="s">
        <v>46</v>
      </c>
      <c r="I853" s="96">
        <f t="shared" si="117"/>
        <v>0.3</v>
      </c>
      <c r="J853" s="96">
        <f t="shared" si="118"/>
        <v>0.7</v>
      </c>
      <c r="K853" s="92">
        <f>VLOOKUP(H853,'Taux émission CO2e'!$A$5:$D$16,4,FALSE)</f>
        <v>0.16</v>
      </c>
      <c r="L853" s="93">
        <f t="shared" si="123"/>
        <v>1.2471839999999998</v>
      </c>
      <c r="M853" s="92">
        <f>VLOOKUP(H853,'Taux émission CO2e'!$A$20:$D$31,4,FALSE)</f>
        <v>6.7400000000000002E-2</v>
      </c>
      <c r="N853" s="105">
        <f t="shared" si="124"/>
        <v>1.2258779399999999</v>
      </c>
      <c r="O853" s="93">
        <f t="shared" si="125"/>
        <v>2.47306194</v>
      </c>
      <c r="P853" s="92">
        <v>140</v>
      </c>
      <c r="Q853" s="92" t="s">
        <v>708</v>
      </c>
      <c r="R853" s="92" t="s">
        <v>55</v>
      </c>
      <c r="S853" s="20">
        <v>173.22</v>
      </c>
    </row>
    <row r="854" spans="1:19" x14ac:dyDescent="0.15">
      <c r="A854" s="90">
        <v>44687</v>
      </c>
      <c r="B854" s="90" t="str">
        <f t="shared" si="119"/>
        <v>mai</v>
      </c>
      <c r="C854" s="90" t="str">
        <f t="shared" si="120"/>
        <v>2022</v>
      </c>
      <c r="D854" s="90" t="str">
        <f t="shared" si="121"/>
        <v>mai2022</v>
      </c>
      <c r="E854" s="91" t="s">
        <v>813</v>
      </c>
      <c r="F854" s="91">
        <v>60</v>
      </c>
      <c r="G854" s="94">
        <f t="shared" si="122"/>
        <v>0.06</v>
      </c>
      <c r="H854" s="92" t="s">
        <v>46</v>
      </c>
      <c r="I854" s="96">
        <f t="shared" si="117"/>
        <v>0.3</v>
      </c>
      <c r="J854" s="96">
        <f t="shared" si="118"/>
        <v>0.7</v>
      </c>
      <c r="K854" s="92">
        <f>VLOOKUP(H854,'Taux émission CO2e'!$A$5:$D$16,4,FALSE)</f>
        <v>0.16</v>
      </c>
      <c r="L854" s="93">
        <f t="shared" si="123"/>
        <v>1.5585983999999997</v>
      </c>
      <c r="M854" s="92">
        <f>VLOOKUP(H854,'Taux émission CO2e'!$A$20:$D$31,4,FALSE)</f>
        <v>6.7400000000000002E-2</v>
      </c>
      <c r="N854" s="105">
        <f t="shared" si="124"/>
        <v>1.5319723439999999</v>
      </c>
      <c r="O854" s="93">
        <f t="shared" si="125"/>
        <v>3.0905707439999999</v>
      </c>
      <c r="P854" s="92">
        <v>165</v>
      </c>
      <c r="Q854" s="92" t="s">
        <v>58</v>
      </c>
      <c r="R854" s="92" t="s">
        <v>65</v>
      </c>
      <c r="S854" s="20">
        <v>541.17999999999995</v>
      </c>
    </row>
    <row r="855" spans="1:19" x14ac:dyDescent="0.15">
      <c r="A855" s="90">
        <v>44687</v>
      </c>
      <c r="B855" s="90" t="str">
        <f t="shared" si="119"/>
        <v>mai</v>
      </c>
      <c r="C855" s="90" t="str">
        <f t="shared" si="120"/>
        <v>2022</v>
      </c>
      <c r="D855" s="90" t="str">
        <f t="shared" si="121"/>
        <v>mai2022</v>
      </c>
      <c r="E855" s="91" t="s">
        <v>814</v>
      </c>
      <c r="F855" s="91">
        <v>400</v>
      </c>
      <c r="G855" s="94">
        <f t="shared" si="122"/>
        <v>0.4</v>
      </c>
      <c r="H855" s="92" t="s">
        <v>45</v>
      </c>
      <c r="I855" s="96">
        <f t="shared" si="117"/>
        <v>0.3</v>
      </c>
      <c r="J855" s="96">
        <f t="shared" si="118"/>
        <v>0.7</v>
      </c>
      <c r="K855" s="92">
        <f>VLOOKUP(H855,'Taux émission CO2e'!$A$5:$D$16,4,FALSE)</f>
        <v>0.16</v>
      </c>
      <c r="L855" s="93">
        <f t="shared" si="123"/>
        <v>5.347142400000001</v>
      </c>
      <c r="M855" s="92">
        <f>VLOOKUP(H855,'Taux émission CO2e'!$A$20:$D$31,4,FALSE)</f>
        <v>6.7400000000000002E-2</v>
      </c>
      <c r="N855" s="105">
        <f t="shared" si="124"/>
        <v>5.2557953839999998</v>
      </c>
      <c r="O855" s="93">
        <f t="shared" si="125"/>
        <v>10.602937784000002</v>
      </c>
      <c r="P855" s="92">
        <v>180</v>
      </c>
      <c r="Q855" s="92" t="s">
        <v>90</v>
      </c>
      <c r="R855" s="92" t="s">
        <v>55</v>
      </c>
      <c r="S855" s="20">
        <v>278.49700000000001</v>
      </c>
    </row>
    <row r="856" spans="1:19" x14ac:dyDescent="0.15">
      <c r="A856" s="90">
        <v>44687</v>
      </c>
      <c r="B856" s="90" t="str">
        <f t="shared" si="119"/>
        <v>mai</v>
      </c>
      <c r="C856" s="90" t="str">
        <f t="shared" si="120"/>
        <v>2022</v>
      </c>
      <c r="D856" s="90" t="str">
        <f t="shared" si="121"/>
        <v>mai2022</v>
      </c>
      <c r="E856" s="91" t="s">
        <v>815</v>
      </c>
      <c r="F856" s="91">
        <v>300</v>
      </c>
      <c r="G856" s="94">
        <f t="shared" si="122"/>
        <v>0.3</v>
      </c>
      <c r="H856" s="92" t="s">
        <v>45</v>
      </c>
      <c r="I856" s="96">
        <f t="shared" si="117"/>
        <v>0.3</v>
      </c>
      <c r="J856" s="96">
        <f t="shared" si="118"/>
        <v>0.7</v>
      </c>
      <c r="K856" s="92">
        <f>VLOOKUP(H856,'Taux émission CO2e'!$A$5:$D$16,4,FALSE)</f>
        <v>0.16</v>
      </c>
      <c r="L856" s="93">
        <f t="shared" si="123"/>
        <v>0.67008959999999995</v>
      </c>
      <c r="M856" s="92">
        <f>VLOOKUP(H856,'Taux émission CO2e'!$A$20:$D$31,4,FALSE)</f>
        <v>6.7400000000000002E-2</v>
      </c>
      <c r="N856" s="105">
        <f t="shared" si="124"/>
        <v>0.65864223599999994</v>
      </c>
      <c r="O856" s="93">
        <f t="shared" si="125"/>
        <v>1.3287318359999998</v>
      </c>
      <c r="P856" s="92">
        <v>180</v>
      </c>
      <c r="Q856" s="92" t="s">
        <v>816</v>
      </c>
      <c r="R856" s="92" t="s">
        <v>55</v>
      </c>
      <c r="S856" s="20">
        <v>46.533999999999999</v>
      </c>
    </row>
    <row r="857" spans="1:19" x14ac:dyDescent="0.15">
      <c r="A857" s="90">
        <v>44687</v>
      </c>
      <c r="B857" s="90" t="str">
        <f t="shared" si="119"/>
        <v>mai</v>
      </c>
      <c r="C857" s="90" t="str">
        <f t="shared" si="120"/>
        <v>2022</v>
      </c>
      <c r="D857" s="90" t="str">
        <f t="shared" si="121"/>
        <v>mai2022</v>
      </c>
      <c r="E857" s="91" t="s">
        <v>817</v>
      </c>
      <c r="F857" s="91">
        <v>225</v>
      </c>
      <c r="G857" s="94">
        <f t="shared" si="122"/>
        <v>0.22500000000000001</v>
      </c>
      <c r="H857" s="92" t="s">
        <v>46</v>
      </c>
      <c r="I857" s="96">
        <f t="shared" si="117"/>
        <v>0.3</v>
      </c>
      <c r="J857" s="96">
        <f t="shared" si="118"/>
        <v>0.7</v>
      </c>
      <c r="K857" s="92">
        <f>VLOOKUP(H857,'Taux émission CO2e'!$A$5:$D$16,4,FALSE)</f>
        <v>0.16</v>
      </c>
      <c r="L857" s="93">
        <f t="shared" si="123"/>
        <v>2.7450900000000003</v>
      </c>
      <c r="M857" s="92">
        <f>VLOOKUP(H857,'Taux émission CO2e'!$A$20:$D$31,4,FALSE)</f>
        <v>6.7400000000000002E-2</v>
      </c>
      <c r="N857" s="105">
        <f t="shared" si="124"/>
        <v>2.6981947125000003</v>
      </c>
      <c r="O857" s="93">
        <f t="shared" si="125"/>
        <v>5.4432847125000006</v>
      </c>
      <c r="P857" s="92">
        <v>200</v>
      </c>
      <c r="Q857" s="92" t="s">
        <v>58</v>
      </c>
      <c r="R857" s="92" t="s">
        <v>93</v>
      </c>
      <c r="S857" s="20">
        <v>254.17500000000001</v>
      </c>
    </row>
    <row r="858" spans="1:19" x14ac:dyDescent="0.15">
      <c r="A858" s="90">
        <v>44687</v>
      </c>
      <c r="B858" s="90" t="str">
        <f t="shared" si="119"/>
        <v>mai</v>
      </c>
      <c r="C858" s="90" t="str">
        <f t="shared" si="120"/>
        <v>2022</v>
      </c>
      <c r="D858" s="90" t="str">
        <f t="shared" si="121"/>
        <v>mai2022</v>
      </c>
      <c r="E858" s="91" t="s">
        <v>818</v>
      </c>
      <c r="F858" s="91">
        <v>212</v>
      </c>
      <c r="G858" s="94">
        <f t="shared" si="122"/>
        <v>0.21199999999999999</v>
      </c>
      <c r="H858" s="92" t="s">
        <v>46</v>
      </c>
      <c r="I858" s="96">
        <f t="shared" si="117"/>
        <v>0.3</v>
      </c>
      <c r="J858" s="96">
        <f t="shared" si="118"/>
        <v>0.7</v>
      </c>
      <c r="K858" s="92">
        <f>VLOOKUP(H858,'Taux émission CO2e'!$A$5:$D$16,4,FALSE)</f>
        <v>0.16</v>
      </c>
      <c r="L858" s="93">
        <f t="shared" si="123"/>
        <v>7.2759214080000003</v>
      </c>
      <c r="M858" s="92">
        <f>VLOOKUP(H858,'Taux émission CO2e'!$A$20:$D$31,4,FALSE)</f>
        <v>6.7400000000000002E-2</v>
      </c>
      <c r="N858" s="105">
        <f t="shared" si="124"/>
        <v>7.1516244172799999</v>
      </c>
      <c r="O858" s="93">
        <f t="shared" si="125"/>
        <v>14.427545825279999</v>
      </c>
      <c r="P858" s="92">
        <v>270</v>
      </c>
      <c r="Q858" s="92" t="s">
        <v>58</v>
      </c>
      <c r="R858" s="92" t="s">
        <v>544</v>
      </c>
      <c r="S858" s="20">
        <v>715.00800000000004</v>
      </c>
    </row>
    <row r="859" spans="1:19" x14ac:dyDescent="0.15">
      <c r="A859" s="90">
        <v>44687</v>
      </c>
      <c r="B859" s="90" t="str">
        <f t="shared" si="119"/>
        <v>mai</v>
      </c>
      <c r="C859" s="90" t="str">
        <f t="shared" si="120"/>
        <v>2022</v>
      </c>
      <c r="D859" s="90" t="str">
        <f t="shared" si="121"/>
        <v>mai2022</v>
      </c>
      <c r="E859" s="91" t="s">
        <v>819</v>
      </c>
      <c r="F859" s="91">
        <v>399</v>
      </c>
      <c r="G859" s="94">
        <f t="shared" si="122"/>
        <v>0.39900000000000002</v>
      </c>
      <c r="H859" s="92" t="s">
        <v>46</v>
      </c>
      <c r="I859" s="96">
        <f t="shared" si="117"/>
        <v>0.3</v>
      </c>
      <c r="J859" s="96">
        <f t="shared" si="118"/>
        <v>0.7</v>
      </c>
      <c r="K859" s="92">
        <f>VLOOKUP(H859,'Taux émission CO2e'!$A$5:$D$16,4,FALSE)</f>
        <v>0.16</v>
      </c>
      <c r="L859" s="93">
        <f t="shared" si="123"/>
        <v>10.323196128000001</v>
      </c>
      <c r="M859" s="92">
        <f>VLOOKUP(H859,'Taux émission CO2e'!$A$20:$D$31,4,FALSE)</f>
        <v>6.7400000000000002E-2</v>
      </c>
      <c r="N859" s="105">
        <f t="shared" si="124"/>
        <v>10.146841527480001</v>
      </c>
      <c r="O859" s="93">
        <f t="shared" si="125"/>
        <v>20.470037655480002</v>
      </c>
      <c r="P859" s="92">
        <v>310</v>
      </c>
      <c r="Q859" s="92" t="s">
        <v>58</v>
      </c>
      <c r="R859" s="92" t="s">
        <v>405</v>
      </c>
      <c r="S859" s="20">
        <v>539.01400000000001</v>
      </c>
    </row>
    <row r="860" spans="1:19" x14ac:dyDescent="0.15">
      <c r="A860" s="90">
        <v>44690</v>
      </c>
      <c r="B860" s="90" t="str">
        <f t="shared" si="119"/>
        <v>mai</v>
      </c>
      <c r="C860" s="90" t="str">
        <f t="shared" si="120"/>
        <v>2022</v>
      </c>
      <c r="D860" s="90" t="str">
        <f t="shared" si="121"/>
        <v>mai2022</v>
      </c>
      <c r="E860" s="91" t="s">
        <v>820</v>
      </c>
      <c r="F860" s="91">
        <v>186</v>
      </c>
      <c r="G860" s="94">
        <f t="shared" si="122"/>
        <v>0.186</v>
      </c>
      <c r="H860" s="92" t="s">
        <v>46</v>
      </c>
      <c r="I860" s="96">
        <f t="shared" si="117"/>
        <v>0.3</v>
      </c>
      <c r="J860" s="96">
        <f t="shared" si="118"/>
        <v>0.7</v>
      </c>
      <c r="K860" s="92">
        <f>VLOOKUP(H860,'Taux émission CO2e'!$A$5:$D$16,4,FALSE)</f>
        <v>0.16</v>
      </c>
      <c r="L860" s="93">
        <f t="shared" si="123"/>
        <v>2.3763300479999998</v>
      </c>
      <c r="M860" s="92">
        <f>VLOOKUP(H860,'Taux émission CO2e'!$A$20:$D$31,4,FALSE)</f>
        <v>6.7400000000000002E-2</v>
      </c>
      <c r="N860" s="105">
        <f t="shared" si="124"/>
        <v>2.3357344096800001</v>
      </c>
      <c r="O860" s="93">
        <f t="shared" si="125"/>
        <v>4.7120644576800004</v>
      </c>
      <c r="P860" s="92">
        <v>100</v>
      </c>
      <c r="Q860" s="92" t="s">
        <v>58</v>
      </c>
      <c r="R860" s="92" t="s">
        <v>53</v>
      </c>
      <c r="S860" s="20">
        <v>266.166</v>
      </c>
    </row>
    <row r="861" spans="1:19" x14ac:dyDescent="0.15">
      <c r="A861" s="90">
        <v>44690</v>
      </c>
      <c r="B861" s="90" t="str">
        <f t="shared" si="119"/>
        <v>mai</v>
      </c>
      <c r="C861" s="90" t="str">
        <f t="shared" si="120"/>
        <v>2022</v>
      </c>
      <c r="D861" s="90" t="str">
        <f t="shared" si="121"/>
        <v>mai2022</v>
      </c>
      <c r="E861" s="91" t="s">
        <v>821</v>
      </c>
      <c r="F861" s="91">
        <v>56</v>
      </c>
      <c r="G861" s="94">
        <f t="shared" si="122"/>
        <v>5.6000000000000001E-2</v>
      </c>
      <c r="H861" s="92" t="s">
        <v>46</v>
      </c>
      <c r="I861" s="96">
        <f t="shared" si="117"/>
        <v>0.3</v>
      </c>
      <c r="J861" s="96">
        <f t="shared" si="118"/>
        <v>0.7</v>
      </c>
      <c r="K861" s="92">
        <f>VLOOKUP(H861,'Taux émission CO2e'!$A$5:$D$16,4,FALSE)</f>
        <v>0.16</v>
      </c>
      <c r="L861" s="93">
        <f t="shared" si="123"/>
        <v>2.2509661440000004</v>
      </c>
      <c r="M861" s="92">
        <f>VLOOKUP(H861,'Taux émission CO2e'!$A$20:$D$31,4,FALSE)</f>
        <v>6.7400000000000002E-2</v>
      </c>
      <c r="N861" s="105">
        <f t="shared" si="124"/>
        <v>2.2125121390400002</v>
      </c>
      <c r="O861" s="93">
        <f t="shared" si="125"/>
        <v>4.4634782830400006</v>
      </c>
      <c r="P861" s="92">
        <v>180</v>
      </c>
      <c r="Q861" s="92" t="s">
        <v>58</v>
      </c>
      <c r="R861" s="92" t="s">
        <v>61</v>
      </c>
      <c r="S861" s="20">
        <v>837.41300000000001</v>
      </c>
    </row>
    <row r="862" spans="1:19" x14ac:dyDescent="0.15">
      <c r="A862" s="90">
        <v>44690</v>
      </c>
      <c r="B862" s="90" t="str">
        <f t="shared" si="119"/>
        <v>mai</v>
      </c>
      <c r="C862" s="90" t="str">
        <f t="shared" si="120"/>
        <v>2022</v>
      </c>
      <c r="D862" s="90" t="str">
        <f t="shared" si="121"/>
        <v>mai2022</v>
      </c>
      <c r="E862" s="91" t="s">
        <v>822</v>
      </c>
      <c r="F862" s="91">
        <v>500</v>
      </c>
      <c r="G862" s="94">
        <f t="shared" si="122"/>
        <v>0.5</v>
      </c>
      <c r="H862" s="92" t="s">
        <v>46</v>
      </c>
      <c r="I862" s="96">
        <f t="shared" si="117"/>
        <v>0.3</v>
      </c>
      <c r="J862" s="96">
        <f t="shared" si="118"/>
        <v>0.7</v>
      </c>
      <c r="K862" s="92">
        <f>VLOOKUP(H862,'Taux émission CO2e'!$A$5:$D$16,4,FALSE)</f>
        <v>0.16</v>
      </c>
      <c r="L862" s="93">
        <f t="shared" si="123"/>
        <v>19.146576</v>
      </c>
      <c r="M862" s="92">
        <f>VLOOKUP(H862,'Taux émission CO2e'!$A$20:$D$31,4,FALSE)</f>
        <v>6.7400000000000002E-2</v>
      </c>
      <c r="N862" s="105">
        <f t="shared" si="124"/>
        <v>18.819488660000001</v>
      </c>
      <c r="O862" s="93">
        <f t="shared" si="125"/>
        <v>37.966064660000001</v>
      </c>
      <c r="P862" s="92">
        <v>195</v>
      </c>
      <c r="Q862" s="92" t="s">
        <v>89</v>
      </c>
      <c r="R862" s="92" t="s">
        <v>65</v>
      </c>
      <c r="S862" s="20">
        <v>797.774</v>
      </c>
    </row>
    <row r="863" spans="1:19" x14ac:dyDescent="0.15">
      <c r="A863" s="90">
        <v>44690</v>
      </c>
      <c r="B863" s="90" t="str">
        <f t="shared" si="119"/>
        <v>mai</v>
      </c>
      <c r="C863" s="90" t="str">
        <f t="shared" si="120"/>
        <v>2022</v>
      </c>
      <c r="D863" s="90" t="str">
        <f t="shared" si="121"/>
        <v>mai2022</v>
      </c>
      <c r="E863" s="91" t="s">
        <v>823</v>
      </c>
      <c r="F863" s="91">
        <v>225</v>
      </c>
      <c r="G863" s="94">
        <f t="shared" si="122"/>
        <v>0.22500000000000001</v>
      </c>
      <c r="H863" s="92" t="s">
        <v>46</v>
      </c>
      <c r="I863" s="96">
        <f t="shared" si="117"/>
        <v>0.3</v>
      </c>
      <c r="J863" s="96">
        <f t="shared" si="118"/>
        <v>0.7</v>
      </c>
      <c r="K863" s="92">
        <f>VLOOKUP(H863,'Taux émission CO2e'!$A$5:$D$16,4,FALSE)</f>
        <v>0.16</v>
      </c>
      <c r="L863" s="93">
        <f t="shared" si="123"/>
        <v>2.7746388</v>
      </c>
      <c r="M863" s="92">
        <f>VLOOKUP(H863,'Taux émission CO2e'!$A$20:$D$31,4,FALSE)</f>
        <v>6.7400000000000002E-2</v>
      </c>
      <c r="N863" s="105">
        <f t="shared" si="124"/>
        <v>2.7272387204999999</v>
      </c>
      <c r="O863" s="93">
        <f t="shared" si="125"/>
        <v>5.5018775204999999</v>
      </c>
      <c r="P863" s="92">
        <v>200</v>
      </c>
      <c r="Q863" s="92" t="s">
        <v>58</v>
      </c>
      <c r="R863" s="92" t="s">
        <v>60</v>
      </c>
      <c r="S863" s="20">
        <v>256.911</v>
      </c>
    </row>
    <row r="864" spans="1:19" x14ac:dyDescent="0.15">
      <c r="A864" s="90">
        <v>44690</v>
      </c>
      <c r="B864" s="90" t="str">
        <f t="shared" si="119"/>
        <v>mai</v>
      </c>
      <c r="C864" s="90" t="str">
        <f t="shared" si="120"/>
        <v>2022</v>
      </c>
      <c r="D864" s="90" t="str">
        <f t="shared" si="121"/>
        <v>mai2022</v>
      </c>
      <c r="E864" s="91" t="s">
        <v>824</v>
      </c>
      <c r="F864" s="91">
        <v>128</v>
      </c>
      <c r="G864" s="94">
        <f t="shared" si="122"/>
        <v>0.128</v>
      </c>
      <c r="H864" s="92" t="s">
        <v>46</v>
      </c>
      <c r="I864" s="96">
        <f t="shared" si="117"/>
        <v>0.3</v>
      </c>
      <c r="J864" s="96">
        <f t="shared" si="118"/>
        <v>0.7</v>
      </c>
      <c r="K864" s="92">
        <f>VLOOKUP(H864,'Taux émission CO2e'!$A$5:$D$16,4,FALSE)</f>
        <v>0.16</v>
      </c>
      <c r="L864" s="93">
        <f t="shared" si="123"/>
        <v>1.7246085119999999</v>
      </c>
      <c r="M864" s="92">
        <f>VLOOKUP(H864,'Taux émission CO2e'!$A$20:$D$31,4,FALSE)</f>
        <v>6.7400000000000002E-2</v>
      </c>
      <c r="N864" s="105">
        <f t="shared" si="124"/>
        <v>1.6951464499199997</v>
      </c>
      <c r="O864" s="93">
        <f t="shared" si="125"/>
        <v>3.4197549619199998</v>
      </c>
      <c r="P864" s="92">
        <v>234</v>
      </c>
      <c r="Q864" s="92" t="s">
        <v>58</v>
      </c>
      <c r="R864" s="92" t="s">
        <v>80</v>
      </c>
      <c r="S864" s="20">
        <v>280.69799999999998</v>
      </c>
    </row>
    <row r="865" spans="1:19" x14ac:dyDescent="0.15">
      <c r="A865" s="90">
        <v>44690</v>
      </c>
      <c r="B865" s="90" t="str">
        <f t="shared" si="119"/>
        <v>mai</v>
      </c>
      <c r="C865" s="90" t="str">
        <f t="shared" si="120"/>
        <v>2022</v>
      </c>
      <c r="D865" s="90" t="str">
        <f t="shared" si="121"/>
        <v>mai2022</v>
      </c>
      <c r="E865" s="91" t="s">
        <v>825</v>
      </c>
      <c r="F865" s="91">
        <v>450</v>
      </c>
      <c r="G865" s="94">
        <f t="shared" si="122"/>
        <v>0.45</v>
      </c>
      <c r="H865" s="92" t="s">
        <v>45</v>
      </c>
      <c r="I865" s="96">
        <f t="shared" si="117"/>
        <v>0.3</v>
      </c>
      <c r="J865" s="96">
        <f t="shared" si="118"/>
        <v>0.7</v>
      </c>
      <c r="K865" s="92">
        <f>VLOOKUP(H865,'Taux émission CO2e'!$A$5:$D$16,4,FALSE)</f>
        <v>0.16</v>
      </c>
      <c r="L865" s="93">
        <f t="shared" si="123"/>
        <v>11.155838400000002</v>
      </c>
      <c r="M865" s="92">
        <f>VLOOKUP(H865,'Taux émission CO2e'!$A$20:$D$31,4,FALSE)</f>
        <v>6.7400000000000002E-2</v>
      </c>
      <c r="N865" s="105">
        <f t="shared" si="124"/>
        <v>10.965259494000001</v>
      </c>
      <c r="O865" s="93">
        <f t="shared" si="125"/>
        <v>22.121097894000002</v>
      </c>
      <c r="P865" s="92">
        <v>260</v>
      </c>
      <c r="Q865" s="92" t="s">
        <v>52</v>
      </c>
      <c r="R865" s="92" t="s">
        <v>55</v>
      </c>
      <c r="S865" s="20">
        <v>516.47400000000005</v>
      </c>
    </row>
    <row r="866" spans="1:19" x14ac:dyDescent="0.15">
      <c r="A866" s="90">
        <v>44690</v>
      </c>
      <c r="B866" s="90" t="str">
        <f t="shared" si="119"/>
        <v>mai</v>
      </c>
      <c r="C866" s="90" t="str">
        <f t="shared" si="120"/>
        <v>2022</v>
      </c>
      <c r="D866" s="90" t="str">
        <f t="shared" si="121"/>
        <v>mai2022</v>
      </c>
      <c r="E866" s="91" t="s">
        <v>826</v>
      </c>
      <c r="F866" s="91">
        <v>1349</v>
      </c>
      <c r="G866" s="94">
        <f t="shared" si="122"/>
        <v>1.349</v>
      </c>
      <c r="H866" s="92" t="s">
        <v>45</v>
      </c>
      <c r="I866" s="96">
        <f t="shared" si="117"/>
        <v>0.3</v>
      </c>
      <c r="J866" s="96">
        <f t="shared" si="118"/>
        <v>0.7</v>
      </c>
      <c r="K866" s="92">
        <f>VLOOKUP(H866,'Taux émission CO2e'!$A$5:$D$16,4,FALSE)</f>
        <v>0.16</v>
      </c>
      <c r="L866" s="93">
        <f t="shared" si="123"/>
        <v>3.0191915040000001</v>
      </c>
      <c r="M866" s="92">
        <f>VLOOKUP(H866,'Taux émission CO2e'!$A$20:$D$31,4,FALSE)</f>
        <v>6.7400000000000002E-2</v>
      </c>
      <c r="N866" s="105">
        <f t="shared" si="124"/>
        <v>2.9676136491399996</v>
      </c>
      <c r="O866" s="93">
        <f t="shared" si="125"/>
        <v>5.9868051531399997</v>
      </c>
      <c r="P866" s="92">
        <v>260</v>
      </c>
      <c r="Q866" s="92" t="s">
        <v>58</v>
      </c>
      <c r="R866" s="92" t="s">
        <v>421</v>
      </c>
      <c r="S866" s="20">
        <v>46.627000000000002</v>
      </c>
    </row>
    <row r="867" spans="1:19" x14ac:dyDescent="0.15">
      <c r="A867" s="90">
        <v>44690</v>
      </c>
      <c r="B867" s="90" t="str">
        <f t="shared" si="119"/>
        <v>mai</v>
      </c>
      <c r="C867" s="90" t="str">
        <f t="shared" si="120"/>
        <v>2022</v>
      </c>
      <c r="D867" s="90" t="str">
        <f t="shared" si="121"/>
        <v>mai2022</v>
      </c>
      <c r="E867" s="91" t="s">
        <v>827</v>
      </c>
      <c r="F867" s="91">
        <v>318</v>
      </c>
      <c r="G867" s="94">
        <f t="shared" si="122"/>
        <v>0.318</v>
      </c>
      <c r="H867" s="92" t="s">
        <v>46</v>
      </c>
      <c r="I867" s="96">
        <f t="shared" si="117"/>
        <v>0.3</v>
      </c>
      <c r="J867" s="96">
        <f t="shared" si="118"/>
        <v>0.7</v>
      </c>
      <c r="K867" s="92">
        <f>VLOOKUP(H867,'Taux émission CO2e'!$A$5:$D$16,4,FALSE)</f>
        <v>0.16</v>
      </c>
      <c r="L867" s="93">
        <f t="shared" si="123"/>
        <v>2.6520589440000002</v>
      </c>
      <c r="M867" s="92">
        <f>VLOOKUP(H867,'Taux émission CO2e'!$A$20:$D$31,4,FALSE)</f>
        <v>6.7400000000000002E-2</v>
      </c>
      <c r="N867" s="105">
        <f t="shared" si="124"/>
        <v>2.60675293704</v>
      </c>
      <c r="O867" s="93">
        <f t="shared" si="125"/>
        <v>5.2588118810399997</v>
      </c>
      <c r="P867" s="92">
        <v>270</v>
      </c>
      <c r="Q867" s="92" t="s">
        <v>58</v>
      </c>
      <c r="R867" s="92" t="s">
        <v>485</v>
      </c>
      <c r="S867" s="20">
        <v>173.74600000000001</v>
      </c>
    </row>
    <row r="868" spans="1:19" x14ac:dyDescent="0.15">
      <c r="A868" s="90">
        <v>44690</v>
      </c>
      <c r="B868" s="90" t="str">
        <f t="shared" si="119"/>
        <v>mai</v>
      </c>
      <c r="C868" s="90" t="str">
        <f t="shared" si="120"/>
        <v>2022</v>
      </c>
      <c r="D868" s="90" t="str">
        <f t="shared" si="121"/>
        <v>mai2022</v>
      </c>
      <c r="E868" s="91" t="s">
        <v>828</v>
      </c>
      <c r="F868" s="91">
        <v>450</v>
      </c>
      <c r="G868" s="94">
        <f t="shared" si="122"/>
        <v>0.45</v>
      </c>
      <c r="H868" s="92" t="s">
        <v>46</v>
      </c>
      <c r="I868" s="96">
        <f t="shared" si="117"/>
        <v>0.3</v>
      </c>
      <c r="J868" s="96">
        <f t="shared" si="118"/>
        <v>0.7</v>
      </c>
      <c r="K868" s="92">
        <f>VLOOKUP(H868,'Taux émission CO2e'!$A$5:$D$16,4,FALSE)</f>
        <v>0.16</v>
      </c>
      <c r="L868" s="93">
        <f t="shared" si="123"/>
        <v>9.9037512000000003</v>
      </c>
      <c r="M868" s="92">
        <f>VLOOKUP(H868,'Taux émission CO2e'!$A$20:$D$31,4,FALSE)</f>
        <v>6.7400000000000002E-2</v>
      </c>
      <c r="N868" s="105">
        <f t="shared" si="124"/>
        <v>9.7345621169999994</v>
      </c>
      <c r="O868" s="93">
        <f t="shared" si="125"/>
        <v>19.638313316999998</v>
      </c>
      <c r="P868" s="92">
        <v>280</v>
      </c>
      <c r="Q868" s="92" t="s">
        <v>58</v>
      </c>
      <c r="R868" s="92" t="s">
        <v>427</v>
      </c>
      <c r="S868" s="20">
        <v>458.50700000000001</v>
      </c>
    </row>
    <row r="869" spans="1:19" x14ac:dyDescent="0.15">
      <c r="A869" s="90">
        <v>44691</v>
      </c>
      <c r="B869" s="90" t="str">
        <f t="shared" si="119"/>
        <v>mai</v>
      </c>
      <c r="C869" s="90" t="str">
        <f t="shared" si="120"/>
        <v>2022</v>
      </c>
      <c r="D869" s="90" t="str">
        <f t="shared" si="121"/>
        <v>mai2022</v>
      </c>
      <c r="E869" s="91" t="s">
        <v>829</v>
      </c>
      <c r="F869" s="91">
        <v>300</v>
      </c>
      <c r="G869" s="94">
        <f t="shared" si="122"/>
        <v>0.3</v>
      </c>
      <c r="H869" s="92" t="s">
        <v>38</v>
      </c>
      <c r="I869" s="96">
        <f t="shared" si="117"/>
        <v>1</v>
      </c>
      <c r="J869" s="96">
        <f t="shared" si="118"/>
        <v>0</v>
      </c>
      <c r="K869" s="92">
        <f>VLOOKUP(H869,'Taux émission CO2e'!$A$5:$D$16,4,FALSE)</f>
        <v>0.24099999999999999</v>
      </c>
      <c r="L869" s="93">
        <f t="shared" si="123"/>
        <v>2.4575492999999997</v>
      </c>
      <c r="M869" s="92">
        <f>VLOOKUP(H869,'Taux émission CO2e'!$A$20:$D$31,4,FALSE)</f>
        <v>0</v>
      </c>
      <c r="N869" s="105">
        <f t="shared" si="124"/>
        <v>0</v>
      </c>
      <c r="O869" s="93">
        <f t="shared" si="125"/>
        <v>2.4575492999999997</v>
      </c>
      <c r="P869" s="92">
        <v>100</v>
      </c>
      <c r="Q869" s="92" t="s">
        <v>67</v>
      </c>
      <c r="R869" s="92" t="s">
        <v>55</v>
      </c>
      <c r="S869" s="20">
        <v>33.991</v>
      </c>
    </row>
    <row r="870" spans="1:19" x14ac:dyDescent="0.15">
      <c r="A870" s="90">
        <v>44691</v>
      </c>
      <c r="B870" s="90" t="str">
        <f t="shared" si="119"/>
        <v>mai</v>
      </c>
      <c r="C870" s="90" t="str">
        <f t="shared" si="120"/>
        <v>2022</v>
      </c>
      <c r="D870" s="90" t="str">
        <f t="shared" si="121"/>
        <v>mai2022</v>
      </c>
      <c r="E870" s="91" t="s">
        <v>830</v>
      </c>
      <c r="F870" s="91">
        <v>106</v>
      </c>
      <c r="G870" s="94">
        <f t="shared" si="122"/>
        <v>0.106</v>
      </c>
      <c r="H870" s="92" t="s">
        <v>46</v>
      </c>
      <c r="I870" s="96">
        <f t="shared" si="117"/>
        <v>0.3</v>
      </c>
      <c r="J870" s="96">
        <f t="shared" si="118"/>
        <v>0.7</v>
      </c>
      <c r="K870" s="92">
        <f>VLOOKUP(H870,'Taux émission CO2e'!$A$5:$D$16,4,FALSE)</f>
        <v>0.16</v>
      </c>
      <c r="L870" s="93">
        <f t="shared" si="123"/>
        <v>2.1048445439999997</v>
      </c>
      <c r="M870" s="92">
        <f>VLOOKUP(H870,'Taux émission CO2e'!$A$20:$D$31,4,FALSE)</f>
        <v>6.7400000000000002E-2</v>
      </c>
      <c r="N870" s="105">
        <f t="shared" si="124"/>
        <v>2.06888678304</v>
      </c>
      <c r="O870" s="93">
        <f t="shared" si="125"/>
        <v>4.1737313270399996</v>
      </c>
      <c r="P870" s="92">
        <v>126.6</v>
      </c>
      <c r="Q870" s="92" t="s">
        <v>58</v>
      </c>
      <c r="R870" s="92" t="s">
        <v>81</v>
      </c>
      <c r="S870" s="20">
        <v>413.68799999999999</v>
      </c>
    </row>
    <row r="871" spans="1:19" x14ac:dyDescent="0.15">
      <c r="A871" s="90">
        <v>44691</v>
      </c>
      <c r="B871" s="90" t="str">
        <f t="shared" si="119"/>
        <v>mai</v>
      </c>
      <c r="C871" s="90" t="str">
        <f t="shared" si="120"/>
        <v>2022</v>
      </c>
      <c r="D871" s="90" t="str">
        <f t="shared" si="121"/>
        <v>mai2022</v>
      </c>
      <c r="E871" s="91" t="s">
        <v>831</v>
      </c>
      <c r="F871" s="91">
        <v>106</v>
      </c>
      <c r="G871" s="94">
        <f t="shared" si="122"/>
        <v>0.106</v>
      </c>
      <c r="H871" s="92" t="s">
        <v>46</v>
      </c>
      <c r="I871" s="96">
        <f t="shared" si="117"/>
        <v>0.3</v>
      </c>
      <c r="J871" s="96">
        <f t="shared" si="118"/>
        <v>0.7</v>
      </c>
      <c r="K871" s="92">
        <f>VLOOKUP(H871,'Taux émission CO2e'!$A$5:$D$16,4,FALSE)</f>
        <v>0.16</v>
      </c>
      <c r="L871" s="93">
        <f t="shared" si="123"/>
        <v>1.9357550399999999</v>
      </c>
      <c r="M871" s="92">
        <f>VLOOKUP(H871,'Taux émission CO2e'!$A$20:$D$31,4,FALSE)</f>
        <v>6.7400000000000002E-2</v>
      </c>
      <c r="N871" s="105">
        <f t="shared" si="124"/>
        <v>1.9026858913999998</v>
      </c>
      <c r="O871" s="93">
        <f t="shared" si="125"/>
        <v>3.8384409313999996</v>
      </c>
      <c r="P871" s="92">
        <v>130</v>
      </c>
      <c r="Q871" s="92" t="s">
        <v>58</v>
      </c>
      <c r="R871" s="92" t="s">
        <v>83</v>
      </c>
      <c r="S871" s="20">
        <v>380.45499999999998</v>
      </c>
    </row>
    <row r="872" spans="1:19" x14ac:dyDescent="0.15">
      <c r="A872" s="90">
        <v>44691</v>
      </c>
      <c r="B872" s="90" t="str">
        <f t="shared" si="119"/>
        <v>mai</v>
      </c>
      <c r="C872" s="90" t="str">
        <f t="shared" si="120"/>
        <v>2022</v>
      </c>
      <c r="D872" s="90" t="str">
        <f t="shared" si="121"/>
        <v>mai2022</v>
      </c>
      <c r="E872" s="91" t="s">
        <v>832</v>
      </c>
      <c r="F872" s="91">
        <v>750</v>
      </c>
      <c r="G872" s="94">
        <f t="shared" si="122"/>
        <v>0.75</v>
      </c>
      <c r="H872" s="92" t="s">
        <v>45</v>
      </c>
      <c r="I872" s="96">
        <f t="shared" si="117"/>
        <v>0.3</v>
      </c>
      <c r="J872" s="96">
        <f t="shared" si="118"/>
        <v>0.7</v>
      </c>
      <c r="K872" s="92">
        <f>VLOOKUP(H872,'Taux émission CO2e'!$A$5:$D$16,4,FALSE)</f>
        <v>0.16</v>
      </c>
      <c r="L872" s="93">
        <f t="shared" si="123"/>
        <v>1.8809640000000003</v>
      </c>
      <c r="M872" s="92">
        <f>VLOOKUP(H872,'Taux émission CO2e'!$A$20:$D$31,4,FALSE)</f>
        <v>6.7400000000000002E-2</v>
      </c>
      <c r="N872" s="105">
        <f t="shared" si="124"/>
        <v>1.848830865</v>
      </c>
      <c r="O872" s="93">
        <f t="shared" si="125"/>
        <v>3.7297948650000006</v>
      </c>
      <c r="P872" s="92">
        <v>150</v>
      </c>
      <c r="Q872" s="92" t="s">
        <v>153</v>
      </c>
      <c r="R872" s="92" t="s">
        <v>55</v>
      </c>
      <c r="S872" s="20">
        <v>52.249000000000002</v>
      </c>
    </row>
    <row r="873" spans="1:19" x14ac:dyDescent="0.15">
      <c r="A873" s="90">
        <v>44691</v>
      </c>
      <c r="B873" s="90" t="str">
        <f t="shared" si="119"/>
        <v>mai</v>
      </c>
      <c r="C873" s="90" t="str">
        <f t="shared" si="120"/>
        <v>2022</v>
      </c>
      <c r="D873" s="90" t="str">
        <f t="shared" si="121"/>
        <v>mai2022</v>
      </c>
      <c r="E873" s="91" t="s">
        <v>833</v>
      </c>
      <c r="F873" s="91">
        <v>106</v>
      </c>
      <c r="G873" s="94">
        <f t="shared" si="122"/>
        <v>0.106</v>
      </c>
      <c r="H873" s="92" t="s">
        <v>46</v>
      </c>
      <c r="I873" s="96">
        <f t="shared" si="117"/>
        <v>0.3</v>
      </c>
      <c r="J873" s="96">
        <f t="shared" si="118"/>
        <v>0.7</v>
      </c>
      <c r="K873" s="92">
        <f>VLOOKUP(H873,'Taux émission CO2e'!$A$5:$D$16,4,FALSE)</f>
        <v>0.16</v>
      </c>
      <c r="L873" s="93">
        <f t="shared" si="123"/>
        <v>2.9274113279999998</v>
      </c>
      <c r="M873" s="92">
        <f>VLOOKUP(H873,'Taux émission CO2e'!$A$20:$D$31,4,FALSE)</f>
        <v>6.7400000000000002E-2</v>
      </c>
      <c r="N873" s="105">
        <f t="shared" si="124"/>
        <v>2.8774013844799997</v>
      </c>
      <c r="O873" s="93">
        <f t="shared" si="125"/>
        <v>5.8048127124799995</v>
      </c>
      <c r="P873" s="92">
        <v>155</v>
      </c>
      <c r="Q873" s="92" t="s">
        <v>58</v>
      </c>
      <c r="R873" s="92" t="s">
        <v>495</v>
      </c>
      <c r="S873" s="20">
        <v>575.35599999999999</v>
      </c>
    </row>
    <row r="874" spans="1:19" x14ac:dyDescent="0.15">
      <c r="A874" s="90">
        <v>44691</v>
      </c>
      <c r="B874" s="90" t="str">
        <f t="shared" si="119"/>
        <v>mai</v>
      </c>
      <c r="C874" s="90" t="str">
        <f t="shared" si="120"/>
        <v>2022</v>
      </c>
      <c r="D874" s="90" t="str">
        <f t="shared" si="121"/>
        <v>mai2022</v>
      </c>
      <c r="E874" s="91" t="s">
        <v>834</v>
      </c>
      <c r="F874" s="91">
        <v>225</v>
      </c>
      <c r="G874" s="94">
        <f t="shared" si="122"/>
        <v>0.22500000000000001</v>
      </c>
      <c r="H874" s="92" t="s">
        <v>46</v>
      </c>
      <c r="I874" s="96">
        <f t="shared" si="117"/>
        <v>0.3</v>
      </c>
      <c r="J874" s="96">
        <f t="shared" si="118"/>
        <v>0.7</v>
      </c>
      <c r="K874" s="92">
        <f>VLOOKUP(H874,'Taux émission CO2e'!$A$5:$D$16,4,FALSE)</f>
        <v>0.16</v>
      </c>
      <c r="L874" s="93">
        <f t="shared" si="123"/>
        <v>3.4211916000000002</v>
      </c>
      <c r="M874" s="92">
        <f>VLOOKUP(H874,'Taux émission CO2e'!$A$20:$D$31,4,FALSE)</f>
        <v>6.7400000000000002E-2</v>
      </c>
      <c r="N874" s="105">
        <f t="shared" si="124"/>
        <v>3.3627462434999997</v>
      </c>
      <c r="O874" s="93">
        <f t="shared" si="125"/>
        <v>6.7839378435000004</v>
      </c>
      <c r="P874" s="92">
        <v>210</v>
      </c>
      <c r="Q874" s="92" t="s">
        <v>58</v>
      </c>
      <c r="R874" s="92" t="s">
        <v>632</v>
      </c>
      <c r="S874" s="20">
        <v>316.77699999999999</v>
      </c>
    </row>
    <row r="875" spans="1:19" x14ac:dyDescent="0.15">
      <c r="A875" s="90">
        <v>44692</v>
      </c>
      <c r="B875" s="90" t="str">
        <f t="shared" si="119"/>
        <v>mai</v>
      </c>
      <c r="C875" s="90" t="str">
        <f t="shared" si="120"/>
        <v>2022</v>
      </c>
      <c r="D875" s="90" t="str">
        <f t="shared" si="121"/>
        <v>mai2022</v>
      </c>
      <c r="E875" s="91" t="s">
        <v>835</v>
      </c>
      <c r="F875" s="91">
        <v>56</v>
      </c>
      <c r="G875" s="94">
        <f t="shared" si="122"/>
        <v>5.6000000000000001E-2</v>
      </c>
      <c r="H875" s="92" t="s">
        <v>46</v>
      </c>
      <c r="I875" s="96">
        <f t="shared" si="117"/>
        <v>0.3</v>
      </c>
      <c r="J875" s="96">
        <f t="shared" si="118"/>
        <v>0.7</v>
      </c>
      <c r="K875" s="92">
        <f>VLOOKUP(H875,'Taux émission CO2e'!$A$5:$D$16,4,FALSE)</f>
        <v>0.16</v>
      </c>
      <c r="L875" s="93">
        <f t="shared" si="123"/>
        <v>1.5639375360000001</v>
      </c>
      <c r="M875" s="92">
        <f>VLOOKUP(H875,'Taux émission CO2e'!$A$20:$D$31,4,FALSE)</f>
        <v>6.7400000000000002E-2</v>
      </c>
      <c r="N875" s="105">
        <f t="shared" si="124"/>
        <v>1.5372202697600001</v>
      </c>
      <c r="O875" s="93">
        <f t="shared" si="125"/>
        <v>3.1011578057600002</v>
      </c>
      <c r="P875" s="92">
        <v>155</v>
      </c>
      <c r="Q875" s="92" t="s">
        <v>58</v>
      </c>
      <c r="R875" s="92" t="s">
        <v>371</v>
      </c>
      <c r="S875" s="20">
        <v>581.822</v>
      </c>
    </row>
    <row r="876" spans="1:19" x14ac:dyDescent="0.15">
      <c r="A876" s="90">
        <v>44692</v>
      </c>
      <c r="B876" s="90" t="str">
        <f t="shared" si="119"/>
        <v>mai</v>
      </c>
      <c r="C876" s="90" t="str">
        <f t="shared" si="120"/>
        <v>2022</v>
      </c>
      <c r="D876" s="90" t="str">
        <f t="shared" si="121"/>
        <v>mai2022</v>
      </c>
      <c r="E876" s="91" t="s">
        <v>836</v>
      </c>
      <c r="F876" s="91">
        <v>150</v>
      </c>
      <c r="G876" s="94">
        <f t="shared" si="122"/>
        <v>0.15</v>
      </c>
      <c r="H876" s="92" t="s">
        <v>45</v>
      </c>
      <c r="I876" s="96">
        <f t="shared" si="117"/>
        <v>0.3</v>
      </c>
      <c r="J876" s="96">
        <f t="shared" si="118"/>
        <v>0.7</v>
      </c>
      <c r="K876" s="92">
        <f>VLOOKUP(H876,'Taux émission CO2e'!$A$5:$D$16,4,FALSE)</f>
        <v>0.16</v>
      </c>
      <c r="L876" s="93">
        <f t="shared" si="123"/>
        <v>2.0026439999999996</v>
      </c>
      <c r="M876" s="92">
        <f>VLOOKUP(H876,'Taux émission CO2e'!$A$20:$D$31,4,FALSE)</f>
        <v>6.7400000000000002E-2</v>
      </c>
      <c r="N876" s="105">
        <f t="shared" si="124"/>
        <v>1.9684321649999998</v>
      </c>
      <c r="O876" s="93">
        <f t="shared" si="125"/>
        <v>3.9710761649999995</v>
      </c>
      <c r="P876" s="92">
        <v>158</v>
      </c>
      <c r="Q876" s="92" t="s">
        <v>74</v>
      </c>
      <c r="R876" s="92" t="s">
        <v>55</v>
      </c>
      <c r="S876" s="20">
        <v>278.14499999999998</v>
      </c>
    </row>
    <row r="877" spans="1:19" x14ac:dyDescent="0.15">
      <c r="A877" s="90">
        <v>44692</v>
      </c>
      <c r="B877" s="90" t="str">
        <f t="shared" si="119"/>
        <v>mai</v>
      </c>
      <c r="C877" s="90" t="str">
        <f t="shared" si="120"/>
        <v>2022</v>
      </c>
      <c r="D877" s="90" t="str">
        <f t="shared" si="121"/>
        <v>mai2022</v>
      </c>
      <c r="E877" s="91" t="s">
        <v>837</v>
      </c>
      <c r="F877" s="91">
        <v>300</v>
      </c>
      <c r="G877" s="94">
        <f t="shared" si="122"/>
        <v>0.3</v>
      </c>
      <c r="H877" s="92" t="s">
        <v>46</v>
      </c>
      <c r="I877" s="96">
        <f t="shared" si="117"/>
        <v>0.3</v>
      </c>
      <c r="J877" s="96">
        <f t="shared" si="118"/>
        <v>0.7</v>
      </c>
      <c r="K877" s="92">
        <f>VLOOKUP(H877,'Taux émission CO2e'!$A$5:$D$16,4,FALSE)</f>
        <v>0.16</v>
      </c>
      <c r="L877" s="93">
        <f t="shared" si="123"/>
        <v>5.4804383999999997</v>
      </c>
      <c r="M877" s="92">
        <f>VLOOKUP(H877,'Taux émission CO2e'!$A$20:$D$31,4,FALSE)</f>
        <v>6.7400000000000002E-2</v>
      </c>
      <c r="N877" s="105">
        <f t="shared" si="124"/>
        <v>5.386814244</v>
      </c>
      <c r="O877" s="93">
        <f t="shared" si="125"/>
        <v>10.867252644000001</v>
      </c>
      <c r="P877" s="92">
        <v>200</v>
      </c>
      <c r="Q877" s="92" t="s">
        <v>91</v>
      </c>
      <c r="R877" s="92" t="s">
        <v>55</v>
      </c>
      <c r="S877" s="20">
        <v>380.58600000000001</v>
      </c>
    </row>
    <row r="878" spans="1:19" x14ac:dyDescent="0.15">
      <c r="A878" s="90">
        <v>44692</v>
      </c>
      <c r="B878" s="90" t="str">
        <f t="shared" si="119"/>
        <v>mai</v>
      </c>
      <c r="C878" s="90" t="str">
        <f t="shared" si="120"/>
        <v>2022</v>
      </c>
      <c r="D878" s="90" t="str">
        <f t="shared" si="121"/>
        <v>mai2022</v>
      </c>
      <c r="E878" s="91" t="s">
        <v>838</v>
      </c>
      <c r="F878" s="92">
        <v>1000</v>
      </c>
      <c r="G878" s="94">
        <f t="shared" si="122"/>
        <v>1</v>
      </c>
      <c r="H878" s="92" t="s">
        <v>32</v>
      </c>
      <c r="I878" s="96">
        <f t="shared" si="117"/>
        <v>1</v>
      </c>
      <c r="J878" s="96">
        <f t="shared" si="118"/>
        <v>0</v>
      </c>
      <c r="K878" s="92">
        <f>VLOOKUP(H878,'Taux émission CO2e'!$A$5:$D$16,4,FALSE)</f>
        <v>6.7400000000000002E-2</v>
      </c>
      <c r="L878" s="93">
        <f t="shared" si="123"/>
        <v>3.6908914000000004</v>
      </c>
      <c r="M878" s="92">
        <f>VLOOKUP(H878,'Taux émission CO2e'!$A$20:$D$31,4,FALSE)</f>
        <v>0</v>
      </c>
      <c r="N878" s="105">
        <f t="shared" si="124"/>
        <v>0</v>
      </c>
      <c r="O878" s="93">
        <f t="shared" si="125"/>
        <v>3.6908914000000004</v>
      </c>
      <c r="P878" s="92">
        <v>250</v>
      </c>
      <c r="Q878" s="92" t="s">
        <v>56</v>
      </c>
      <c r="R878" s="92" t="s">
        <v>55</v>
      </c>
      <c r="S878" s="20">
        <v>54.761000000000003</v>
      </c>
    </row>
    <row r="879" spans="1:19" x14ac:dyDescent="0.15">
      <c r="A879" s="90">
        <v>44692</v>
      </c>
      <c r="B879" s="90" t="str">
        <f t="shared" si="119"/>
        <v>mai</v>
      </c>
      <c r="C879" s="90" t="str">
        <f t="shared" si="120"/>
        <v>2022</v>
      </c>
      <c r="D879" s="90" t="str">
        <f t="shared" si="121"/>
        <v>mai2022</v>
      </c>
      <c r="E879" s="91" t="s">
        <v>839</v>
      </c>
      <c r="F879" s="91">
        <v>450</v>
      </c>
      <c r="G879" s="94">
        <f t="shared" si="122"/>
        <v>0.45</v>
      </c>
      <c r="H879" s="92" t="s">
        <v>46</v>
      </c>
      <c r="I879" s="96">
        <f t="shared" si="117"/>
        <v>0.3</v>
      </c>
      <c r="J879" s="96">
        <f t="shared" si="118"/>
        <v>0.7</v>
      </c>
      <c r="K879" s="92">
        <f>VLOOKUP(H879,'Taux émission CO2e'!$A$5:$D$16,4,FALSE)</f>
        <v>0.16</v>
      </c>
      <c r="L879" s="93">
        <f t="shared" si="123"/>
        <v>11.141236800000001</v>
      </c>
      <c r="M879" s="92">
        <f>VLOOKUP(H879,'Taux émission CO2e'!$A$20:$D$31,4,FALSE)</f>
        <v>6.7400000000000002E-2</v>
      </c>
      <c r="N879" s="105">
        <f t="shared" si="124"/>
        <v>10.950907338</v>
      </c>
      <c r="O879" s="93">
        <f t="shared" si="125"/>
        <v>22.092144138000002</v>
      </c>
      <c r="P879" s="92">
        <v>360</v>
      </c>
      <c r="Q879" s="92" t="s">
        <v>58</v>
      </c>
      <c r="R879" s="92" t="s">
        <v>57</v>
      </c>
      <c r="S879" s="20">
        <v>515.798</v>
      </c>
    </row>
    <row r="880" spans="1:19" x14ac:dyDescent="0.15">
      <c r="A880" s="90">
        <v>44693</v>
      </c>
      <c r="B880" s="90" t="str">
        <f t="shared" si="119"/>
        <v>mai</v>
      </c>
      <c r="C880" s="90" t="str">
        <f t="shared" si="120"/>
        <v>2022</v>
      </c>
      <c r="D880" s="90" t="str">
        <f t="shared" si="121"/>
        <v>mai2022</v>
      </c>
      <c r="E880" s="91" t="s">
        <v>840</v>
      </c>
      <c r="F880" s="91">
        <v>300</v>
      </c>
      <c r="G880" s="94">
        <f t="shared" si="122"/>
        <v>0.3</v>
      </c>
      <c r="H880" s="92" t="s">
        <v>38</v>
      </c>
      <c r="I880" s="96">
        <f t="shared" si="117"/>
        <v>1</v>
      </c>
      <c r="J880" s="96">
        <f t="shared" si="118"/>
        <v>0</v>
      </c>
      <c r="K880" s="92">
        <f>VLOOKUP(H880,'Taux émission CO2e'!$A$5:$D$16,4,FALSE)</f>
        <v>0.24099999999999999</v>
      </c>
      <c r="L880" s="93">
        <f t="shared" si="123"/>
        <v>53.509085399999989</v>
      </c>
      <c r="M880" s="92">
        <f>VLOOKUP(H880,'Taux émission CO2e'!$A$20:$D$31,4,FALSE)</f>
        <v>0</v>
      </c>
      <c r="N880" s="105">
        <f t="shared" si="124"/>
        <v>0</v>
      </c>
      <c r="O880" s="93">
        <f t="shared" si="125"/>
        <v>53.509085399999989</v>
      </c>
      <c r="P880" s="92">
        <v>75</v>
      </c>
      <c r="Q880" s="92" t="s">
        <v>473</v>
      </c>
      <c r="R880" s="92" t="s">
        <v>55</v>
      </c>
      <c r="S880" s="20">
        <v>740.09799999999996</v>
      </c>
    </row>
    <row r="881" spans="1:19" x14ac:dyDescent="0.15">
      <c r="A881" s="90">
        <v>44693</v>
      </c>
      <c r="B881" s="90" t="str">
        <f t="shared" si="119"/>
        <v>mai</v>
      </c>
      <c r="C881" s="90" t="str">
        <f t="shared" si="120"/>
        <v>2022</v>
      </c>
      <c r="D881" s="90" t="str">
        <f t="shared" si="121"/>
        <v>mai2022</v>
      </c>
      <c r="E881" s="91" t="s">
        <v>841</v>
      </c>
      <c r="F881" s="91">
        <v>150</v>
      </c>
      <c r="G881" s="94">
        <f t="shared" si="122"/>
        <v>0.15</v>
      </c>
      <c r="H881" s="92" t="s">
        <v>45</v>
      </c>
      <c r="I881" s="96">
        <f t="shared" si="117"/>
        <v>0.3</v>
      </c>
      <c r="J881" s="96">
        <f t="shared" si="118"/>
        <v>0.7</v>
      </c>
      <c r="K881" s="92">
        <f>VLOOKUP(H881,'Taux émission CO2e'!$A$5:$D$16,4,FALSE)</f>
        <v>0.16</v>
      </c>
      <c r="L881" s="93">
        <f t="shared" si="123"/>
        <v>2.8012535999999999</v>
      </c>
      <c r="M881" s="92">
        <f>VLOOKUP(H881,'Taux émission CO2e'!$A$20:$D$31,4,FALSE)</f>
        <v>6.7400000000000002E-2</v>
      </c>
      <c r="N881" s="105">
        <f t="shared" si="124"/>
        <v>2.753398851</v>
      </c>
      <c r="O881" s="93">
        <f t="shared" si="125"/>
        <v>5.5546524509999999</v>
      </c>
      <c r="P881" s="92">
        <v>125</v>
      </c>
      <c r="Q881" s="92" t="s">
        <v>842</v>
      </c>
      <c r="R881" s="92" t="s">
        <v>55</v>
      </c>
      <c r="S881" s="20">
        <v>389.06299999999999</v>
      </c>
    </row>
    <row r="882" spans="1:19" x14ac:dyDescent="0.15">
      <c r="A882" s="90">
        <v>44693</v>
      </c>
      <c r="B882" s="90" t="str">
        <f t="shared" si="119"/>
        <v>mai</v>
      </c>
      <c r="C882" s="90" t="str">
        <f t="shared" si="120"/>
        <v>2022</v>
      </c>
      <c r="D882" s="90" t="str">
        <f t="shared" si="121"/>
        <v>mai2022</v>
      </c>
      <c r="E882" s="91" t="s">
        <v>843</v>
      </c>
      <c r="F882" s="91">
        <v>56</v>
      </c>
      <c r="G882" s="94">
        <f t="shared" si="122"/>
        <v>5.6000000000000001E-2</v>
      </c>
      <c r="H882" s="92" t="s">
        <v>46</v>
      </c>
      <c r="I882" s="96">
        <f t="shared" si="117"/>
        <v>0.3</v>
      </c>
      <c r="J882" s="96">
        <f t="shared" si="118"/>
        <v>0.7</v>
      </c>
      <c r="K882" s="92">
        <f>VLOOKUP(H882,'Taux émission CO2e'!$A$5:$D$16,4,FALSE)</f>
        <v>0.16</v>
      </c>
      <c r="L882" s="93">
        <f t="shared" si="123"/>
        <v>1.0226630400000001</v>
      </c>
      <c r="M882" s="92">
        <f>VLOOKUP(H882,'Taux émission CO2e'!$A$20:$D$31,4,FALSE)</f>
        <v>6.7400000000000002E-2</v>
      </c>
      <c r="N882" s="105">
        <f t="shared" si="124"/>
        <v>1.0051925464</v>
      </c>
      <c r="O882" s="93">
        <f t="shared" si="125"/>
        <v>2.0278555864000003</v>
      </c>
      <c r="P882" s="92">
        <v>130</v>
      </c>
      <c r="Q882" s="92" t="s">
        <v>58</v>
      </c>
      <c r="R882" s="92" t="s">
        <v>83</v>
      </c>
      <c r="S882" s="20">
        <v>380.45499999999998</v>
      </c>
    </row>
    <row r="883" spans="1:19" x14ac:dyDescent="0.15">
      <c r="A883" s="90">
        <v>44693</v>
      </c>
      <c r="B883" s="90" t="str">
        <f t="shared" si="119"/>
        <v>mai</v>
      </c>
      <c r="C883" s="90" t="str">
        <f t="shared" si="120"/>
        <v>2022</v>
      </c>
      <c r="D883" s="90" t="str">
        <f t="shared" si="121"/>
        <v>mai2022</v>
      </c>
      <c r="E883" s="91" t="s">
        <v>844</v>
      </c>
      <c r="F883" s="91">
        <v>56</v>
      </c>
      <c r="G883" s="94">
        <f t="shared" si="122"/>
        <v>5.6000000000000001E-2</v>
      </c>
      <c r="H883" s="92" t="s">
        <v>46</v>
      </c>
      <c r="I883" s="96">
        <f t="shared" si="117"/>
        <v>0.3</v>
      </c>
      <c r="J883" s="96">
        <f t="shared" si="118"/>
        <v>0.7</v>
      </c>
      <c r="K883" s="92">
        <f>VLOOKUP(H883,'Taux émission CO2e'!$A$5:$D$16,4,FALSE)</f>
        <v>0.16</v>
      </c>
      <c r="L883" s="93">
        <f t="shared" si="123"/>
        <v>1.4488696320000001</v>
      </c>
      <c r="M883" s="92">
        <f>VLOOKUP(H883,'Taux émission CO2e'!$A$20:$D$31,4,FALSE)</f>
        <v>6.7400000000000002E-2</v>
      </c>
      <c r="N883" s="105">
        <f t="shared" si="124"/>
        <v>1.4241181091200001</v>
      </c>
      <c r="O883" s="93">
        <f t="shared" si="125"/>
        <v>2.8729877411200002</v>
      </c>
      <c r="P883" s="92">
        <v>133</v>
      </c>
      <c r="Q883" s="92" t="s">
        <v>58</v>
      </c>
      <c r="R883" s="92" t="s">
        <v>405</v>
      </c>
      <c r="S883" s="20">
        <v>539.01400000000001</v>
      </c>
    </row>
    <row r="884" spans="1:19" x14ac:dyDescent="0.15">
      <c r="A884" s="90">
        <v>44693</v>
      </c>
      <c r="B884" s="90" t="str">
        <f t="shared" si="119"/>
        <v>mai</v>
      </c>
      <c r="C884" s="90" t="str">
        <f t="shared" si="120"/>
        <v>2022</v>
      </c>
      <c r="D884" s="90" t="str">
        <f t="shared" si="121"/>
        <v>mai2022</v>
      </c>
      <c r="E884" s="91" t="s">
        <v>845</v>
      </c>
      <c r="F884" s="91">
        <v>150</v>
      </c>
      <c r="G884" s="94">
        <f t="shared" si="122"/>
        <v>0.15</v>
      </c>
      <c r="H884" s="92" t="s">
        <v>45</v>
      </c>
      <c r="I884" s="96">
        <f t="shared" si="117"/>
        <v>0.3</v>
      </c>
      <c r="J884" s="96">
        <f t="shared" si="118"/>
        <v>0.7</v>
      </c>
      <c r="K884" s="92">
        <f>VLOOKUP(H884,'Taux émission CO2e'!$A$5:$D$16,4,FALSE)</f>
        <v>0.16</v>
      </c>
      <c r="L884" s="93">
        <f t="shared" si="123"/>
        <v>1.9177416</v>
      </c>
      <c r="M884" s="92">
        <f>VLOOKUP(H884,'Taux émission CO2e'!$A$20:$D$31,4,FALSE)</f>
        <v>6.7400000000000002E-2</v>
      </c>
      <c r="N884" s="105">
        <f t="shared" si="124"/>
        <v>1.884980181</v>
      </c>
      <c r="O884" s="93">
        <f t="shared" si="125"/>
        <v>3.8027217809999998</v>
      </c>
      <c r="P884" s="92">
        <v>158</v>
      </c>
      <c r="Q884" s="92" t="s">
        <v>77</v>
      </c>
      <c r="R884" s="92" t="s">
        <v>55</v>
      </c>
      <c r="S884" s="20">
        <v>266.35300000000001</v>
      </c>
    </row>
    <row r="885" spans="1:19" x14ac:dyDescent="0.15">
      <c r="A885" s="90">
        <v>44693</v>
      </c>
      <c r="B885" s="90" t="str">
        <f t="shared" si="119"/>
        <v>mai</v>
      </c>
      <c r="C885" s="90" t="str">
        <f t="shared" si="120"/>
        <v>2022</v>
      </c>
      <c r="D885" s="90" t="str">
        <f t="shared" si="121"/>
        <v>mai2022</v>
      </c>
      <c r="E885" s="91" t="s">
        <v>846</v>
      </c>
      <c r="F885" s="91">
        <v>56</v>
      </c>
      <c r="G885" s="94">
        <f t="shared" si="122"/>
        <v>5.6000000000000001E-2</v>
      </c>
      <c r="H885" s="92" t="s">
        <v>46</v>
      </c>
      <c r="I885" s="96">
        <f t="shared" si="117"/>
        <v>0.3</v>
      </c>
      <c r="J885" s="96">
        <f t="shared" si="118"/>
        <v>0.7</v>
      </c>
      <c r="K885" s="92">
        <f>VLOOKUP(H885,'Taux émission CO2e'!$A$5:$D$16,4,FALSE)</f>
        <v>0.16</v>
      </c>
      <c r="L885" s="93">
        <f t="shared" si="123"/>
        <v>0.75451622400000007</v>
      </c>
      <c r="M885" s="92">
        <f>VLOOKUP(H885,'Taux émission CO2e'!$A$20:$D$31,4,FALSE)</f>
        <v>6.7400000000000002E-2</v>
      </c>
      <c r="N885" s="105">
        <f t="shared" si="124"/>
        <v>0.74162657184000003</v>
      </c>
      <c r="O885" s="93">
        <f t="shared" si="125"/>
        <v>1.49614279584</v>
      </c>
      <c r="P885" s="92">
        <v>160</v>
      </c>
      <c r="Q885" s="92" t="s">
        <v>58</v>
      </c>
      <c r="R885" s="92" t="s">
        <v>80</v>
      </c>
      <c r="S885" s="20">
        <v>280.69799999999998</v>
      </c>
    </row>
    <row r="886" spans="1:19" x14ac:dyDescent="0.15">
      <c r="A886" s="90">
        <v>44693</v>
      </c>
      <c r="B886" s="90" t="str">
        <f t="shared" si="119"/>
        <v>mai</v>
      </c>
      <c r="C886" s="90" t="str">
        <f t="shared" si="120"/>
        <v>2022</v>
      </c>
      <c r="D886" s="90" t="str">
        <f t="shared" si="121"/>
        <v>mai2022</v>
      </c>
      <c r="E886" s="91" t="s">
        <v>847</v>
      </c>
      <c r="F886" s="91">
        <v>56</v>
      </c>
      <c r="G886" s="94">
        <f t="shared" si="122"/>
        <v>5.6000000000000001E-2</v>
      </c>
      <c r="H886" s="92" t="s">
        <v>46</v>
      </c>
      <c r="I886" s="96">
        <f t="shared" si="117"/>
        <v>0.3</v>
      </c>
      <c r="J886" s="96">
        <f t="shared" si="118"/>
        <v>0.7</v>
      </c>
      <c r="K886" s="92">
        <f>VLOOKUP(H886,'Taux émission CO2e'!$A$5:$D$16,4,FALSE)</f>
        <v>0.16</v>
      </c>
      <c r="L886" s="93">
        <f t="shared" si="123"/>
        <v>1.9219415040000003</v>
      </c>
      <c r="M886" s="92">
        <f>VLOOKUP(H886,'Taux émission CO2e'!$A$20:$D$31,4,FALSE)</f>
        <v>6.7400000000000002E-2</v>
      </c>
      <c r="N886" s="105">
        <f t="shared" si="124"/>
        <v>1.8891083366400003</v>
      </c>
      <c r="O886" s="93">
        <f t="shared" si="125"/>
        <v>3.8110498406400009</v>
      </c>
      <c r="P886" s="92">
        <v>173</v>
      </c>
      <c r="Q886" s="92" t="s">
        <v>58</v>
      </c>
      <c r="R886" s="92" t="s">
        <v>544</v>
      </c>
      <c r="S886" s="20">
        <v>715.00800000000004</v>
      </c>
    </row>
    <row r="887" spans="1:19" x14ac:dyDescent="0.15">
      <c r="A887" s="90">
        <v>44693</v>
      </c>
      <c r="B887" s="90" t="str">
        <f t="shared" si="119"/>
        <v>mai</v>
      </c>
      <c r="C887" s="90" t="str">
        <f t="shared" si="120"/>
        <v>2022</v>
      </c>
      <c r="D887" s="90" t="str">
        <f t="shared" si="121"/>
        <v>mai2022</v>
      </c>
      <c r="E887" s="91" t="s">
        <v>848</v>
      </c>
      <c r="F887" s="91">
        <v>300</v>
      </c>
      <c r="G887" s="94">
        <f t="shared" si="122"/>
        <v>0.3</v>
      </c>
      <c r="H887" s="92" t="s">
        <v>45</v>
      </c>
      <c r="I887" s="96">
        <f t="shared" si="117"/>
        <v>0.3</v>
      </c>
      <c r="J887" s="96">
        <f t="shared" si="118"/>
        <v>0.7</v>
      </c>
      <c r="K887" s="92">
        <f>VLOOKUP(H887,'Taux émission CO2e'!$A$5:$D$16,4,FALSE)</f>
        <v>0.16</v>
      </c>
      <c r="L887" s="93">
        <f t="shared" si="123"/>
        <v>7.7429951999999993</v>
      </c>
      <c r="M887" s="92">
        <f>VLOOKUP(H887,'Taux émission CO2e'!$A$20:$D$31,4,FALSE)</f>
        <v>6.7400000000000002E-2</v>
      </c>
      <c r="N887" s="105">
        <f t="shared" si="124"/>
        <v>7.6107190319999996</v>
      </c>
      <c r="O887" s="93">
        <f t="shared" si="125"/>
        <v>15.353714231999998</v>
      </c>
      <c r="P887" s="92">
        <v>195</v>
      </c>
      <c r="Q887" s="92" t="s">
        <v>612</v>
      </c>
      <c r="R887" s="92" t="s">
        <v>55</v>
      </c>
      <c r="S887" s="20">
        <v>537.70799999999997</v>
      </c>
    </row>
    <row r="888" spans="1:19" x14ac:dyDescent="0.15">
      <c r="A888" s="90">
        <v>44693</v>
      </c>
      <c r="B888" s="90" t="str">
        <f t="shared" si="119"/>
        <v>mai</v>
      </c>
      <c r="C888" s="90" t="str">
        <f t="shared" si="120"/>
        <v>2022</v>
      </c>
      <c r="D888" s="90" t="str">
        <f t="shared" si="121"/>
        <v>mai2022</v>
      </c>
      <c r="E888" s="91" t="s">
        <v>849</v>
      </c>
      <c r="F888" s="91">
        <v>150</v>
      </c>
      <c r="G888" s="94">
        <f t="shared" si="122"/>
        <v>0.15</v>
      </c>
      <c r="H888" s="92" t="s">
        <v>45</v>
      </c>
      <c r="I888" s="96">
        <f t="shared" si="117"/>
        <v>0.3</v>
      </c>
      <c r="J888" s="96">
        <f t="shared" si="118"/>
        <v>0.7</v>
      </c>
      <c r="K888" s="92">
        <f>VLOOKUP(H888,'Taux émission CO2e'!$A$5:$D$16,4,FALSE)</f>
        <v>0.16</v>
      </c>
      <c r="L888" s="93">
        <f t="shared" si="123"/>
        <v>1.8020015999999999</v>
      </c>
      <c r="M888" s="92">
        <f>VLOOKUP(H888,'Taux émission CO2e'!$A$20:$D$31,4,FALSE)</f>
        <v>6.7400000000000002E-2</v>
      </c>
      <c r="N888" s="105">
        <f t="shared" si="124"/>
        <v>1.7712174059999999</v>
      </c>
      <c r="O888" s="93">
        <f t="shared" si="125"/>
        <v>3.5732190059999995</v>
      </c>
      <c r="P888" s="92">
        <v>235</v>
      </c>
      <c r="Q888" s="92" t="s">
        <v>89</v>
      </c>
      <c r="R888" s="92" t="s">
        <v>55</v>
      </c>
      <c r="S888" s="20">
        <v>250.27799999999999</v>
      </c>
    </row>
    <row r="889" spans="1:19" x14ac:dyDescent="0.15">
      <c r="A889" s="90">
        <v>44693</v>
      </c>
      <c r="B889" s="90" t="str">
        <f t="shared" si="119"/>
        <v>mai</v>
      </c>
      <c r="C889" s="90" t="str">
        <f t="shared" si="120"/>
        <v>2022</v>
      </c>
      <c r="D889" s="90" t="str">
        <f t="shared" si="121"/>
        <v>mai2022</v>
      </c>
      <c r="E889" s="91" t="s">
        <v>850</v>
      </c>
      <c r="F889" s="91">
        <v>300</v>
      </c>
      <c r="G889" s="94">
        <f t="shared" si="122"/>
        <v>0.3</v>
      </c>
      <c r="H889" s="92" t="s">
        <v>46</v>
      </c>
      <c r="I889" s="96">
        <f t="shared" si="117"/>
        <v>0.3</v>
      </c>
      <c r="J889" s="96">
        <f t="shared" si="118"/>
        <v>0.7</v>
      </c>
      <c r="K889" s="92">
        <f>VLOOKUP(H889,'Taux émission CO2e'!$A$5:$D$16,4,FALSE)</f>
        <v>0.16</v>
      </c>
      <c r="L889" s="93">
        <f t="shared" si="123"/>
        <v>7.7979743999999993</v>
      </c>
      <c r="M889" s="92">
        <f>VLOOKUP(H889,'Taux émission CO2e'!$A$20:$D$31,4,FALSE)</f>
        <v>6.7400000000000002E-2</v>
      </c>
      <c r="N889" s="105">
        <f t="shared" si="124"/>
        <v>7.6647590039999995</v>
      </c>
      <c r="O889" s="93">
        <f t="shared" si="125"/>
        <v>15.462733403999998</v>
      </c>
      <c r="P889" s="92">
        <v>239</v>
      </c>
      <c r="Q889" s="92" t="s">
        <v>62</v>
      </c>
      <c r="R889" s="92" t="s">
        <v>55</v>
      </c>
      <c r="S889" s="20">
        <v>541.52599999999995</v>
      </c>
    </row>
    <row r="890" spans="1:19" x14ac:dyDescent="0.15">
      <c r="A890" s="90">
        <v>44694</v>
      </c>
      <c r="B890" s="90" t="str">
        <f t="shared" si="119"/>
        <v>mai</v>
      </c>
      <c r="C890" s="90" t="str">
        <f t="shared" si="120"/>
        <v>2022</v>
      </c>
      <c r="D890" s="90" t="str">
        <f t="shared" si="121"/>
        <v>mai2022</v>
      </c>
      <c r="E890" s="91" t="s">
        <v>851</v>
      </c>
      <c r="F890" s="91">
        <v>150</v>
      </c>
      <c r="G890" s="94">
        <f t="shared" si="122"/>
        <v>0.15</v>
      </c>
      <c r="H890" s="92" t="s">
        <v>38</v>
      </c>
      <c r="I890" s="96">
        <f t="shared" si="117"/>
        <v>1</v>
      </c>
      <c r="J890" s="96">
        <f t="shared" si="118"/>
        <v>0</v>
      </c>
      <c r="K890" s="92">
        <f>VLOOKUP(H890,'Taux émission CO2e'!$A$5:$D$16,4,FALSE)</f>
        <v>0.24099999999999999</v>
      </c>
      <c r="L890" s="93">
        <f t="shared" si="123"/>
        <v>1.2287746499999999</v>
      </c>
      <c r="M890" s="92">
        <f>VLOOKUP(H890,'Taux émission CO2e'!$A$20:$D$31,4,FALSE)</f>
        <v>0</v>
      </c>
      <c r="N890" s="105">
        <f t="shared" si="124"/>
        <v>0</v>
      </c>
      <c r="O890" s="93">
        <f t="shared" si="125"/>
        <v>1.2287746499999999</v>
      </c>
      <c r="P890" s="92">
        <v>80</v>
      </c>
      <c r="Q890" s="92" t="s">
        <v>67</v>
      </c>
      <c r="R890" s="92" t="s">
        <v>55</v>
      </c>
      <c r="S890" s="20">
        <v>33.991</v>
      </c>
    </row>
    <row r="891" spans="1:19" x14ac:dyDescent="0.15">
      <c r="A891" s="90">
        <v>44694</v>
      </c>
      <c r="B891" s="90" t="str">
        <f t="shared" si="119"/>
        <v>mai</v>
      </c>
      <c r="C891" s="90" t="str">
        <f t="shared" si="120"/>
        <v>2022</v>
      </c>
      <c r="D891" s="90" t="str">
        <f t="shared" si="121"/>
        <v>mai2022</v>
      </c>
      <c r="E891" s="91" t="s">
        <v>852</v>
      </c>
      <c r="F891" s="91">
        <v>56</v>
      </c>
      <c r="G891" s="94">
        <f t="shared" si="122"/>
        <v>5.6000000000000001E-2</v>
      </c>
      <c r="H891" s="92" t="s">
        <v>46</v>
      </c>
      <c r="I891" s="96">
        <f t="shared" si="117"/>
        <v>0.3</v>
      </c>
      <c r="J891" s="96">
        <f t="shared" si="118"/>
        <v>0.7</v>
      </c>
      <c r="K891" s="92">
        <f>VLOOKUP(H891,'Taux émission CO2e'!$A$5:$D$16,4,FALSE)</f>
        <v>0.16</v>
      </c>
      <c r="L891" s="93">
        <f t="shared" si="123"/>
        <v>0.75451622400000007</v>
      </c>
      <c r="M891" s="92">
        <f>VLOOKUP(H891,'Taux émission CO2e'!$A$20:$D$31,4,FALSE)</f>
        <v>6.7400000000000002E-2</v>
      </c>
      <c r="N891" s="105">
        <f t="shared" si="124"/>
        <v>0.74162657184000003</v>
      </c>
      <c r="O891" s="93">
        <f t="shared" si="125"/>
        <v>1.49614279584</v>
      </c>
      <c r="P891" s="92">
        <v>109</v>
      </c>
      <c r="Q891" s="92" t="s">
        <v>58</v>
      </c>
      <c r="R891" s="92" t="s">
        <v>80</v>
      </c>
      <c r="S891" s="20">
        <v>280.69799999999998</v>
      </c>
    </row>
    <row r="892" spans="1:19" x14ac:dyDescent="0.15">
      <c r="A892" s="90">
        <v>44694</v>
      </c>
      <c r="B892" s="90" t="str">
        <f t="shared" si="119"/>
        <v>mai</v>
      </c>
      <c r="C892" s="90" t="str">
        <f t="shared" si="120"/>
        <v>2022</v>
      </c>
      <c r="D892" s="90" t="str">
        <f t="shared" si="121"/>
        <v>mai2022</v>
      </c>
      <c r="E892" s="91" t="s">
        <v>853</v>
      </c>
      <c r="F892" s="91">
        <v>450</v>
      </c>
      <c r="G892" s="94">
        <f t="shared" si="122"/>
        <v>0.45</v>
      </c>
      <c r="H892" s="92" t="s">
        <v>38</v>
      </c>
      <c r="I892" s="96">
        <f t="shared" si="117"/>
        <v>1</v>
      </c>
      <c r="J892" s="96">
        <f t="shared" si="118"/>
        <v>0</v>
      </c>
      <c r="K892" s="92">
        <f>VLOOKUP(H892,'Taux émission CO2e'!$A$5:$D$16,4,FALSE)</f>
        <v>0.24099999999999999</v>
      </c>
      <c r="L892" s="93">
        <f t="shared" si="123"/>
        <v>3.6966266999999999</v>
      </c>
      <c r="M892" s="92">
        <f>VLOOKUP(H892,'Taux émission CO2e'!$A$20:$D$31,4,FALSE)</f>
        <v>0</v>
      </c>
      <c r="N892" s="105">
        <f t="shared" si="124"/>
        <v>0</v>
      </c>
      <c r="O892" s="93">
        <f t="shared" si="125"/>
        <v>3.6966266999999999</v>
      </c>
      <c r="P892" s="92">
        <v>125</v>
      </c>
      <c r="Q892" s="92" t="s">
        <v>58</v>
      </c>
      <c r="R892" s="92" t="s">
        <v>98</v>
      </c>
      <c r="S892" s="20">
        <v>34.085999999999999</v>
      </c>
    </row>
    <row r="893" spans="1:19" x14ac:dyDescent="0.15">
      <c r="A893" s="90">
        <v>44694</v>
      </c>
      <c r="B893" s="90" t="str">
        <f t="shared" si="119"/>
        <v>mai</v>
      </c>
      <c r="C893" s="90" t="str">
        <f t="shared" si="120"/>
        <v>2022</v>
      </c>
      <c r="D893" s="90" t="str">
        <f t="shared" si="121"/>
        <v>mai2022</v>
      </c>
      <c r="E893" s="91" t="s">
        <v>854</v>
      </c>
      <c r="F893" s="91">
        <v>56</v>
      </c>
      <c r="G893" s="94">
        <f t="shared" si="122"/>
        <v>5.6000000000000001E-2</v>
      </c>
      <c r="H893" s="92" t="s">
        <v>46</v>
      </c>
      <c r="I893" s="96">
        <f t="shared" si="117"/>
        <v>0.3</v>
      </c>
      <c r="J893" s="96">
        <f t="shared" si="118"/>
        <v>0.7</v>
      </c>
      <c r="K893" s="92">
        <f>VLOOKUP(H893,'Taux émission CO2e'!$A$5:$D$16,4,FALSE)</f>
        <v>0.16</v>
      </c>
      <c r="L893" s="93">
        <f t="shared" si="123"/>
        <v>1.0226630400000001</v>
      </c>
      <c r="M893" s="92">
        <f>VLOOKUP(H893,'Taux émission CO2e'!$A$20:$D$31,4,FALSE)</f>
        <v>6.7400000000000002E-2</v>
      </c>
      <c r="N893" s="105">
        <f t="shared" si="124"/>
        <v>1.0051925464</v>
      </c>
      <c r="O893" s="93">
        <f t="shared" si="125"/>
        <v>2.0278555864000003</v>
      </c>
      <c r="P893" s="92">
        <v>130</v>
      </c>
      <c r="Q893" s="92" t="s">
        <v>58</v>
      </c>
      <c r="R893" s="92" t="s">
        <v>83</v>
      </c>
      <c r="S893" s="20">
        <v>380.45499999999998</v>
      </c>
    </row>
    <row r="894" spans="1:19" x14ac:dyDescent="0.15">
      <c r="A894" s="90">
        <v>44694</v>
      </c>
      <c r="B894" s="90" t="str">
        <f t="shared" si="119"/>
        <v>mai</v>
      </c>
      <c r="C894" s="90" t="str">
        <f t="shared" si="120"/>
        <v>2022</v>
      </c>
      <c r="D894" s="90" t="str">
        <f t="shared" si="121"/>
        <v>mai2022</v>
      </c>
      <c r="E894" s="91" t="s">
        <v>855</v>
      </c>
      <c r="F894" s="91">
        <v>150</v>
      </c>
      <c r="G894" s="94">
        <f t="shared" si="122"/>
        <v>0.15</v>
      </c>
      <c r="H894" s="92" t="s">
        <v>46</v>
      </c>
      <c r="I894" s="96">
        <f t="shared" si="117"/>
        <v>0.3</v>
      </c>
      <c r="J894" s="96">
        <f t="shared" si="118"/>
        <v>0.7</v>
      </c>
      <c r="K894" s="92">
        <f>VLOOKUP(H894,'Taux émission CO2e'!$A$5:$D$16,4,FALSE)</f>
        <v>0.16</v>
      </c>
      <c r="L894" s="93">
        <f t="shared" si="123"/>
        <v>2.7084023999999998</v>
      </c>
      <c r="M894" s="92">
        <f>VLOOKUP(H894,'Taux émission CO2e'!$A$20:$D$31,4,FALSE)</f>
        <v>6.7400000000000002E-2</v>
      </c>
      <c r="N894" s="105">
        <f t="shared" si="124"/>
        <v>2.6621338589999999</v>
      </c>
      <c r="O894" s="93">
        <f t="shared" si="125"/>
        <v>5.3705362589999996</v>
      </c>
      <c r="P894" s="92">
        <v>140</v>
      </c>
      <c r="Q894" s="92" t="s">
        <v>856</v>
      </c>
      <c r="R894" s="92" t="s">
        <v>55</v>
      </c>
      <c r="S894" s="20">
        <v>376.16699999999997</v>
      </c>
    </row>
    <row r="895" spans="1:19" x14ac:dyDescent="0.15">
      <c r="A895" s="90">
        <v>44694</v>
      </c>
      <c r="B895" s="90" t="str">
        <f t="shared" si="119"/>
        <v>mai</v>
      </c>
      <c r="C895" s="90" t="str">
        <f t="shared" si="120"/>
        <v>2022</v>
      </c>
      <c r="D895" s="90" t="str">
        <f t="shared" si="121"/>
        <v>mai2022</v>
      </c>
      <c r="E895" s="91" t="s">
        <v>857</v>
      </c>
      <c r="F895" s="91">
        <v>56</v>
      </c>
      <c r="G895" s="94">
        <f t="shared" si="122"/>
        <v>5.6000000000000001E-2</v>
      </c>
      <c r="H895" s="92" t="s">
        <v>46</v>
      </c>
      <c r="I895" s="96">
        <f t="shared" si="117"/>
        <v>0.3</v>
      </c>
      <c r="J895" s="96">
        <f t="shared" si="118"/>
        <v>0.7</v>
      </c>
      <c r="K895" s="92">
        <f>VLOOKUP(H895,'Taux émission CO2e'!$A$5:$D$16,4,FALSE)</f>
        <v>0.16</v>
      </c>
      <c r="L895" s="93">
        <f t="shared" si="123"/>
        <v>1.9219415040000003</v>
      </c>
      <c r="M895" s="92">
        <f>VLOOKUP(H895,'Taux émission CO2e'!$A$20:$D$31,4,FALSE)</f>
        <v>6.7400000000000002E-2</v>
      </c>
      <c r="N895" s="105">
        <f t="shared" si="124"/>
        <v>1.8891083366400003</v>
      </c>
      <c r="O895" s="93">
        <f t="shared" si="125"/>
        <v>3.8110498406400009</v>
      </c>
      <c r="P895" s="92">
        <v>173</v>
      </c>
      <c r="Q895" s="92" t="s">
        <v>58</v>
      </c>
      <c r="R895" s="92" t="s">
        <v>544</v>
      </c>
      <c r="S895" s="20">
        <v>715.00800000000004</v>
      </c>
    </row>
    <row r="896" spans="1:19" x14ac:dyDescent="0.15">
      <c r="A896" s="90">
        <v>44694</v>
      </c>
      <c r="B896" s="90" t="str">
        <f t="shared" si="119"/>
        <v>mai</v>
      </c>
      <c r="C896" s="90" t="str">
        <f t="shared" si="120"/>
        <v>2022</v>
      </c>
      <c r="D896" s="90" t="str">
        <f t="shared" si="121"/>
        <v>mai2022</v>
      </c>
      <c r="E896" s="91" t="s">
        <v>858</v>
      </c>
      <c r="F896" s="91">
        <v>300</v>
      </c>
      <c r="G896" s="94">
        <f t="shared" si="122"/>
        <v>0.3</v>
      </c>
      <c r="H896" s="92" t="s">
        <v>45</v>
      </c>
      <c r="I896" s="96">
        <f t="shared" si="117"/>
        <v>0.3</v>
      </c>
      <c r="J896" s="96">
        <f t="shared" si="118"/>
        <v>0.7</v>
      </c>
      <c r="K896" s="92">
        <f>VLOOKUP(H896,'Taux émission CO2e'!$A$5:$D$16,4,FALSE)</f>
        <v>0.16</v>
      </c>
      <c r="L896" s="93">
        <f t="shared" si="123"/>
        <v>4.0103568000000003</v>
      </c>
      <c r="M896" s="92">
        <f>VLOOKUP(H896,'Taux émission CO2e'!$A$20:$D$31,4,FALSE)</f>
        <v>6.7400000000000002E-2</v>
      </c>
      <c r="N896" s="105">
        <f t="shared" si="124"/>
        <v>3.9418465380000001</v>
      </c>
      <c r="O896" s="93">
        <f t="shared" si="125"/>
        <v>7.9522033380000003</v>
      </c>
      <c r="P896" s="92">
        <v>200</v>
      </c>
      <c r="Q896" s="92" t="s">
        <v>90</v>
      </c>
      <c r="R896" s="92" t="s">
        <v>55</v>
      </c>
      <c r="S896" s="20">
        <v>278.49700000000001</v>
      </c>
    </row>
    <row r="897" spans="1:19" x14ac:dyDescent="0.15">
      <c r="A897" s="90">
        <v>44694</v>
      </c>
      <c r="B897" s="90" t="str">
        <f t="shared" si="119"/>
        <v>mai</v>
      </c>
      <c r="C897" s="90" t="str">
        <f t="shared" si="120"/>
        <v>2022</v>
      </c>
      <c r="D897" s="90" t="str">
        <f t="shared" si="121"/>
        <v>mai2022</v>
      </c>
      <c r="E897" s="91" t="s">
        <v>859</v>
      </c>
      <c r="F897" s="91">
        <v>150</v>
      </c>
      <c r="G897" s="94">
        <f t="shared" si="122"/>
        <v>0.15</v>
      </c>
      <c r="H897" s="92" t="s">
        <v>46</v>
      </c>
      <c r="I897" s="96">
        <f t="shared" si="117"/>
        <v>0.3</v>
      </c>
      <c r="J897" s="96">
        <f t="shared" si="118"/>
        <v>0.7</v>
      </c>
      <c r="K897" s="92">
        <f>VLOOKUP(H897,'Taux émission CO2e'!$A$5:$D$16,4,FALSE)</f>
        <v>0.16</v>
      </c>
      <c r="L897" s="93">
        <f t="shared" si="123"/>
        <v>1.8579095999999999</v>
      </c>
      <c r="M897" s="92">
        <f>VLOOKUP(H897,'Taux émission CO2e'!$A$20:$D$31,4,FALSE)</f>
        <v>6.7400000000000002E-2</v>
      </c>
      <c r="N897" s="105">
        <f t="shared" si="124"/>
        <v>1.826170311</v>
      </c>
      <c r="O897" s="93">
        <f t="shared" si="125"/>
        <v>3.684079911</v>
      </c>
      <c r="P897" s="92">
        <v>200</v>
      </c>
      <c r="Q897" s="92" t="s">
        <v>102</v>
      </c>
      <c r="R897" s="92" t="s">
        <v>55</v>
      </c>
      <c r="S897" s="20">
        <v>258.04300000000001</v>
      </c>
    </row>
    <row r="898" spans="1:19" x14ac:dyDescent="0.15">
      <c r="A898" s="90">
        <v>44694</v>
      </c>
      <c r="B898" s="90" t="str">
        <f t="shared" si="119"/>
        <v>mai</v>
      </c>
      <c r="C898" s="90" t="str">
        <f t="shared" si="120"/>
        <v>2022</v>
      </c>
      <c r="D898" s="90" t="str">
        <f t="shared" si="121"/>
        <v>mai2022</v>
      </c>
      <c r="E898" s="91" t="s">
        <v>860</v>
      </c>
      <c r="F898" s="91">
        <v>56</v>
      </c>
      <c r="G898" s="94">
        <f t="shared" si="122"/>
        <v>5.6000000000000001E-2</v>
      </c>
      <c r="H898" s="92" t="s">
        <v>46</v>
      </c>
      <c r="I898" s="96">
        <f t="shared" ref="I898:I961" si="126">VLOOKUP(H898,Segment1,2,FALSE)</f>
        <v>0.3</v>
      </c>
      <c r="J898" s="96">
        <f t="shared" ref="J898:J961" si="127">VLOOKUP(H898,Segment2,2,FALSE)</f>
        <v>0.7</v>
      </c>
      <c r="K898" s="92">
        <f>VLOOKUP(H898,'Taux émission CO2e'!$A$5:$D$16,4,FALSE)</f>
        <v>0.16</v>
      </c>
      <c r="L898" s="93">
        <f t="shared" si="123"/>
        <v>2.0934681600000005</v>
      </c>
      <c r="M898" s="92">
        <f>VLOOKUP(H898,'Taux émission CO2e'!$A$20:$D$31,4,FALSE)</f>
        <v>6.7400000000000002E-2</v>
      </c>
      <c r="N898" s="105">
        <f t="shared" si="124"/>
        <v>2.0577047456000002</v>
      </c>
      <c r="O898" s="93">
        <f t="shared" si="125"/>
        <v>4.1511729056000011</v>
      </c>
      <c r="P898" s="92">
        <v>200</v>
      </c>
      <c r="Q898" s="92" t="s">
        <v>58</v>
      </c>
      <c r="R898" s="92" t="s">
        <v>750</v>
      </c>
      <c r="S898" s="20">
        <v>778.82</v>
      </c>
    </row>
    <row r="899" spans="1:19" x14ac:dyDescent="0.15">
      <c r="A899" s="90">
        <v>44694</v>
      </c>
      <c r="B899" s="90" t="str">
        <f t="shared" ref="B899:B962" si="128">TEXT(A899,"mmmm")</f>
        <v>mai</v>
      </c>
      <c r="C899" s="90" t="str">
        <f t="shared" ref="C899:C962" si="129">TEXT(A899,"aaaa")</f>
        <v>2022</v>
      </c>
      <c r="D899" s="90" t="str">
        <f t="shared" ref="D899:D962" si="130">B899&amp;C899</f>
        <v>mai2022</v>
      </c>
      <c r="E899" s="91" t="s">
        <v>861</v>
      </c>
      <c r="F899" s="91">
        <v>293</v>
      </c>
      <c r="G899" s="94">
        <f t="shared" ref="G899:G962" si="131">F899/1000</f>
        <v>0.29299999999999998</v>
      </c>
      <c r="H899" s="92" t="s">
        <v>46</v>
      </c>
      <c r="I899" s="96">
        <f t="shared" si="126"/>
        <v>0.3</v>
      </c>
      <c r="J899" s="96">
        <f t="shared" si="127"/>
        <v>0.7</v>
      </c>
      <c r="K899" s="92">
        <f>VLOOKUP(H899,'Taux émission CO2e'!$A$5:$D$16,4,FALSE)</f>
        <v>0.16</v>
      </c>
      <c r="L899" s="93">
        <f t="shared" ref="L899:L962" si="132">IFERROR(I899*K899*G899*S899,"0")</f>
        <v>2.6522313120000001</v>
      </c>
      <c r="M899" s="92">
        <f>VLOOKUP(H899,'Taux émission CO2e'!$A$20:$D$31,4,FALSE)</f>
        <v>6.7400000000000002E-2</v>
      </c>
      <c r="N899" s="105">
        <f t="shared" ref="N899:N962" si="133">IFERROR(J899*M899*G899*S899,"0")</f>
        <v>2.60692236042</v>
      </c>
      <c r="O899" s="93">
        <f t="shared" ref="O899:O962" si="134">L899+N899</f>
        <v>5.2591536724200001</v>
      </c>
      <c r="P899" s="92">
        <v>200</v>
      </c>
      <c r="Q899" s="92" t="s">
        <v>58</v>
      </c>
      <c r="R899" s="92" t="s">
        <v>531</v>
      </c>
      <c r="S899" s="20">
        <v>188.583</v>
      </c>
    </row>
    <row r="900" spans="1:19" x14ac:dyDescent="0.15">
      <c r="A900" s="90">
        <v>44694</v>
      </c>
      <c r="B900" s="90" t="str">
        <f t="shared" si="128"/>
        <v>mai</v>
      </c>
      <c r="C900" s="90" t="str">
        <f t="shared" si="129"/>
        <v>2022</v>
      </c>
      <c r="D900" s="90" t="str">
        <f t="shared" si="130"/>
        <v>mai2022</v>
      </c>
      <c r="E900" s="91" t="s">
        <v>862</v>
      </c>
      <c r="F900" s="91">
        <v>100</v>
      </c>
      <c r="G900" s="94">
        <f t="shared" si="131"/>
        <v>0.1</v>
      </c>
      <c r="H900" s="92" t="s">
        <v>46</v>
      </c>
      <c r="I900" s="96">
        <f t="shared" si="126"/>
        <v>0.3</v>
      </c>
      <c r="J900" s="96">
        <f t="shared" si="127"/>
        <v>0.7</v>
      </c>
      <c r="K900" s="92">
        <f>VLOOKUP(H900,'Taux émission CO2e'!$A$5:$D$16,4,FALSE)</f>
        <v>0.16</v>
      </c>
      <c r="L900" s="93">
        <f t="shared" si="132"/>
        <v>1.2775968000000002</v>
      </c>
      <c r="M900" s="92">
        <f>VLOOKUP(H900,'Taux émission CO2e'!$A$20:$D$31,4,FALSE)</f>
        <v>6.7400000000000002E-2</v>
      </c>
      <c r="N900" s="105">
        <f t="shared" si="133"/>
        <v>1.255771188</v>
      </c>
      <c r="O900" s="93">
        <f t="shared" si="134"/>
        <v>2.5333679880000002</v>
      </c>
      <c r="P900" s="92">
        <v>215</v>
      </c>
      <c r="Q900" s="92" t="s">
        <v>58</v>
      </c>
      <c r="R900" s="92" t="s">
        <v>53</v>
      </c>
      <c r="S900" s="20">
        <v>266.166</v>
      </c>
    </row>
    <row r="901" spans="1:19" x14ac:dyDescent="0.15">
      <c r="A901" s="90">
        <v>44694</v>
      </c>
      <c r="B901" s="90" t="str">
        <f t="shared" si="128"/>
        <v>mai</v>
      </c>
      <c r="C901" s="90" t="str">
        <f t="shared" si="129"/>
        <v>2022</v>
      </c>
      <c r="D901" s="90" t="str">
        <f t="shared" si="130"/>
        <v>mai2022</v>
      </c>
      <c r="E901" s="91" t="s">
        <v>863</v>
      </c>
      <c r="F901" s="91">
        <v>300</v>
      </c>
      <c r="G901" s="94">
        <f t="shared" si="131"/>
        <v>0.3</v>
      </c>
      <c r="H901" s="92" t="s">
        <v>46</v>
      </c>
      <c r="I901" s="96">
        <f t="shared" si="126"/>
        <v>0.3</v>
      </c>
      <c r="J901" s="96">
        <f t="shared" si="127"/>
        <v>0.7</v>
      </c>
      <c r="K901" s="92">
        <f>VLOOKUP(H901,'Taux émission CO2e'!$A$5:$D$16,4,FALSE)</f>
        <v>0.16</v>
      </c>
      <c r="L901" s="93">
        <f t="shared" si="132"/>
        <v>10.2526128</v>
      </c>
      <c r="M901" s="92">
        <f>VLOOKUP(H901,'Taux émission CO2e'!$A$20:$D$31,4,FALSE)</f>
        <v>6.7400000000000002E-2</v>
      </c>
      <c r="N901" s="105">
        <f t="shared" si="133"/>
        <v>10.077463997999999</v>
      </c>
      <c r="O901" s="93">
        <f t="shared" si="134"/>
        <v>20.330076798</v>
      </c>
      <c r="P901" s="92">
        <v>260</v>
      </c>
      <c r="Q901" s="92" t="s">
        <v>766</v>
      </c>
      <c r="R901" s="92" t="s">
        <v>55</v>
      </c>
      <c r="S901" s="20">
        <v>711.98699999999997</v>
      </c>
    </row>
    <row r="902" spans="1:19" x14ac:dyDescent="0.15">
      <c r="A902" s="90">
        <v>44694</v>
      </c>
      <c r="B902" s="90" t="str">
        <f t="shared" si="128"/>
        <v>mai</v>
      </c>
      <c r="C902" s="90" t="str">
        <f t="shared" si="129"/>
        <v>2022</v>
      </c>
      <c r="D902" s="90" t="str">
        <f t="shared" si="130"/>
        <v>mai2022</v>
      </c>
      <c r="E902" s="91" t="s">
        <v>864</v>
      </c>
      <c r="F902" s="91">
        <v>293</v>
      </c>
      <c r="G902" s="94">
        <f t="shared" si="131"/>
        <v>0.29299999999999998</v>
      </c>
      <c r="H902" s="92" t="s">
        <v>46</v>
      </c>
      <c r="I902" s="96">
        <f t="shared" si="126"/>
        <v>0.3</v>
      </c>
      <c r="J902" s="96">
        <f t="shared" si="127"/>
        <v>0.7</v>
      </c>
      <c r="K902" s="92">
        <f>VLOOKUP(H902,'Taux émission CO2e'!$A$5:$D$16,4,FALSE)</f>
        <v>0.16</v>
      </c>
      <c r="L902" s="93">
        <f t="shared" si="132"/>
        <v>7.5806928960000004</v>
      </c>
      <c r="M902" s="92">
        <f>VLOOKUP(H902,'Taux émission CO2e'!$A$20:$D$31,4,FALSE)</f>
        <v>6.7400000000000002E-2</v>
      </c>
      <c r="N902" s="105">
        <f t="shared" si="133"/>
        <v>7.4511893923599999</v>
      </c>
      <c r="O902" s="93">
        <f t="shared" si="134"/>
        <v>15.03188228836</v>
      </c>
      <c r="P902" s="92">
        <v>260</v>
      </c>
      <c r="Q902" s="92" t="s">
        <v>58</v>
      </c>
      <c r="R902" s="92" t="s">
        <v>405</v>
      </c>
      <c r="S902" s="20">
        <v>539.01400000000001</v>
      </c>
    </row>
    <row r="903" spans="1:19" x14ac:dyDescent="0.15">
      <c r="A903" s="90">
        <v>44694</v>
      </c>
      <c r="B903" s="90" t="str">
        <f t="shared" si="128"/>
        <v>mai</v>
      </c>
      <c r="C903" s="90" t="str">
        <f t="shared" si="129"/>
        <v>2022</v>
      </c>
      <c r="D903" s="90" t="str">
        <f t="shared" si="130"/>
        <v>mai2022</v>
      </c>
      <c r="E903" s="91" t="s">
        <v>865</v>
      </c>
      <c r="F903" s="91">
        <v>224</v>
      </c>
      <c r="G903" s="94">
        <f t="shared" si="131"/>
        <v>0.224</v>
      </c>
      <c r="H903" s="92" t="s">
        <v>46</v>
      </c>
      <c r="I903" s="96">
        <f t="shared" si="126"/>
        <v>0.3</v>
      </c>
      <c r="J903" s="96">
        <f t="shared" si="127"/>
        <v>0.7</v>
      </c>
      <c r="K903" s="92">
        <f>VLOOKUP(H903,'Taux émission CO2e'!$A$5:$D$16,4,FALSE)</f>
        <v>0.16</v>
      </c>
      <c r="L903" s="93">
        <f t="shared" si="132"/>
        <v>5.8187673599999998</v>
      </c>
      <c r="M903" s="92">
        <f>VLOOKUP(H903,'Taux émission CO2e'!$A$20:$D$31,4,FALSE)</f>
        <v>6.7400000000000002E-2</v>
      </c>
      <c r="N903" s="105">
        <f t="shared" si="133"/>
        <v>5.7193634176000003</v>
      </c>
      <c r="O903" s="93">
        <f t="shared" si="134"/>
        <v>11.538130777599999</v>
      </c>
      <c r="P903" s="92">
        <v>325</v>
      </c>
      <c r="Q903" s="92" t="s">
        <v>58</v>
      </c>
      <c r="R903" s="92" t="s">
        <v>65</v>
      </c>
      <c r="S903" s="20">
        <v>541.17999999999995</v>
      </c>
    </row>
    <row r="904" spans="1:19" x14ac:dyDescent="0.15">
      <c r="A904" s="90">
        <v>44697</v>
      </c>
      <c r="B904" s="90" t="str">
        <f t="shared" si="128"/>
        <v>mai</v>
      </c>
      <c r="C904" s="90" t="str">
        <f t="shared" si="129"/>
        <v>2022</v>
      </c>
      <c r="D904" s="90" t="str">
        <f t="shared" si="130"/>
        <v>mai2022</v>
      </c>
      <c r="E904" s="91" t="s">
        <v>866</v>
      </c>
      <c r="F904" s="91">
        <v>150</v>
      </c>
      <c r="G904" s="94">
        <f t="shared" si="131"/>
        <v>0.15</v>
      </c>
      <c r="H904" s="92" t="s">
        <v>38</v>
      </c>
      <c r="I904" s="96">
        <f t="shared" si="126"/>
        <v>1</v>
      </c>
      <c r="J904" s="96">
        <f t="shared" si="127"/>
        <v>0</v>
      </c>
      <c r="K904" s="92">
        <f>VLOOKUP(H904,'Taux émission CO2e'!$A$5:$D$16,4,FALSE)</f>
        <v>0.24099999999999999</v>
      </c>
      <c r="L904" s="93">
        <f t="shared" si="132"/>
        <v>1.2287746499999999</v>
      </c>
      <c r="M904" s="92">
        <f>VLOOKUP(H904,'Taux émission CO2e'!$A$20:$D$31,4,FALSE)</f>
        <v>0</v>
      </c>
      <c r="N904" s="105">
        <f t="shared" si="133"/>
        <v>0</v>
      </c>
      <c r="O904" s="93">
        <f t="shared" si="134"/>
        <v>1.2287746499999999</v>
      </c>
      <c r="P904" s="92">
        <v>80</v>
      </c>
      <c r="Q904" s="92" t="s">
        <v>67</v>
      </c>
      <c r="R904" s="92" t="s">
        <v>55</v>
      </c>
      <c r="S904" s="20">
        <v>33.991</v>
      </c>
    </row>
    <row r="905" spans="1:19" x14ac:dyDescent="0.15">
      <c r="A905" s="90">
        <v>44697</v>
      </c>
      <c r="B905" s="90" t="str">
        <f t="shared" si="128"/>
        <v>mai</v>
      </c>
      <c r="C905" s="90" t="str">
        <f t="shared" si="129"/>
        <v>2022</v>
      </c>
      <c r="D905" s="90" t="str">
        <f t="shared" si="130"/>
        <v>mai2022</v>
      </c>
      <c r="E905" s="91" t="s">
        <v>867</v>
      </c>
      <c r="F905" s="91">
        <v>106</v>
      </c>
      <c r="G905" s="94">
        <f t="shared" si="131"/>
        <v>0.106</v>
      </c>
      <c r="H905" s="92" t="s">
        <v>46</v>
      </c>
      <c r="I905" s="96">
        <f t="shared" si="126"/>
        <v>0.3</v>
      </c>
      <c r="J905" s="96">
        <f t="shared" si="127"/>
        <v>0.7</v>
      </c>
      <c r="K905" s="92">
        <f>VLOOKUP(H905,'Taux émission CO2e'!$A$5:$D$16,4,FALSE)</f>
        <v>0.16</v>
      </c>
      <c r="L905" s="93">
        <f t="shared" si="132"/>
        <v>1.4236173119999997</v>
      </c>
      <c r="M905" s="92">
        <f>VLOOKUP(H905,'Taux émission CO2e'!$A$20:$D$31,4,FALSE)</f>
        <v>6.7400000000000002E-2</v>
      </c>
      <c r="N905" s="105">
        <f t="shared" si="133"/>
        <v>1.3992971829199998</v>
      </c>
      <c r="O905" s="93">
        <f t="shared" si="134"/>
        <v>2.8229144949199996</v>
      </c>
      <c r="P905" s="92">
        <v>120</v>
      </c>
      <c r="Q905" s="92" t="s">
        <v>58</v>
      </c>
      <c r="R905" s="92" t="s">
        <v>70</v>
      </c>
      <c r="S905" s="20">
        <v>279.79899999999998</v>
      </c>
    </row>
    <row r="906" spans="1:19" x14ac:dyDescent="0.15">
      <c r="A906" s="90">
        <v>44697</v>
      </c>
      <c r="B906" s="90" t="str">
        <f t="shared" si="128"/>
        <v>mai</v>
      </c>
      <c r="C906" s="90" t="str">
        <f t="shared" si="129"/>
        <v>2022</v>
      </c>
      <c r="D906" s="90" t="str">
        <f t="shared" si="130"/>
        <v>mai2022</v>
      </c>
      <c r="E906" s="91" t="s">
        <v>868</v>
      </c>
      <c r="F906" s="91">
        <v>106</v>
      </c>
      <c r="G906" s="94">
        <f t="shared" si="131"/>
        <v>0.106</v>
      </c>
      <c r="H906" s="92" t="s">
        <v>46</v>
      </c>
      <c r="I906" s="96">
        <f t="shared" si="126"/>
        <v>0.3</v>
      </c>
      <c r="J906" s="96">
        <f t="shared" si="127"/>
        <v>0.7</v>
      </c>
      <c r="K906" s="92">
        <f>VLOOKUP(H906,'Taux émission CO2e'!$A$5:$D$16,4,FALSE)</f>
        <v>0.16</v>
      </c>
      <c r="L906" s="93">
        <f t="shared" si="132"/>
        <v>2.2702198079999998</v>
      </c>
      <c r="M906" s="92">
        <f>VLOOKUP(H906,'Taux émission CO2e'!$A$20:$D$31,4,FALSE)</f>
        <v>6.7400000000000002E-2</v>
      </c>
      <c r="N906" s="105">
        <f t="shared" si="133"/>
        <v>2.2314368862799996</v>
      </c>
      <c r="O906" s="93">
        <f t="shared" si="134"/>
        <v>4.5016566942799994</v>
      </c>
      <c r="P906" s="92">
        <v>130</v>
      </c>
      <c r="Q906" s="92" t="s">
        <v>58</v>
      </c>
      <c r="R906" s="92" t="s">
        <v>529</v>
      </c>
      <c r="S906" s="20">
        <v>446.19099999999997</v>
      </c>
    </row>
    <row r="907" spans="1:19" x14ac:dyDescent="0.15">
      <c r="A907" s="90">
        <v>44697</v>
      </c>
      <c r="B907" s="90" t="str">
        <f t="shared" si="128"/>
        <v>mai</v>
      </c>
      <c r="C907" s="90" t="str">
        <f t="shared" si="129"/>
        <v>2022</v>
      </c>
      <c r="D907" s="90" t="str">
        <f t="shared" si="130"/>
        <v>mai2022</v>
      </c>
      <c r="E907" s="91" t="s">
        <v>869</v>
      </c>
      <c r="F907" s="91">
        <v>140</v>
      </c>
      <c r="G907" s="94">
        <f t="shared" si="131"/>
        <v>0.14000000000000001</v>
      </c>
      <c r="H907" s="92" t="s">
        <v>46</v>
      </c>
      <c r="I907" s="96">
        <f t="shared" si="126"/>
        <v>0.3</v>
      </c>
      <c r="J907" s="96">
        <f t="shared" si="127"/>
        <v>0.7</v>
      </c>
      <c r="K907" s="92">
        <f>VLOOKUP(H907,'Taux émission CO2e'!$A$5:$D$16,4,FALSE)</f>
        <v>0.16</v>
      </c>
      <c r="L907" s="93">
        <f t="shared" si="132"/>
        <v>2.9920934400000005</v>
      </c>
      <c r="M907" s="92">
        <f>VLOOKUP(H907,'Taux émission CO2e'!$A$20:$D$31,4,FALSE)</f>
        <v>6.7400000000000002E-2</v>
      </c>
      <c r="N907" s="105">
        <f t="shared" si="133"/>
        <v>2.9409785104000004</v>
      </c>
      <c r="O907" s="93">
        <f t="shared" si="134"/>
        <v>5.9330719504000005</v>
      </c>
      <c r="P907" s="92">
        <v>145</v>
      </c>
      <c r="Q907" s="92" t="s">
        <v>58</v>
      </c>
      <c r="R907" s="92" t="s">
        <v>640</v>
      </c>
      <c r="S907" s="20">
        <v>445.25200000000001</v>
      </c>
    </row>
    <row r="908" spans="1:19" x14ac:dyDescent="0.15">
      <c r="A908" s="90">
        <v>44697</v>
      </c>
      <c r="B908" s="90" t="str">
        <f t="shared" si="128"/>
        <v>mai</v>
      </c>
      <c r="C908" s="90" t="str">
        <f t="shared" si="129"/>
        <v>2022</v>
      </c>
      <c r="D908" s="90" t="str">
        <f t="shared" si="130"/>
        <v>mai2022</v>
      </c>
      <c r="E908" s="91" t="s">
        <v>870</v>
      </c>
      <c r="F908" s="91">
        <v>150</v>
      </c>
      <c r="G908" s="94">
        <f t="shared" si="131"/>
        <v>0.15</v>
      </c>
      <c r="H908" s="92" t="s">
        <v>45</v>
      </c>
      <c r="I908" s="96">
        <f t="shared" si="126"/>
        <v>0.3</v>
      </c>
      <c r="J908" s="96">
        <f t="shared" si="127"/>
        <v>0.7</v>
      </c>
      <c r="K908" s="92">
        <f>VLOOKUP(H908,'Taux émission CO2e'!$A$5:$D$16,4,FALSE)</f>
        <v>0.16</v>
      </c>
      <c r="L908" s="93">
        <f t="shared" si="132"/>
        <v>1.8302616</v>
      </c>
      <c r="M908" s="92">
        <f>VLOOKUP(H908,'Taux émission CO2e'!$A$20:$D$31,4,FALSE)</f>
        <v>6.7400000000000002E-2</v>
      </c>
      <c r="N908" s="105">
        <f t="shared" si="133"/>
        <v>1.798994631</v>
      </c>
      <c r="O908" s="93">
        <f t="shared" si="134"/>
        <v>3.6292562310000003</v>
      </c>
      <c r="P908" s="92">
        <v>158</v>
      </c>
      <c r="Q908" s="92" t="s">
        <v>871</v>
      </c>
      <c r="R908" s="92" t="s">
        <v>55</v>
      </c>
      <c r="S908" s="20">
        <v>254.203</v>
      </c>
    </row>
    <row r="909" spans="1:19" x14ac:dyDescent="0.15">
      <c r="A909" s="90">
        <v>44697</v>
      </c>
      <c r="B909" s="90" t="str">
        <f t="shared" si="128"/>
        <v>mai</v>
      </c>
      <c r="C909" s="90" t="str">
        <f t="shared" si="129"/>
        <v>2022</v>
      </c>
      <c r="D909" s="90" t="str">
        <f t="shared" si="130"/>
        <v>mai2022</v>
      </c>
      <c r="E909" s="91" t="s">
        <v>872</v>
      </c>
      <c r="F909" s="91">
        <v>318</v>
      </c>
      <c r="G909" s="94">
        <f t="shared" si="131"/>
        <v>0.318</v>
      </c>
      <c r="H909" s="92" t="s">
        <v>46</v>
      </c>
      <c r="I909" s="96">
        <f t="shared" si="126"/>
        <v>0.3</v>
      </c>
      <c r="J909" s="96">
        <f t="shared" si="127"/>
        <v>0.7</v>
      </c>
      <c r="K909" s="92">
        <f>VLOOKUP(H909,'Taux émission CO2e'!$A$5:$D$16,4,FALSE)</f>
        <v>0.16</v>
      </c>
      <c r="L909" s="93">
        <f t="shared" si="132"/>
        <v>4.0627578240000002</v>
      </c>
      <c r="M909" s="92">
        <f>VLOOKUP(H909,'Taux émission CO2e'!$A$20:$D$31,4,FALSE)</f>
        <v>6.7400000000000002E-2</v>
      </c>
      <c r="N909" s="105">
        <f t="shared" si="133"/>
        <v>3.99335237784</v>
      </c>
      <c r="O909" s="93">
        <f t="shared" si="134"/>
        <v>8.0561102018399993</v>
      </c>
      <c r="P909" s="92">
        <v>220</v>
      </c>
      <c r="Q909" s="92" t="s">
        <v>58</v>
      </c>
      <c r="R909" s="92" t="s">
        <v>53</v>
      </c>
      <c r="S909" s="20">
        <v>266.166</v>
      </c>
    </row>
    <row r="910" spans="1:19" x14ac:dyDescent="0.15">
      <c r="A910" s="90">
        <v>44697</v>
      </c>
      <c r="B910" s="90" t="str">
        <f t="shared" si="128"/>
        <v>mai</v>
      </c>
      <c r="C910" s="90" t="str">
        <f t="shared" si="129"/>
        <v>2022</v>
      </c>
      <c r="D910" s="90" t="str">
        <f t="shared" si="130"/>
        <v>mai2022</v>
      </c>
      <c r="E910" s="91" t="s">
        <v>873</v>
      </c>
      <c r="F910" s="91">
        <v>318</v>
      </c>
      <c r="G910" s="94">
        <f t="shared" si="131"/>
        <v>0.318</v>
      </c>
      <c r="H910" s="92" t="s">
        <v>46</v>
      </c>
      <c r="I910" s="96">
        <f t="shared" si="126"/>
        <v>0.3</v>
      </c>
      <c r="J910" s="96">
        <f t="shared" si="127"/>
        <v>0.7</v>
      </c>
      <c r="K910" s="92">
        <f>VLOOKUP(H910,'Taux émission CO2e'!$A$5:$D$16,4,FALSE)</f>
        <v>0.16</v>
      </c>
      <c r="L910" s="93">
        <f t="shared" si="132"/>
        <v>3.7976374079999999</v>
      </c>
      <c r="M910" s="92">
        <f>VLOOKUP(H910,'Taux émission CO2e'!$A$20:$D$31,4,FALSE)</f>
        <v>6.7400000000000002E-2</v>
      </c>
      <c r="N910" s="105">
        <f t="shared" si="133"/>
        <v>3.7327611022799996</v>
      </c>
      <c r="O910" s="93">
        <f t="shared" si="134"/>
        <v>7.5303985102799995</v>
      </c>
      <c r="P910" s="92">
        <v>234</v>
      </c>
      <c r="Q910" s="92" t="s">
        <v>58</v>
      </c>
      <c r="R910" s="92" t="s">
        <v>82</v>
      </c>
      <c r="S910" s="20">
        <v>248.797</v>
      </c>
    </row>
    <row r="911" spans="1:19" x14ac:dyDescent="0.15">
      <c r="A911" s="90">
        <v>44697</v>
      </c>
      <c r="B911" s="90" t="str">
        <f t="shared" si="128"/>
        <v>mai</v>
      </c>
      <c r="C911" s="90" t="str">
        <f t="shared" si="129"/>
        <v>2022</v>
      </c>
      <c r="D911" s="90" t="str">
        <f t="shared" si="130"/>
        <v>mai2022</v>
      </c>
      <c r="E911" s="91" t="s">
        <v>874</v>
      </c>
      <c r="F911" s="91">
        <v>300</v>
      </c>
      <c r="G911" s="94">
        <f t="shared" si="131"/>
        <v>0.3</v>
      </c>
      <c r="H911" s="92" t="s">
        <v>46</v>
      </c>
      <c r="I911" s="96">
        <f t="shared" si="126"/>
        <v>0.3</v>
      </c>
      <c r="J911" s="96">
        <f t="shared" si="127"/>
        <v>0.7</v>
      </c>
      <c r="K911" s="92">
        <f>VLOOKUP(H911,'Taux émission CO2e'!$A$5:$D$16,4,FALSE)</f>
        <v>0.16</v>
      </c>
      <c r="L911" s="93">
        <f t="shared" si="132"/>
        <v>5.4804383999999997</v>
      </c>
      <c r="M911" s="92">
        <f>VLOOKUP(H911,'Taux émission CO2e'!$A$20:$D$31,4,FALSE)</f>
        <v>6.7400000000000002E-2</v>
      </c>
      <c r="N911" s="105">
        <f t="shared" si="133"/>
        <v>5.386814244</v>
      </c>
      <c r="O911" s="93">
        <f t="shared" si="134"/>
        <v>10.867252644000001</v>
      </c>
      <c r="P911" s="92">
        <v>240</v>
      </c>
      <c r="Q911" s="92" t="s">
        <v>91</v>
      </c>
      <c r="R911" s="92" t="s">
        <v>55</v>
      </c>
      <c r="S911" s="20">
        <v>380.58600000000001</v>
      </c>
    </row>
    <row r="912" spans="1:19" x14ac:dyDescent="0.15">
      <c r="A912" s="90">
        <v>44697</v>
      </c>
      <c r="B912" s="90" t="str">
        <f t="shared" si="128"/>
        <v>mai</v>
      </c>
      <c r="C912" s="90" t="str">
        <f t="shared" si="129"/>
        <v>2022</v>
      </c>
      <c r="D912" s="90" t="str">
        <f t="shared" si="130"/>
        <v>mai2022</v>
      </c>
      <c r="E912" s="91" t="s">
        <v>875</v>
      </c>
      <c r="F912" s="91">
        <v>450</v>
      </c>
      <c r="G912" s="94">
        <f t="shared" si="131"/>
        <v>0.45</v>
      </c>
      <c r="H912" s="92" t="s">
        <v>45</v>
      </c>
      <c r="I912" s="96">
        <f t="shared" si="126"/>
        <v>0.3</v>
      </c>
      <c r="J912" s="96">
        <f t="shared" si="127"/>
        <v>0.7</v>
      </c>
      <c r="K912" s="92">
        <f>VLOOKUP(H912,'Taux émission CO2e'!$A$5:$D$16,4,FALSE)</f>
        <v>0.16</v>
      </c>
      <c r="L912" s="93">
        <f t="shared" si="132"/>
        <v>11.155838400000002</v>
      </c>
      <c r="M912" s="92">
        <f>VLOOKUP(H912,'Taux émission CO2e'!$A$20:$D$31,4,FALSE)</f>
        <v>6.7400000000000002E-2</v>
      </c>
      <c r="N912" s="105">
        <f t="shared" si="133"/>
        <v>10.965259494000001</v>
      </c>
      <c r="O912" s="93">
        <f t="shared" si="134"/>
        <v>22.121097894000002</v>
      </c>
      <c r="P912" s="92">
        <v>320</v>
      </c>
      <c r="Q912" s="92" t="s">
        <v>52</v>
      </c>
      <c r="R912" s="92" t="s">
        <v>55</v>
      </c>
      <c r="S912" s="20">
        <v>516.47400000000005</v>
      </c>
    </row>
    <row r="913" spans="1:19" x14ac:dyDescent="0.15">
      <c r="A913" s="90">
        <v>44698</v>
      </c>
      <c r="B913" s="90" t="str">
        <f t="shared" si="128"/>
        <v>mai</v>
      </c>
      <c r="C913" s="90" t="str">
        <f t="shared" si="129"/>
        <v>2022</v>
      </c>
      <c r="D913" s="90" t="str">
        <f t="shared" si="130"/>
        <v>mai2022</v>
      </c>
      <c r="E913" s="91" t="s">
        <v>876</v>
      </c>
      <c r="F913" s="91">
        <v>140</v>
      </c>
      <c r="G913" s="94">
        <f t="shared" si="131"/>
        <v>0.14000000000000001</v>
      </c>
      <c r="H913" s="92" t="s">
        <v>38</v>
      </c>
      <c r="I913" s="96">
        <f t="shared" si="126"/>
        <v>1</v>
      </c>
      <c r="J913" s="96">
        <f t="shared" si="127"/>
        <v>0</v>
      </c>
      <c r="K913" s="92">
        <f>VLOOKUP(H913,'Taux émission CO2e'!$A$5:$D$16,4,FALSE)</f>
        <v>0.24099999999999999</v>
      </c>
      <c r="L913" s="93">
        <f t="shared" si="132"/>
        <v>1.1500616399999999</v>
      </c>
      <c r="M913" s="92">
        <f>VLOOKUP(H913,'Taux émission CO2e'!$A$20:$D$31,4,FALSE)</f>
        <v>0</v>
      </c>
      <c r="N913" s="105">
        <f t="shared" si="133"/>
        <v>0</v>
      </c>
      <c r="O913" s="93">
        <f t="shared" si="134"/>
        <v>1.1500616399999999</v>
      </c>
      <c r="P913" s="92">
        <v>80</v>
      </c>
      <c r="Q913" s="92" t="s">
        <v>58</v>
      </c>
      <c r="R913" s="92" t="s">
        <v>98</v>
      </c>
      <c r="S913" s="20">
        <v>34.085999999999999</v>
      </c>
    </row>
    <row r="914" spans="1:19" x14ac:dyDescent="0.15">
      <c r="A914" s="90">
        <v>44698</v>
      </c>
      <c r="B914" s="90" t="str">
        <f t="shared" si="128"/>
        <v>mai</v>
      </c>
      <c r="C914" s="90" t="str">
        <f t="shared" si="129"/>
        <v>2022</v>
      </c>
      <c r="D914" s="90" t="str">
        <f t="shared" si="130"/>
        <v>mai2022</v>
      </c>
      <c r="E914" s="91" t="s">
        <v>877</v>
      </c>
      <c r="F914" s="91">
        <v>750</v>
      </c>
      <c r="G914" s="94">
        <f t="shared" si="131"/>
        <v>0.75</v>
      </c>
      <c r="H914" s="92" t="s">
        <v>45</v>
      </c>
      <c r="I914" s="96">
        <f t="shared" si="126"/>
        <v>0.3</v>
      </c>
      <c r="J914" s="96">
        <f t="shared" si="127"/>
        <v>0.7</v>
      </c>
      <c r="K914" s="92">
        <f>VLOOKUP(H914,'Taux émission CO2e'!$A$5:$D$16,4,FALSE)</f>
        <v>0.16</v>
      </c>
      <c r="L914" s="93">
        <f t="shared" si="132"/>
        <v>1.8809640000000003</v>
      </c>
      <c r="M914" s="92">
        <f>VLOOKUP(H914,'Taux émission CO2e'!$A$20:$D$31,4,FALSE)</f>
        <v>6.7400000000000002E-2</v>
      </c>
      <c r="N914" s="105">
        <f t="shared" si="133"/>
        <v>1.848830865</v>
      </c>
      <c r="O914" s="93">
        <f t="shared" si="134"/>
        <v>3.7297948650000006</v>
      </c>
      <c r="P914" s="92">
        <v>150</v>
      </c>
      <c r="Q914" s="92" t="s">
        <v>153</v>
      </c>
      <c r="R914" s="92" t="s">
        <v>55</v>
      </c>
      <c r="S914" s="20">
        <v>52.249000000000002</v>
      </c>
    </row>
    <row r="915" spans="1:19" x14ac:dyDescent="0.15">
      <c r="A915" s="90">
        <v>44698</v>
      </c>
      <c r="B915" s="90" t="str">
        <f t="shared" si="128"/>
        <v>mai</v>
      </c>
      <c r="C915" s="90" t="str">
        <f t="shared" si="129"/>
        <v>2022</v>
      </c>
      <c r="D915" s="90" t="str">
        <f t="shared" si="130"/>
        <v>mai2022</v>
      </c>
      <c r="E915" s="91" t="s">
        <v>878</v>
      </c>
      <c r="F915" s="91">
        <v>227</v>
      </c>
      <c r="G915" s="94">
        <f t="shared" si="131"/>
        <v>0.22700000000000001</v>
      </c>
      <c r="H915" s="92" t="s">
        <v>46</v>
      </c>
      <c r="I915" s="96">
        <f t="shared" si="126"/>
        <v>0.3</v>
      </c>
      <c r="J915" s="96">
        <f t="shared" si="127"/>
        <v>0.7</v>
      </c>
      <c r="K915" s="92">
        <f>VLOOKUP(H915,'Taux émission CO2e'!$A$5:$D$16,4,FALSE)</f>
        <v>0.16</v>
      </c>
      <c r="L915" s="93">
        <f t="shared" si="132"/>
        <v>9.124452048000002</v>
      </c>
      <c r="M915" s="92">
        <f>VLOOKUP(H915,'Taux émission CO2e'!$A$20:$D$31,4,FALSE)</f>
        <v>6.7400000000000002E-2</v>
      </c>
      <c r="N915" s="105">
        <f t="shared" si="133"/>
        <v>8.9685759921799999</v>
      </c>
      <c r="O915" s="93">
        <f t="shared" si="134"/>
        <v>18.093028040180002</v>
      </c>
      <c r="P915" s="92">
        <v>180</v>
      </c>
      <c r="Q915" s="92" t="s">
        <v>58</v>
      </c>
      <c r="R915" s="92" t="s">
        <v>61</v>
      </c>
      <c r="S915" s="20">
        <v>837.41300000000001</v>
      </c>
    </row>
    <row r="916" spans="1:19" x14ac:dyDescent="0.15">
      <c r="A916" s="90">
        <v>44698</v>
      </c>
      <c r="B916" s="90" t="str">
        <f t="shared" si="128"/>
        <v>mai</v>
      </c>
      <c r="C916" s="90" t="str">
        <f t="shared" si="129"/>
        <v>2022</v>
      </c>
      <c r="D916" s="90" t="str">
        <f t="shared" si="130"/>
        <v>mai2022</v>
      </c>
      <c r="E916" s="91" t="s">
        <v>879</v>
      </c>
      <c r="F916" s="91">
        <v>318</v>
      </c>
      <c r="G916" s="94">
        <f t="shared" si="131"/>
        <v>0.318</v>
      </c>
      <c r="H916" s="92" t="s">
        <v>46</v>
      </c>
      <c r="I916" s="96">
        <f t="shared" si="126"/>
        <v>0.3</v>
      </c>
      <c r="J916" s="96">
        <f t="shared" si="127"/>
        <v>0.7</v>
      </c>
      <c r="K916" s="92">
        <f>VLOOKUP(H916,'Taux émission CO2e'!$A$5:$D$16,4,FALSE)</f>
        <v>0.16</v>
      </c>
      <c r="L916" s="93">
        <f t="shared" si="132"/>
        <v>2.6520589440000002</v>
      </c>
      <c r="M916" s="92">
        <f>VLOOKUP(H916,'Taux émission CO2e'!$A$20:$D$31,4,FALSE)</f>
        <v>6.7400000000000002E-2</v>
      </c>
      <c r="N916" s="105">
        <f t="shared" si="133"/>
        <v>2.60675293704</v>
      </c>
      <c r="O916" s="93">
        <f t="shared" si="134"/>
        <v>5.2588118810399997</v>
      </c>
      <c r="P916" s="92">
        <v>250</v>
      </c>
      <c r="Q916" s="92" t="s">
        <v>58</v>
      </c>
      <c r="R916" s="92" t="s">
        <v>485</v>
      </c>
      <c r="S916" s="20">
        <v>173.74600000000001</v>
      </c>
    </row>
    <row r="917" spans="1:19" x14ac:dyDescent="0.15">
      <c r="A917" s="90">
        <v>44698</v>
      </c>
      <c r="B917" s="90" t="str">
        <f t="shared" si="128"/>
        <v>mai</v>
      </c>
      <c r="C917" s="90" t="str">
        <f t="shared" si="129"/>
        <v>2022</v>
      </c>
      <c r="D917" s="90" t="str">
        <f t="shared" si="130"/>
        <v>mai2022</v>
      </c>
      <c r="E917" s="91" t="s">
        <v>880</v>
      </c>
      <c r="F917" s="91">
        <v>500</v>
      </c>
      <c r="G917" s="94">
        <f t="shared" si="131"/>
        <v>0.5</v>
      </c>
      <c r="H917" s="92" t="s">
        <v>46</v>
      </c>
      <c r="I917" s="96">
        <f t="shared" si="126"/>
        <v>0.3</v>
      </c>
      <c r="J917" s="96">
        <f t="shared" si="127"/>
        <v>0.7</v>
      </c>
      <c r="K917" s="92">
        <f>VLOOKUP(H917,'Taux émission CO2e'!$A$5:$D$16,4,FALSE)</f>
        <v>0.16</v>
      </c>
      <c r="L917" s="93">
        <f t="shared" si="132"/>
        <v>8.6427840000000007</v>
      </c>
      <c r="M917" s="92">
        <f>VLOOKUP(H917,'Taux émission CO2e'!$A$20:$D$31,4,FALSE)</f>
        <v>6.7400000000000002E-2</v>
      </c>
      <c r="N917" s="105">
        <f t="shared" si="133"/>
        <v>8.4951364399999996</v>
      </c>
      <c r="O917" s="93">
        <f t="shared" si="134"/>
        <v>17.137920440000002</v>
      </c>
      <c r="P917" s="92">
        <v>365</v>
      </c>
      <c r="Q917" s="92" t="s">
        <v>58</v>
      </c>
      <c r="R917" s="92" t="s">
        <v>881</v>
      </c>
      <c r="S917" s="20">
        <v>360.11599999999999</v>
      </c>
    </row>
    <row r="918" spans="1:19" x14ac:dyDescent="0.15">
      <c r="A918" s="90">
        <v>44699</v>
      </c>
      <c r="B918" s="90" t="str">
        <f t="shared" si="128"/>
        <v>mai</v>
      </c>
      <c r="C918" s="90" t="str">
        <f t="shared" si="129"/>
        <v>2022</v>
      </c>
      <c r="D918" s="90" t="str">
        <f t="shared" si="130"/>
        <v>mai2022</v>
      </c>
      <c r="E918" s="91" t="s">
        <v>882</v>
      </c>
      <c r="F918" s="91">
        <v>150</v>
      </c>
      <c r="G918" s="94">
        <f t="shared" si="131"/>
        <v>0.15</v>
      </c>
      <c r="H918" s="92" t="s">
        <v>45</v>
      </c>
      <c r="I918" s="96">
        <f t="shared" si="126"/>
        <v>0.3</v>
      </c>
      <c r="J918" s="96">
        <f t="shared" si="127"/>
        <v>0.7</v>
      </c>
      <c r="K918" s="92">
        <f>VLOOKUP(H918,'Taux émission CO2e'!$A$5:$D$16,4,FALSE)</f>
        <v>0.16</v>
      </c>
      <c r="L918" s="93">
        <f t="shared" si="132"/>
        <v>1.3450607999999999</v>
      </c>
      <c r="M918" s="92">
        <f>VLOOKUP(H918,'Taux émission CO2e'!$A$20:$D$31,4,FALSE)</f>
        <v>6.7400000000000002E-2</v>
      </c>
      <c r="N918" s="105">
        <f t="shared" si="133"/>
        <v>1.3220826779999999</v>
      </c>
      <c r="O918" s="93">
        <f t="shared" si="134"/>
        <v>2.6671434779999998</v>
      </c>
      <c r="P918" s="92">
        <v>140</v>
      </c>
      <c r="Q918" s="92" t="s">
        <v>688</v>
      </c>
      <c r="R918" s="92" t="s">
        <v>55</v>
      </c>
      <c r="S918" s="20">
        <v>186.81399999999999</v>
      </c>
    </row>
    <row r="919" spans="1:19" x14ac:dyDescent="0.15">
      <c r="A919" s="90">
        <v>44699</v>
      </c>
      <c r="B919" s="90" t="str">
        <f t="shared" si="128"/>
        <v>mai</v>
      </c>
      <c r="C919" s="90" t="str">
        <f t="shared" si="129"/>
        <v>2022</v>
      </c>
      <c r="D919" s="90" t="str">
        <f t="shared" si="130"/>
        <v>mai2022</v>
      </c>
      <c r="E919" s="91" t="s">
        <v>883</v>
      </c>
      <c r="F919" s="91">
        <v>150</v>
      </c>
      <c r="G919" s="94">
        <f t="shared" si="131"/>
        <v>0.15</v>
      </c>
      <c r="H919" s="92" t="s">
        <v>45</v>
      </c>
      <c r="I919" s="96">
        <f t="shared" si="126"/>
        <v>0.3</v>
      </c>
      <c r="J919" s="96">
        <f t="shared" si="127"/>
        <v>0.7</v>
      </c>
      <c r="K919" s="92">
        <f>VLOOKUP(H919,'Taux émission CO2e'!$A$5:$D$16,4,FALSE)</f>
        <v>0.16</v>
      </c>
      <c r="L919" s="93">
        <f t="shared" si="132"/>
        <v>2.0026439999999996</v>
      </c>
      <c r="M919" s="92">
        <f>VLOOKUP(H919,'Taux émission CO2e'!$A$20:$D$31,4,FALSE)</f>
        <v>6.7400000000000002E-2</v>
      </c>
      <c r="N919" s="105">
        <f t="shared" si="133"/>
        <v>1.9684321649999998</v>
      </c>
      <c r="O919" s="93">
        <f t="shared" si="134"/>
        <v>3.9710761649999995</v>
      </c>
      <c r="P919" s="92">
        <v>158</v>
      </c>
      <c r="Q919" s="92" t="s">
        <v>74</v>
      </c>
      <c r="R919" s="92" t="s">
        <v>55</v>
      </c>
      <c r="S919" s="20">
        <v>278.14499999999998</v>
      </c>
    </row>
    <row r="920" spans="1:19" x14ac:dyDescent="0.15">
      <c r="A920" s="90">
        <v>44699</v>
      </c>
      <c r="B920" s="90" t="str">
        <f t="shared" si="128"/>
        <v>mai</v>
      </c>
      <c r="C920" s="90" t="str">
        <f t="shared" si="129"/>
        <v>2022</v>
      </c>
      <c r="D920" s="90" t="str">
        <f t="shared" si="130"/>
        <v>mai2022</v>
      </c>
      <c r="E920" s="91" t="s">
        <v>884</v>
      </c>
      <c r="F920" s="91">
        <v>450</v>
      </c>
      <c r="G920" s="94">
        <f t="shared" si="131"/>
        <v>0.45</v>
      </c>
      <c r="H920" s="92" t="s">
        <v>45</v>
      </c>
      <c r="I920" s="96">
        <f t="shared" si="126"/>
        <v>0.3</v>
      </c>
      <c r="J920" s="96">
        <f t="shared" si="127"/>
        <v>0.7</v>
      </c>
      <c r="K920" s="92">
        <f>VLOOKUP(H920,'Taux émission CO2e'!$A$5:$D$16,4,FALSE)</f>
        <v>0.16</v>
      </c>
      <c r="L920" s="93">
        <f t="shared" si="132"/>
        <v>1.0071432</v>
      </c>
      <c r="M920" s="92">
        <f>VLOOKUP(H920,'Taux émission CO2e'!$A$20:$D$31,4,FALSE)</f>
        <v>6.7400000000000002E-2</v>
      </c>
      <c r="N920" s="105">
        <f t="shared" si="133"/>
        <v>0.98993783700000004</v>
      </c>
      <c r="O920" s="93">
        <f t="shared" si="134"/>
        <v>1.9970810370000001</v>
      </c>
      <c r="P920" s="92">
        <v>160</v>
      </c>
      <c r="Q920" s="92" t="s">
        <v>58</v>
      </c>
      <c r="R920" s="92" t="s">
        <v>421</v>
      </c>
      <c r="S920" s="20">
        <v>46.627000000000002</v>
      </c>
    </row>
    <row r="921" spans="1:19" x14ac:dyDescent="0.15">
      <c r="A921" s="90">
        <v>44700</v>
      </c>
      <c r="B921" s="90" t="str">
        <f t="shared" si="128"/>
        <v>mai</v>
      </c>
      <c r="C921" s="90" t="str">
        <f t="shared" si="129"/>
        <v>2022</v>
      </c>
      <c r="D921" s="90" t="str">
        <f t="shared" si="130"/>
        <v>mai2022</v>
      </c>
      <c r="E921" s="91" t="s">
        <v>885</v>
      </c>
      <c r="F921" s="91">
        <v>104</v>
      </c>
      <c r="G921" s="94">
        <f t="shared" si="131"/>
        <v>0.104</v>
      </c>
      <c r="H921" s="92" t="s">
        <v>45</v>
      </c>
      <c r="I921" s="96">
        <f t="shared" si="126"/>
        <v>0.3</v>
      </c>
      <c r="J921" s="96">
        <f t="shared" si="127"/>
        <v>0.7</v>
      </c>
      <c r="K921" s="92">
        <f>VLOOKUP(H921,'Taux émission CO2e'!$A$5:$D$16,4,FALSE)</f>
        <v>0.16</v>
      </c>
      <c r="L921" s="93">
        <f t="shared" si="132"/>
        <v>0.27647692800000001</v>
      </c>
      <c r="M921" s="92">
        <f>VLOOKUP(H921,'Taux émission CO2e'!$A$20:$D$31,4,FALSE)</f>
        <v>6.7400000000000002E-2</v>
      </c>
      <c r="N921" s="105">
        <f t="shared" si="133"/>
        <v>0.27175378047999998</v>
      </c>
      <c r="O921" s="93">
        <f t="shared" si="134"/>
        <v>0.54823070848</v>
      </c>
      <c r="P921" s="92">
        <v>80</v>
      </c>
      <c r="Q921" s="92" t="s">
        <v>58</v>
      </c>
      <c r="R921" s="92" t="s">
        <v>769</v>
      </c>
      <c r="S921" s="20">
        <v>55.384</v>
      </c>
    </row>
    <row r="922" spans="1:19" x14ac:dyDescent="0.15">
      <c r="A922" s="90">
        <v>44700</v>
      </c>
      <c r="B922" s="90" t="str">
        <f t="shared" si="128"/>
        <v>mai</v>
      </c>
      <c r="C922" s="90" t="str">
        <f t="shared" si="129"/>
        <v>2022</v>
      </c>
      <c r="D922" s="90" t="str">
        <f t="shared" si="130"/>
        <v>mai2022</v>
      </c>
      <c r="E922" s="91" t="s">
        <v>886</v>
      </c>
      <c r="F922" s="91">
        <v>139</v>
      </c>
      <c r="G922" s="94">
        <f t="shared" si="131"/>
        <v>0.13900000000000001</v>
      </c>
      <c r="H922" s="92" t="s">
        <v>38</v>
      </c>
      <c r="I922" s="96">
        <f t="shared" si="126"/>
        <v>1</v>
      </c>
      <c r="J922" s="96">
        <f t="shared" si="127"/>
        <v>0</v>
      </c>
      <c r="K922" s="92">
        <f>VLOOKUP(H922,'Taux émission CO2e'!$A$5:$D$16,4,FALSE)</f>
        <v>0.24099999999999999</v>
      </c>
      <c r="L922" s="93">
        <f t="shared" si="132"/>
        <v>1.141846914</v>
      </c>
      <c r="M922" s="92">
        <f>VLOOKUP(H922,'Taux émission CO2e'!$A$20:$D$31,4,FALSE)</f>
        <v>0</v>
      </c>
      <c r="N922" s="105">
        <f t="shared" si="133"/>
        <v>0</v>
      </c>
      <c r="O922" s="93">
        <f t="shared" si="134"/>
        <v>1.141846914</v>
      </c>
      <c r="P922" s="92">
        <v>80</v>
      </c>
      <c r="Q922" s="92" t="s">
        <v>58</v>
      </c>
      <c r="R922" s="92" t="s">
        <v>98</v>
      </c>
      <c r="S922" s="20">
        <v>34.085999999999999</v>
      </c>
    </row>
    <row r="923" spans="1:19" x14ac:dyDescent="0.15">
      <c r="A923" s="90">
        <v>44700</v>
      </c>
      <c r="B923" s="90" t="str">
        <f t="shared" si="128"/>
        <v>mai</v>
      </c>
      <c r="C923" s="90" t="str">
        <f t="shared" si="129"/>
        <v>2022</v>
      </c>
      <c r="D923" s="90" t="str">
        <f t="shared" si="130"/>
        <v>mai2022</v>
      </c>
      <c r="E923" s="91" t="s">
        <v>887</v>
      </c>
      <c r="F923" s="91">
        <v>56</v>
      </c>
      <c r="G923" s="94">
        <f t="shared" si="131"/>
        <v>5.6000000000000001E-2</v>
      </c>
      <c r="H923" s="92" t="s">
        <v>46</v>
      </c>
      <c r="I923" s="96">
        <f t="shared" si="126"/>
        <v>0.3</v>
      </c>
      <c r="J923" s="96">
        <f t="shared" si="127"/>
        <v>0.7</v>
      </c>
      <c r="K923" s="92">
        <f>VLOOKUP(H923,'Taux émission CO2e'!$A$5:$D$16,4,FALSE)</f>
        <v>0.16</v>
      </c>
      <c r="L923" s="93">
        <f t="shared" si="132"/>
        <v>1.4488696320000001</v>
      </c>
      <c r="M923" s="92">
        <f>VLOOKUP(H923,'Taux émission CO2e'!$A$20:$D$31,4,FALSE)</f>
        <v>6.7400000000000002E-2</v>
      </c>
      <c r="N923" s="105">
        <f t="shared" si="133"/>
        <v>1.4241181091200001</v>
      </c>
      <c r="O923" s="93">
        <f t="shared" si="134"/>
        <v>2.8729877411200002</v>
      </c>
      <c r="P923" s="92">
        <v>133</v>
      </c>
      <c r="Q923" s="92" t="s">
        <v>58</v>
      </c>
      <c r="R923" s="92" t="s">
        <v>405</v>
      </c>
      <c r="S923" s="20">
        <v>539.01400000000001</v>
      </c>
    </row>
    <row r="924" spans="1:19" x14ac:dyDescent="0.15">
      <c r="A924" s="90">
        <v>44700</v>
      </c>
      <c r="B924" s="90" t="str">
        <f t="shared" si="128"/>
        <v>mai</v>
      </c>
      <c r="C924" s="90" t="str">
        <f t="shared" si="129"/>
        <v>2022</v>
      </c>
      <c r="D924" s="90" t="str">
        <f t="shared" si="130"/>
        <v>mai2022</v>
      </c>
      <c r="E924" s="91" t="s">
        <v>888</v>
      </c>
      <c r="F924" s="91">
        <v>139</v>
      </c>
      <c r="G924" s="94">
        <f t="shared" si="131"/>
        <v>0.13900000000000001</v>
      </c>
      <c r="H924" s="92" t="s">
        <v>46</v>
      </c>
      <c r="I924" s="96">
        <f t="shared" si="126"/>
        <v>0.3</v>
      </c>
      <c r="J924" s="96">
        <f t="shared" si="127"/>
        <v>0.7</v>
      </c>
      <c r="K924" s="92">
        <f>VLOOKUP(H924,'Taux émission CO2e'!$A$5:$D$16,4,FALSE)</f>
        <v>0.16</v>
      </c>
      <c r="L924" s="93">
        <f t="shared" si="132"/>
        <v>2.9707213440000007</v>
      </c>
      <c r="M924" s="92">
        <f>VLOOKUP(H924,'Taux émission CO2e'!$A$20:$D$31,4,FALSE)</f>
        <v>6.7400000000000002E-2</v>
      </c>
      <c r="N924" s="105">
        <f t="shared" si="133"/>
        <v>2.9199715210400004</v>
      </c>
      <c r="O924" s="93">
        <f t="shared" si="134"/>
        <v>5.890692865040001</v>
      </c>
      <c r="P924" s="92">
        <v>145</v>
      </c>
      <c r="Q924" s="92" t="s">
        <v>58</v>
      </c>
      <c r="R924" s="92" t="s">
        <v>640</v>
      </c>
      <c r="S924" s="20">
        <v>445.25200000000001</v>
      </c>
    </row>
    <row r="925" spans="1:19" x14ac:dyDescent="0.15">
      <c r="A925" s="90">
        <v>44700</v>
      </c>
      <c r="B925" s="90" t="str">
        <f t="shared" si="128"/>
        <v>mai</v>
      </c>
      <c r="C925" s="90" t="str">
        <f t="shared" si="129"/>
        <v>2022</v>
      </c>
      <c r="D925" s="90" t="str">
        <f t="shared" si="130"/>
        <v>mai2022</v>
      </c>
      <c r="E925" s="91" t="s">
        <v>889</v>
      </c>
      <c r="F925" s="91">
        <v>150</v>
      </c>
      <c r="G925" s="94">
        <f t="shared" si="131"/>
        <v>0.15</v>
      </c>
      <c r="H925" s="92" t="s">
        <v>45</v>
      </c>
      <c r="I925" s="96">
        <f t="shared" si="126"/>
        <v>0.3</v>
      </c>
      <c r="J925" s="96">
        <f t="shared" si="127"/>
        <v>0.7</v>
      </c>
      <c r="K925" s="92">
        <f>VLOOKUP(H925,'Taux émission CO2e'!$A$5:$D$16,4,FALSE)</f>
        <v>0.16</v>
      </c>
      <c r="L925" s="93">
        <f t="shared" si="132"/>
        <v>1.8138168000000001</v>
      </c>
      <c r="M925" s="92">
        <f>VLOOKUP(H925,'Taux émission CO2e'!$A$20:$D$31,4,FALSE)</f>
        <v>6.7400000000000002E-2</v>
      </c>
      <c r="N925" s="105">
        <f t="shared" si="133"/>
        <v>1.782830763</v>
      </c>
      <c r="O925" s="93">
        <f t="shared" si="134"/>
        <v>3.5966475630000003</v>
      </c>
      <c r="P925" s="92">
        <v>158</v>
      </c>
      <c r="Q925" s="92" t="s">
        <v>92</v>
      </c>
      <c r="R925" s="92" t="s">
        <v>55</v>
      </c>
      <c r="S925" s="20">
        <v>251.91900000000001</v>
      </c>
    </row>
    <row r="926" spans="1:19" x14ac:dyDescent="0.15">
      <c r="A926" s="90">
        <v>44700</v>
      </c>
      <c r="B926" s="90" t="str">
        <f t="shared" si="128"/>
        <v>mai</v>
      </c>
      <c r="C926" s="90" t="str">
        <f t="shared" si="129"/>
        <v>2022</v>
      </c>
      <c r="D926" s="90" t="str">
        <f t="shared" si="130"/>
        <v>mai2022</v>
      </c>
      <c r="E926" s="91" t="s">
        <v>890</v>
      </c>
      <c r="F926" s="91">
        <v>300</v>
      </c>
      <c r="G926" s="94">
        <f t="shared" si="131"/>
        <v>0.3</v>
      </c>
      <c r="H926" s="92" t="s">
        <v>45</v>
      </c>
      <c r="I926" s="96">
        <f t="shared" si="126"/>
        <v>0.3</v>
      </c>
      <c r="J926" s="96">
        <f t="shared" si="127"/>
        <v>0.7</v>
      </c>
      <c r="K926" s="92">
        <f>VLOOKUP(H926,'Taux émission CO2e'!$A$5:$D$16,4,FALSE)</f>
        <v>0.16</v>
      </c>
      <c r="L926" s="93">
        <f t="shared" si="132"/>
        <v>7.7429951999999993</v>
      </c>
      <c r="M926" s="92">
        <f>VLOOKUP(H926,'Taux émission CO2e'!$A$20:$D$31,4,FALSE)</f>
        <v>6.7400000000000002E-2</v>
      </c>
      <c r="N926" s="105">
        <f t="shared" si="133"/>
        <v>7.6107190319999996</v>
      </c>
      <c r="O926" s="93">
        <f t="shared" si="134"/>
        <v>15.353714231999998</v>
      </c>
      <c r="P926" s="92">
        <v>195</v>
      </c>
      <c r="Q926" s="92" t="s">
        <v>612</v>
      </c>
      <c r="R926" s="92" t="s">
        <v>55</v>
      </c>
      <c r="S926" s="20">
        <v>537.70799999999997</v>
      </c>
    </row>
    <row r="927" spans="1:19" x14ac:dyDescent="0.15">
      <c r="A927" s="90">
        <v>44700</v>
      </c>
      <c r="B927" s="90" t="str">
        <f t="shared" si="128"/>
        <v>mai</v>
      </c>
      <c r="C927" s="90" t="str">
        <f t="shared" si="129"/>
        <v>2022</v>
      </c>
      <c r="D927" s="90" t="str">
        <f t="shared" si="130"/>
        <v>mai2022</v>
      </c>
      <c r="E927" s="91" t="s">
        <v>891</v>
      </c>
      <c r="F927" s="91">
        <v>150</v>
      </c>
      <c r="G927" s="94">
        <f t="shared" si="131"/>
        <v>0.15</v>
      </c>
      <c r="H927" s="92" t="s">
        <v>46</v>
      </c>
      <c r="I927" s="96">
        <f t="shared" si="126"/>
        <v>0.3</v>
      </c>
      <c r="J927" s="96">
        <f t="shared" si="127"/>
        <v>0.7</v>
      </c>
      <c r="K927" s="92">
        <f>VLOOKUP(H927,'Taux émission CO2e'!$A$5:$D$16,4,FALSE)</f>
        <v>0.16</v>
      </c>
      <c r="L927" s="93">
        <f t="shared" si="132"/>
        <v>3.8989871999999997</v>
      </c>
      <c r="M927" s="92">
        <f>VLOOKUP(H927,'Taux émission CO2e'!$A$20:$D$31,4,FALSE)</f>
        <v>6.7400000000000002E-2</v>
      </c>
      <c r="N927" s="105">
        <f t="shared" si="133"/>
        <v>3.8323795019999998</v>
      </c>
      <c r="O927" s="93">
        <f t="shared" si="134"/>
        <v>7.731366701999999</v>
      </c>
      <c r="P927" s="92">
        <v>239</v>
      </c>
      <c r="Q927" s="92" t="s">
        <v>62</v>
      </c>
      <c r="R927" s="92" t="s">
        <v>55</v>
      </c>
      <c r="S927" s="20">
        <v>541.52599999999995</v>
      </c>
    </row>
    <row r="928" spans="1:19" x14ac:dyDescent="0.15">
      <c r="A928" s="90">
        <v>44700</v>
      </c>
      <c r="B928" s="90" t="str">
        <f t="shared" si="128"/>
        <v>mai</v>
      </c>
      <c r="C928" s="90" t="str">
        <f t="shared" si="129"/>
        <v>2022</v>
      </c>
      <c r="D928" s="90" t="str">
        <f t="shared" si="130"/>
        <v>mai2022</v>
      </c>
      <c r="E928" s="91" t="s">
        <v>892</v>
      </c>
      <c r="F928" s="91">
        <v>450</v>
      </c>
      <c r="G928" s="94">
        <f t="shared" si="131"/>
        <v>0.45</v>
      </c>
      <c r="H928" s="92" t="s">
        <v>45</v>
      </c>
      <c r="I928" s="96">
        <f t="shared" si="126"/>
        <v>0.3</v>
      </c>
      <c r="J928" s="96">
        <f t="shared" si="127"/>
        <v>0.7</v>
      </c>
      <c r="K928" s="92">
        <f>VLOOKUP(H928,'Taux émission CO2e'!$A$5:$D$16,4,FALSE)</f>
        <v>0.16</v>
      </c>
      <c r="L928" s="93">
        <f t="shared" si="132"/>
        <v>5.4060047999999998</v>
      </c>
      <c r="M928" s="92">
        <f>VLOOKUP(H928,'Taux émission CO2e'!$A$20:$D$31,4,FALSE)</f>
        <v>6.7400000000000002E-2</v>
      </c>
      <c r="N928" s="105">
        <f t="shared" si="133"/>
        <v>5.3136522179999996</v>
      </c>
      <c r="O928" s="93">
        <f t="shared" si="134"/>
        <v>10.719657017999999</v>
      </c>
      <c r="P928" s="92">
        <v>245</v>
      </c>
      <c r="Q928" s="92" t="s">
        <v>89</v>
      </c>
      <c r="R928" s="92" t="s">
        <v>55</v>
      </c>
      <c r="S928" s="20">
        <v>250.27799999999999</v>
      </c>
    </row>
    <row r="929" spans="1:19" x14ac:dyDescent="0.15">
      <c r="A929" s="90">
        <v>44700</v>
      </c>
      <c r="B929" s="90" t="str">
        <f t="shared" si="128"/>
        <v>mai</v>
      </c>
      <c r="C929" s="90" t="str">
        <f t="shared" si="129"/>
        <v>2022</v>
      </c>
      <c r="D929" s="90" t="str">
        <f t="shared" si="130"/>
        <v>mai2022</v>
      </c>
      <c r="E929" s="91" t="s">
        <v>893</v>
      </c>
      <c r="F929" s="91">
        <v>450</v>
      </c>
      <c r="G929" s="94">
        <f t="shared" si="131"/>
        <v>0.45</v>
      </c>
      <c r="H929" s="92" t="s">
        <v>46</v>
      </c>
      <c r="I929" s="96">
        <f t="shared" si="126"/>
        <v>0.3</v>
      </c>
      <c r="J929" s="96">
        <f t="shared" si="127"/>
        <v>0.7</v>
      </c>
      <c r="K929" s="92">
        <f>VLOOKUP(H929,'Taux émission CO2e'!$A$5:$D$16,4,FALSE)</f>
        <v>0.16</v>
      </c>
      <c r="L929" s="93">
        <f t="shared" si="132"/>
        <v>5.5492775999999999</v>
      </c>
      <c r="M929" s="92">
        <f>VLOOKUP(H929,'Taux émission CO2e'!$A$20:$D$31,4,FALSE)</f>
        <v>6.7400000000000002E-2</v>
      </c>
      <c r="N929" s="105">
        <f t="shared" si="133"/>
        <v>5.4544774409999999</v>
      </c>
      <c r="O929" s="93">
        <f t="shared" si="134"/>
        <v>11.003755041</v>
      </c>
      <c r="P929" s="92">
        <v>270</v>
      </c>
      <c r="Q929" s="92" t="s">
        <v>58</v>
      </c>
      <c r="R929" s="92" t="s">
        <v>60</v>
      </c>
      <c r="S929" s="20">
        <v>256.911</v>
      </c>
    </row>
    <row r="930" spans="1:19" x14ac:dyDescent="0.15">
      <c r="A930" s="90">
        <v>44700</v>
      </c>
      <c r="B930" s="90" t="str">
        <f t="shared" si="128"/>
        <v>mai</v>
      </c>
      <c r="C930" s="90" t="str">
        <f t="shared" si="129"/>
        <v>2022</v>
      </c>
      <c r="D930" s="90" t="str">
        <f t="shared" si="130"/>
        <v>mai2022</v>
      </c>
      <c r="E930" s="91" t="s">
        <v>894</v>
      </c>
      <c r="F930" s="91">
        <v>450</v>
      </c>
      <c r="G930" s="94">
        <f t="shared" si="131"/>
        <v>0.45</v>
      </c>
      <c r="H930" s="92" t="s">
        <v>46</v>
      </c>
      <c r="I930" s="96">
        <f t="shared" si="126"/>
        <v>0.3</v>
      </c>
      <c r="J930" s="96">
        <f t="shared" si="127"/>
        <v>0.7</v>
      </c>
      <c r="K930" s="92">
        <f>VLOOKUP(H930,'Taux émission CO2e'!$A$5:$D$16,4,FALSE)</f>
        <v>0.16</v>
      </c>
      <c r="L930" s="93">
        <f t="shared" si="132"/>
        <v>9.9037512000000003</v>
      </c>
      <c r="M930" s="92">
        <f>VLOOKUP(H930,'Taux émission CO2e'!$A$20:$D$31,4,FALSE)</f>
        <v>6.7400000000000002E-2</v>
      </c>
      <c r="N930" s="105">
        <f t="shared" si="133"/>
        <v>9.7345621169999994</v>
      </c>
      <c r="O930" s="93">
        <f t="shared" si="134"/>
        <v>19.638313316999998</v>
      </c>
      <c r="P930" s="92">
        <v>280</v>
      </c>
      <c r="Q930" s="92" t="s">
        <v>58</v>
      </c>
      <c r="R930" s="92" t="s">
        <v>427</v>
      </c>
      <c r="S930" s="20">
        <v>458.50700000000001</v>
      </c>
    </row>
    <row r="931" spans="1:19" x14ac:dyDescent="0.15">
      <c r="A931" s="90">
        <v>44701</v>
      </c>
      <c r="B931" s="90" t="str">
        <f t="shared" si="128"/>
        <v>mai</v>
      </c>
      <c r="C931" s="90" t="str">
        <f t="shared" si="129"/>
        <v>2022</v>
      </c>
      <c r="D931" s="90" t="str">
        <f t="shared" si="130"/>
        <v>mai2022</v>
      </c>
      <c r="E931" s="91" t="s">
        <v>895</v>
      </c>
      <c r="F931" s="91">
        <v>104</v>
      </c>
      <c r="G931" s="94">
        <f t="shared" si="131"/>
        <v>0.104</v>
      </c>
      <c r="H931" s="92" t="s">
        <v>46</v>
      </c>
      <c r="I931" s="96">
        <f t="shared" si="126"/>
        <v>0.3</v>
      </c>
      <c r="J931" s="96">
        <f t="shared" si="127"/>
        <v>0.7</v>
      </c>
      <c r="K931" s="92">
        <f>VLOOKUP(H931,'Taux émission CO2e'!$A$5:$D$16,4,FALSE)</f>
        <v>0.16</v>
      </c>
      <c r="L931" s="93">
        <f t="shared" si="132"/>
        <v>1.2508903680000001</v>
      </c>
      <c r="M931" s="92">
        <f>VLOOKUP(H931,'Taux émission CO2e'!$A$20:$D$31,4,FALSE)</f>
        <v>6.7400000000000002E-2</v>
      </c>
      <c r="N931" s="105">
        <f t="shared" si="133"/>
        <v>1.22952099088</v>
      </c>
      <c r="O931" s="93">
        <f t="shared" si="134"/>
        <v>2.4804113588800001</v>
      </c>
      <c r="P931" s="92">
        <v>100</v>
      </c>
      <c r="Q931" s="92" t="s">
        <v>58</v>
      </c>
      <c r="R931" s="92" t="s">
        <v>79</v>
      </c>
      <c r="S931" s="20">
        <v>250.57900000000001</v>
      </c>
    </row>
    <row r="932" spans="1:19" x14ac:dyDescent="0.15">
      <c r="A932" s="90">
        <v>44701</v>
      </c>
      <c r="B932" s="90" t="str">
        <f t="shared" si="128"/>
        <v>mai</v>
      </c>
      <c r="C932" s="90" t="str">
        <f t="shared" si="129"/>
        <v>2022</v>
      </c>
      <c r="D932" s="90" t="str">
        <f t="shared" si="130"/>
        <v>mai2022</v>
      </c>
      <c r="E932" s="91" t="s">
        <v>896</v>
      </c>
      <c r="F932" s="91">
        <v>174</v>
      </c>
      <c r="G932" s="94">
        <f t="shared" si="131"/>
        <v>0.17399999999999999</v>
      </c>
      <c r="H932" s="92" t="s">
        <v>46</v>
      </c>
      <c r="I932" s="96">
        <f t="shared" si="126"/>
        <v>0.3</v>
      </c>
      <c r="J932" s="96">
        <f t="shared" si="127"/>
        <v>0.7</v>
      </c>
      <c r="K932" s="92">
        <f>VLOOKUP(H932,'Taux émission CO2e'!$A$5:$D$16,4,FALSE)</f>
        <v>0.16</v>
      </c>
      <c r="L932" s="93">
        <f t="shared" si="132"/>
        <v>2.2178318400000001</v>
      </c>
      <c r="M932" s="92">
        <f>VLOOKUP(H932,'Taux émission CO2e'!$A$20:$D$31,4,FALSE)</f>
        <v>6.7400000000000002E-2</v>
      </c>
      <c r="N932" s="105">
        <f t="shared" si="133"/>
        <v>2.1799438794000001</v>
      </c>
      <c r="O932" s="93">
        <f t="shared" si="134"/>
        <v>4.3977757194000002</v>
      </c>
      <c r="P932" s="92">
        <v>100</v>
      </c>
      <c r="Q932" s="92" t="s">
        <v>58</v>
      </c>
      <c r="R932" s="92" t="s">
        <v>71</v>
      </c>
      <c r="S932" s="20">
        <v>265.54500000000002</v>
      </c>
    </row>
    <row r="933" spans="1:19" x14ac:dyDescent="0.15">
      <c r="A933" s="90">
        <v>44701</v>
      </c>
      <c r="B933" s="90" t="str">
        <f t="shared" si="128"/>
        <v>mai</v>
      </c>
      <c r="C933" s="90" t="str">
        <f t="shared" si="129"/>
        <v>2022</v>
      </c>
      <c r="D933" s="90" t="str">
        <f t="shared" si="130"/>
        <v>mai2022</v>
      </c>
      <c r="E933" s="91" t="s">
        <v>897</v>
      </c>
      <c r="F933" s="91">
        <v>150</v>
      </c>
      <c r="G933" s="94">
        <f t="shared" si="131"/>
        <v>0.15</v>
      </c>
      <c r="H933" s="92" t="s">
        <v>46</v>
      </c>
      <c r="I933" s="96">
        <f t="shared" si="126"/>
        <v>0.3</v>
      </c>
      <c r="J933" s="96">
        <f t="shared" si="127"/>
        <v>0.7</v>
      </c>
      <c r="K933" s="92">
        <f>VLOOKUP(H933,'Taux émission CO2e'!$A$5:$D$16,4,FALSE)</f>
        <v>0.16</v>
      </c>
      <c r="L933" s="93">
        <f t="shared" si="132"/>
        <v>4.1551992000000002</v>
      </c>
      <c r="M933" s="92">
        <f>VLOOKUP(H933,'Taux émission CO2e'!$A$20:$D$31,4,FALSE)</f>
        <v>6.7400000000000002E-2</v>
      </c>
      <c r="N933" s="105">
        <f t="shared" si="133"/>
        <v>4.0842145470000002</v>
      </c>
      <c r="O933" s="93">
        <f t="shared" si="134"/>
        <v>8.2394137470000004</v>
      </c>
      <c r="P933" s="92">
        <v>195</v>
      </c>
      <c r="Q933" s="92" t="s">
        <v>898</v>
      </c>
      <c r="R933" s="92" t="s">
        <v>55</v>
      </c>
      <c r="S933" s="20">
        <v>577.11099999999999</v>
      </c>
    </row>
    <row r="934" spans="1:19" x14ac:dyDescent="0.15">
      <c r="A934" s="90">
        <v>44701</v>
      </c>
      <c r="B934" s="90" t="str">
        <f t="shared" si="128"/>
        <v>mai</v>
      </c>
      <c r="C934" s="90" t="str">
        <f t="shared" si="129"/>
        <v>2022</v>
      </c>
      <c r="D934" s="90" t="str">
        <f t="shared" si="130"/>
        <v>mai2022</v>
      </c>
      <c r="E934" s="91" t="s">
        <v>899</v>
      </c>
      <c r="F934" s="91">
        <v>300</v>
      </c>
      <c r="G934" s="94">
        <f t="shared" si="131"/>
        <v>0.3</v>
      </c>
      <c r="H934" s="92" t="s">
        <v>46</v>
      </c>
      <c r="I934" s="96">
        <f t="shared" si="126"/>
        <v>0.3</v>
      </c>
      <c r="J934" s="96">
        <f t="shared" si="127"/>
        <v>0.7</v>
      </c>
      <c r="K934" s="92">
        <f>VLOOKUP(H934,'Taux émission CO2e'!$A$5:$D$16,4,FALSE)</f>
        <v>0.16</v>
      </c>
      <c r="L934" s="93">
        <f t="shared" si="132"/>
        <v>2.4943679999999997</v>
      </c>
      <c r="M934" s="92">
        <f>VLOOKUP(H934,'Taux émission CO2e'!$A$20:$D$31,4,FALSE)</f>
        <v>6.7400000000000002E-2</v>
      </c>
      <c r="N934" s="105">
        <f t="shared" si="133"/>
        <v>2.4517558799999999</v>
      </c>
      <c r="O934" s="93">
        <f t="shared" si="134"/>
        <v>4.94612388</v>
      </c>
      <c r="P934" s="92">
        <v>200</v>
      </c>
      <c r="Q934" s="92" t="s">
        <v>708</v>
      </c>
      <c r="R934" s="92" t="s">
        <v>55</v>
      </c>
      <c r="S934" s="20">
        <v>173.22</v>
      </c>
    </row>
    <row r="935" spans="1:19" x14ac:dyDescent="0.15">
      <c r="A935" s="90">
        <v>44701</v>
      </c>
      <c r="B935" s="90" t="str">
        <f t="shared" si="128"/>
        <v>mai</v>
      </c>
      <c r="C935" s="90" t="str">
        <f t="shared" si="129"/>
        <v>2022</v>
      </c>
      <c r="D935" s="90" t="str">
        <f t="shared" si="130"/>
        <v>mai2022</v>
      </c>
      <c r="E935" s="91" t="s">
        <v>900</v>
      </c>
      <c r="F935" s="91">
        <v>400</v>
      </c>
      <c r="G935" s="94">
        <f t="shared" si="131"/>
        <v>0.4</v>
      </c>
      <c r="H935" s="92" t="s">
        <v>45</v>
      </c>
      <c r="I935" s="96">
        <f t="shared" si="126"/>
        <v>0.3</v>
      </c>
      <c r="J935" s="96">
        <f t="shared" si="127"/>
        <v>0.7</v>
      </c>
      <c r="K935" s="92">
        <f>VLOOKUP(H935,'Taux émission CO2e'!$A$5:$D$16,4,FALSE)</f>
        <v>0.16</v>
      </c>
      <c r="L935" s="93">
        <f t="shared" si="132"/>
        <v>5.347142400000001</v>
      </c>
      <c r="M935" s="92">
        <f>VLOOKUP(H935,'Taux émission CO2e'!$A$20:$D$31,4,FALSE)</f>
        <v>6.7400000000000002E-2</v>
      </c>
      <c r="N935" s="105">
        <f t="shared" si="133"/>
        <v>5.2557953839999998</v>
      </c>
      <c r="O935" s="93">
        <f t="shared" si="134"/>
        <v>10.602937784000002</v>
      </c>
      <c r="P935" s="92">
        <v>200</v>
      </c>
      <c r="Q935" s="92" t="s">
        <v>90</v>
      </c>
      <c r="R935" s="92" t="s">
        <v>55</v>
      </c>
      <c r="S935" s="20">
        <v>278.49700000000001</v>
      </c>
    </row>
    <row r="936" spans="1:19" x14ac:dyDescent="0.15">
      <c r="A936" s="90">
        <v>44701</v>
      </c>
      <c r="B936" s="90" t="str">
        <f t="shared" si="128"/>
        <v>mai</v>
      </c>
      <c r="C936" s="90" t="str">
        <f t="shared" si="129"/>
        <v>2022</v>
      </c>
      <c r="D936" s="90" t="str">
        <f t="shared" si="130"/>
        <v>mai2022</v>
      </c>
      <c r="E936" s="91" t="s">
        <v>901</v>
      </c>
      <c r="F936" s="91">
        <v>522</v>
      </c>
      <c r="G936" s="94">
        <f t="shared" si="131"/>
        <v>0.52200000000000002</v>
      </c>
      <c r="H936" s="92" t="s">
        <v>45</v>
      </c>
      <c r="I936" s="96">
        <f t="shared" si="126"/>
        <v>0.3</v>
      </c>
      <c r="J936" s="96">
        <f t="shared" si="127"/>
        <v>0.7</v>
      </c>
      <c r="K936" s="92">
        <f>VLOOKUP(H936,'Taux émission CO2e'!$A$5:$D$16,4,FALSE)</f>
        <v>0.16</v>
      </c>
      <c r="L936" s="93">
        <f t="shared" si="132"/>
        <v>1.1682861120000001</v>
      </c>
      <c r="M936" s="92">
        <f>VLOOKUP(H936,'Taux émission CO2e'!$A$20:$D$31,4,FALSE)</f>
        <v>6.7400000000000002E-2</v>
      </c>
      <c r="N936" s="105">
        <f t="shared" si="133"/>
        <v>1.1483278909200001</v>
      </c>
      <c r="O936" s="93">
        <f t="shared" si="134"/>
        <v>2.3166140029200002</v>
      </c>
      <c r="P936" s="92">
        <v>202.5</v>
      </c>
      <c r="Q936" s="92" t="s">
        <v>58</v>
      </c>
      <c r="R936" s="92" t="s">
        <v>421</v>
      </c>
      <c r="S936" s="20">
        <v>46.627000000000002</v>
      </c>
    </row>
    <row r="937" spans="1:19" x14ac:dyDescent="0.15">
      <c r="A937" s="90">
        <v>44701</v>
      </c>
      <c r="B937" s="90" t="str">
        <f t="shared" si="128"/>
        <v>mai</v>
      </c>
      <c r="C937" s="90" t="str">
        <f t="shared" si="129"/>
        <v>2022</v>
      </c>
      <c r="D937" s="90" t="str">
        <f t="shared" si="130"/>
        <v>mai2022</v>
      </c>
      <c r="E937" s="91" t="s">
        <v>902</v>
      </c>
      <c r="F937" s="91">
        <v>300</v>
      </c>
      <c r="G937" s="94">
        <f t="shared" si="131"/>
        <v>0.3</v>
      </c>
      <c r="H937" s="92" t="s">
        <v>46</v>
      </c>
      <c r="I937" s="96">
        <f t="shared" si="126"/>
        <v>0.3</v>
      </c>
      <c r="J937" s="96">
        <f t="shared" si="127"/>
        <v>0.7</v>
      </c>
      <c r="K937" s="92">
        <f>VLOOKUP(H937,'Taux émission CO2e'!$A$5:$D$16,4,FALSE)</f>
        <v>0.16</v>
      </c>
      <c r="L937" s="93">
        <f t="shared" si="132"/>
        <v>10.657411199999999</v>
      </c>
      <c r="M937" s="92">
        <f>VLOOKUP(H937,'Taux émission CO2e'!$A$20:$D$31,4,FALSE)</f>
        <v>6.7400000000000002E-2</v>
      </c>
      <c r="N937" s="105">
        <f t="shared" si="133"/>
        <v>10.475347092</v>
      </c>
      <c r="O937" s="93">
        <f t="shared" si="134"/>
        <v>21.132758291999998</v>
      </c>
      <c r="P937" s="92">
        <v>235</v>
      </c>
      <c r="Q937" s="92" t="s">
        <v>473</v>
      </c>
      <c r="R937" s="92" t="s">
        <v>55</v>
      </c>
      <c r="S937" s="20">
        <v>740.09799999999996</v>
      </c>
    </row>
    <row r="938" spans="1:19" x14ac:dyDescent="0.15">
      <c r="A938" s="90">
        <v>44701</v>
      </c>
      <c r="B938" s="90" t="str">
        <f t="shared" si="128"/>
        <v>mai</v>
      </c>
      <c r="C938" s="90" t="str">
        <f t="shared" si="129"/>
        <v>2022</v>
      </c>
      <c r="D938" s="90" t="str">
        <f t="shared" si="130"/>
        <v>mai2022</v>
      </c>
      <c r="E938" s="91" t="s">
        <v>903</v>
      </c>
      <c r="F938" s="91">
        <v>345</v>
      </c>
      <c r="G938" s="94">
        <f t="shared" si="131"/>
        <v>0.34499999999999997</v>
      </c>
      <c r="H938" s="92" t="s">
        <v>46</v>
      </c>
      <c r="I938" s="96">
        <f t="shared" si="126"/>
        <v>0.3</v>
      </c>
      <c r="J938" s="96">
        <f t="shared" si="127"/>
        <v>0.7</v>
      </c>
      <c r="K938" s="92">
        <f>VLOOKUP(H938,'Taux émission CO2e'!$A$5:$D$16,4,FALSE)</f>
        <v>0.16</v>
      </c>
      <c r="L938" s="93">
        <f t="shared" si="132"/>
        <v>12.2617692</v>
      </c>
      <c r="M938" s="92">
        <f>VLOOKUP(H938,'Taux émission CO2e'!$A$20:$D$31,4,FALSE)</f>
        <v>6.7400000000000002E-2</v>
      </c>
      <c r="N938" s="105">
        <f t="shared" si="133"/>
        <v>12.0522973095</v>
      </c>
      <c r="O938" s="93">
        <f t="shared" si="134"/>
        <v>24.314066509500002</v>
      </c>
      <c r="P938" s="92">
        <v>585</v>
      </c>
      <c r="Q938" s="92" t="s">
        <v>58</v>
      </c>
      <c r="R938" s="92" t="s">
        <v>59</v>
      </c>
      <c r="S938" s="20">
        <v>740.44500000000005</v>
      </c>
    </row>
    <row r="939" spans="1:19" x14ac:dyDescent="0.15">
      <c r="A939" s="90">
        <v>44704</v>
      </c>
      <c r="B939" s="90" t="str">
        <f t="shared" si="128"/>
        <v>mai</v>
      </c>
      <c r="C939" s="90" t="str">
        <f t="shared" si="129"/>
        <v>2022</v>
      </c>
      <c r="D939" s="90" t="str">
        <f t="shared" si="130"/>
        <v>mai2022</v>
      </c>
      <c r="E939" s="91" t="s">
        <v>904</v>
      </c>
      <c r="F939" s="91">
        <v>300</v>
      </c>
      <c r="G939" s="94">
        <f t="shared" si="131"/>
        <v>0.3</v>
      </c>
      <c r="H939" s="92" t="s">
        <v>38</v>
      </c>
      <c r="I939" s="96">
        <f t="shared" si="126"/>
        <v>1</v>
      </c>
      <c r="J939" s="96">
        <f t="shared" si="127"/>
        <v>0</v>
      </c>
      <c r="K939" s="92">
        <f>VLOOKUP(H939,'Taux émission CO2e'!$A$5:$D$16,4,FALSE)</f>
        <v>0.24099999999999999</v>
      </c>
      <c r="L939" s="93">
        <f t="shared" si="132"/>
        <v>2.4575492999999997</v>
      </c>
      <c r="M939" s="92">
        <f>VLOOKUP(H939,'Taux émission CO2e'!$A$20:$D$31,4,FALSE)</f>
        <v>0</v>
      </c>
      <c r="N939" s="105">
        <f t="shared" si="133"/>
        <v>0</v>
      </c>
      <c r="O939" s="93">
        <f t="shared" si="134"/>
        <v>2.4575492999999997</v>
      </c>
      <c r="P939" s="92">
        <v>100</v>
      </c>
      <c r="Q939" s="92" t="s">
        <v>67</v>
      </c>
      <c r="R939" s="92" t="s">
        <v>55</v>
      </c>
      <c r="S939" s="20">
        <v>33.991</v>
      </c>
    </row>
    <row r="940" spans="1:19" x14ac:dyDescent="0.15">
      <c r="A940" s="90">
        <v>44704</v>
      </c>
      <c r="B940" s="90" t="str">
        <f t="shared" si="128"/>
        <v>mai</v>
      </c>
      <c r="C940" s="90" t="str">
        <f t="shared" si="129"/>
        <v>2022</v>
      </c>
      <c r="D940" s="90" t="str">
        <f t="shared" si="130"/>
        <v>mai2022</v>
      </c>
      <c r="E940" s="91" t="s">
        <v>905</v>
      </c>
      <c r="F940" s="91">
        <v>150</v>
      </c>
      <c r="G940" s="94">
        <f t="shared" si="131"/>
        <v>0.15</v>
      </c>
      <c r="H940" s="92" t="s">
        <v>46</v>
      </c>
      <c r="I940" s="96">
        <f t="shared" si="126"/>
        <v>0.3</v>
      </c>
      <c r="J940" s="96">
        <f t="shared" si="127"/>
        <v>0.7</v>
      </c>
      <c r="K940" s="92">
        <f>VLOOKUP(H940,'Taux émission CO2e'!$A$5:$D$16,4,FALSE)</f>
        <v>0.16</v>
      </c>
      <c r="L940" s="93">
        <f t="shared" si="132"/>
        <v>2.7402191999999999</v>
      </c>
      <c r="M940" s="92">
        <f>VLOOKUP(H940,'Taux émission CO2e'!$A$20:$D$31,4,FALSE)</f>
        <v>6.7400000000000002E-2</v>
      </c>
      <c r="N940" s="105">
        <f t="shared" si="133"/>
        <v>2.693407122</v>
      </c>
      <c r="O940" s="93">
        <f t="shared" si="134"/>
        <v>5.4336263220000003</v>
      </c>
      <c r="P940" s="92">
        <v>300</v>
      </c>
      <c r="Q940" s="92" t="s">
        <v>91</v>
      </c>
      <c r="R940" s="92" t="s">
        <v>55</v>
      </c>
      <c r="S940" s="20">
        <v>380.58600000000001</v>
      </c>
    </row>
    <row r="941" spans="1:19" x14ac:dyDescent="0.15">
      <c r="A941" s="90">
        <v>44704</v>
      </c>
      <c r="B941" s="90" t="str">
        <f t="shared" si="128"/>
        <v>mai</v>
      </c>
      <c r="C941" s="90" t="str">
        <f t="shared" si="129"/>
        <v>2022</v>
      </c>
      <c r="D941" s="90" t="str">
        <f t="shared" si="130"/>
        <v>mai2022</v>
      </c>
      <c r="E941" s="91" t="s">
        <v>906</v>
      </c>
      <c r="F941" s="91">
        <v>450</v>
      </c>
      <c r="G941" s="94">
        <f t="shared" si="131"/>
        <v>0.45</v>
      </c>
      <c r="H941" s="92" t="s">
        <v>45</v>
      </c>
      <c r="I941" s="96">
        <f t="shared" si="126"/>
        <v>0.3</v>
      </c>
      <c r="J941" s="96">
        <f t="shared" si="127"/>
        <v>0.7</v>
      </c>
      <c r="K941" s="92">
        <f>VLOOKUP(H941,'Taux émission CO2e'!$A$5:$D$16,4,FALSE)</f>
        <v>0.16</v>
      </c>
      <c r="L941" s="93">
        <f t="shared" si="132"/>
        <v>11.155838400000002</v>
      </c>
      <c r="M941" s="92">
        <f>VLOOKUP(H941,'Taux émission CO2e'!$A$20:$D$31,4,FALSE)</f>
        <v>6.7400000000000002E-2</v>
      </c>
      <c r="N941" s="105">
        <f t="shared" si="133"/>
        <v>10.965259494000001</v>
      </c>
      <c r="O941" s="93">
        <f t="shared" si="134"/>
        <v>22.121097894000002</v>
      </c>
      <c r="P941" s="92">
        <v>390</v>
      </c>
      <c r="Q941" s="92" t="s">
        <v>52</v>
      </c>
      <c r="R941" s="92" t="s">
        <v>55</v>
      </c>
      <c r="S941" s="20">
        <v>516.47400000000005</v>
      </c>
    </row>
    <row r="942" spans="1:19" x14ac:dyDescent="0.15">
      <c r="A942" s="90">
        <v>44705</v>
      </c>
      <c r="B942" s="90" t="str">
        <f t="shared" si="128"/>
        <v>mai</v>
      </c>
      <c r="C942" s="90" t="str">
        <f t="shared" si="129"/>
        <v>2022</v>
      </c>
      <c r="D942" s="90" t="str">
        <f t="shared" si="130"/>
        <v>mai2022</v>
      </c>
      <c r="E942" s="91" t="s">
        <v>907</v>
      </c>
      <c r="F942" s="91">
        <v>212</v>
      </c>
      <c r="G942" s="94">
        <f t="shared" si="131"/>
        <v>0.21199999999999999</v>
      </c>
      <c r="H942" s="92" t="s">
        <v>46</v>
      </c>
      <c r="I942" s="96">
        <f t="shared" si="126"/>
        <v>0.3</v>
      </c>
      <c r="J942" s="96">
        <f t="shared" si="127"/>
        <v>0.7</v>
      </c>
      <c r="K942" s="92">
        <f>VLOOKUP(H942,'Taux émission CO2e'!$A$5:$D$16,4,FALSE)</f>
        <v>0.16</v>
      </c>
      <c r="L942" s="93">
        <f t="shared" si="132"/>
        <v>8.5215146879999999</v>
      </c>
      <c r="M942" s="92">
        <f>VLOOKUP(H942,'Taux émission CO2e'!$A$20:$D$31,4,FALSE)</f>
        <v>6.7400000000000002E-2</v>
      </c>
      <c r="N942" s="105">
        <f t="shared" si="133"/>
        <v>8.3759388120799994</v>
      </c>
      <c r="O942" s="93">
        <f t="shared" si="134"/>
        <v>16.897453500079997</v>
      </c>
      <c r="P942" s="92">
        <v>210</v>
      </c>
      <c r="Q942" s="92" t="s">
        <v>58</v>
      </c>
      <c r="R942" s="92" t="s">
        <v>61</v>
      </c>
      <c r="S942" s="20">
        <v>837.41300000000001</v>
      </c>
    </row>
    <row r="943" spans="1:19" x14ac:dyDescent="0.15">
      <c r="A943" s="90">
        <v>44705</v>
      </c>
      <c r="B943" s="90" t="str">
        <f t="shared" si="128"/>
        <v>mai</v>
      </c>
      <c r="C943" s="90" t="str">
        <f t="shared" si="129"/>
        <v>2022</v>
      </c>
      <c r="D943" s="90" t="str">
        <f t="shared" si="130"/>
        <v>mai2022</v>
      </c>
      <c r="E943" s="91" t="s">
        <v>908</v>
      </c>
      <c r="F943" s="91">
        <v>150</v>
      </c>
      <c r="G943" s="94">
        <f t="shared" si="131"/>
        <v>0.15</v>
      </c>
      <c r="H943" s="92" t="s">
        <v>46</v>
      </c>
      <c r="I943" s="96">
        <f t="shared" si="126"/>
        <v>0.3</v>
      </c>
      <c r="J943" s="96">
        <f t="shared" si="127"/>
        <v>0.7</v>
      </c>
      <c r="K943" s="92">
        <f>VLOOKUP(H943,'Taux émission CO2e'!$A$5:$D$16,4,FALSE)</f>
        <v>0.16</v>
      </c>
      <c r="L943" s="93">
        <f t="shared" si="132"/>
        <v>5.1263063999999998</v>
      </c>
      <c r="M943" s="92">
        <f>VLOOKUP(H943,'Taux émission CO2e'!$A$20:$D$31,4,FALSE)</f>
        <v>6.7400000000000002E-2</v>
      </c>
      <c r="N943" s="105">
        <f t="shared" si="133"/>
        <v>5.0387319989999995</v>
      </c>
      <c r="O943" s="93">
        <f t="shared" si="134"/>
        <v>10.165038399</v>
      </c>
      <c r="P943" s="92">
        <v>220</v>
      </c>
      <c r="Q943" s="92" t="s">
        <v>766</v>
      </c>
      <c r="R943" s="92" t="s">
        <v>55</v>
      </c>
      <c r="S943" s="20">
        <v>711.98699999999997</v>
      </c>
    </row>
    <row r="944" spans="1:19" x14ac:dyDescent="0.15">
      <c r="A944" s="90">
        <v>44705</v>
      </c>
      <c r="B944" s="90" t="str">
        <f t="shared" si="128"/>
        <v>mai</v>
      </c>
      <c r="C944" s="90" t="str">
        <f t="shared" si="129"/>
        <v>2022</v>
      </c>
      <c r="D944" s="90" t="str">
        <f t="shared" si="130"/>
        <v>mai2022</v>
      </c>
      <c r="E944" s="91" t="s">
        <v>909</v>
      </c>
      <c r="F944" s="91">
        <v>100</v>
      </c>
      <c r="G944" s="94">
        <f t="shared" si="131"/>
        <v>0.1</v>
      </c>
      <c r="H944" s="92" t="s">
        <v>46</v>
      </c>
      <c r="I944" s="96">
        <f t="shared" si="126"/>
        <v>0.3</v>
      </c>
      <c r="J944" s="96">
        <f t="shared" si="127"/>
        <v>0.7</v>
      </c>
      <c r="K944" s="92">
        <f>VLOOKUP(H944,'Taux émission CO2e'!$A$5:$D$16,4,FALSE)</f>
        <v>0.16</v>
      </c>
      <c r="L944" s="93">
        <f t="shared" si="132"/>
        <v>2.1891216000000004</v>
      </c>
      <c r="M944" s="92">
        <f>VLOOKUP(H944,'Taux émission CO2e'!$A$20:$D$31,4,FALSE)</f>
        <v>6.7400000000000002E-2</v>
      </c>
      <c r="N944" s="105">
        <f t="shared" si="133"/>
        <v>2.1517241060000001</v>
      </c>
      <c r="O944" s="93">
        <f t="shared" si="134"/>
        <v>4.3408457060000005</v>
      </c>
      <c r="P944" s="92">
        <v>220</v>
      </c>
      <c r="Q944" s="92" t="s">
        <v>570</v>
      </c>
      <c r="R944" s="92" t="s">
        <v>55</v>
      </c>
      <c r="S944" s="20">
        <v>456.06700000000001</v>
      </c>
    </row>
    <row r="945" spans="1:19" x14ac:dyDescent="0.15">
      <c r="A945" s="90">
        <v>44705</v>
      </c>
      <c r="B945" s="90" t="str">
        <f t="shared" si="128"/>
        <v>mai</v>
      </c>
      <c r="C945" s="90" t="str">
        <f t="shared" si="129"/>
        <v>2022</v>
      </c>
      <c r="D945" s="90" t="str">
        <f t="shared" si="130"/>
        <v>mai2022</v>
      </c>
      <c r="E945" s="91" t="s">
        <v>910</v>
      </c>
      <c r="F945" s="91">
        <v>212</v>
      </c>
      <c r="G945" s="94">
        <f t="shared" si="131"/>
        <v>0.21199999999999999</v>
      </c>
      <c r="H945" s="92" t="s">
        <v>46</v>
      </c>
      <c r="I945" s="96">
        <f t="shared" si="126"/>
        <v>0.3</v>
      </c>
      <c r="J945" s="96">
        <f t="shared" si="127"/>
        <v>0.7</v>
      </c>
      <c r="K945" s="92">
        <f>VLOOKUP(H945,'Taux émission CO2e'!$A$5:$D$16,4,FALSE)</f>
        <v>0.16</v>
      </c>
      <c r="L945" s="93">
        <f t="shared" si="132"/>
        <v>5.2487604479999996</v>
      </c>
      <c r="M945" s="92">
        <f>VLOOKUP(H945,'Taux émission CO2e'!$A$20:$D$31,4,FALSE)</f>
        <v>6.7400000000000002E-2</v>
      </c>
      <c r="N945" s="105">
        <f t="shared" si="133"/>
        <v>5.1590941236800001</v>
      </c>
      <c r="O945" s="93">
        <f t="shared" si="134"/>
        <v>10.40785457168</v>
      </c>
      <c r="P945" s="92">
        <v>225</v>
      </c>
      <c r="Q945" s="92" t="s">
        <v>58</v>
      </c>
      <c r="R945" s="92" t="s">
        <v>57</v>
      </c>
      <c r="S945" s="20">
        <v>515.798</v>
      </c>
    </row>
    <row r="946" spans="1:19" x14ac:dyDescent="0.15">
      <c r="A946" s="90">
        <v>44705</v>
      </c>
      <c r="B946" s="90" t="str">
        <f t="shared" si="128"/>
        <v>mai</v>
      </c>
      <c r="C946" s="90" t="str">
        <f t="shared" si="129"/>
        <v>2022</v>
      </c>
      <c r="D946" s="90" t="str">
        <f t="shared" si="130"/>
        <v>mai2022</v>
      </c>
      <c r="E946" s="91" t="s">
        <v>911</v>
      </c>
      <c r="F946" s="91">
        <v>212</v>
      </c>
      <c r="G946" s="94">
        <f t="shared" si="131"/>
        <v>0.21199999999999999</v>
      </c>
      <c r="H946" s="92" t="s">
        <v>46</v>
      </c>
      <c r="I946" s="96">
        <f t="shared" si="126"/>
        <v>0.3</v>
      </c>
      <c r="J946" s="96">
        <f t="shared" si="127"/>
        <v>0.7</v>
      </c>
      <c r="K946" s="92">
        <f>VLOOKUP(H946,'Taux émission CO2e'!$A$5:$D$16,4,FALSE)</f>
        <v>0.16</v>
      </c>
      <c r="L946" s="93">
        <f t="shared" si="132"/>
        <v>3.6645404159999995</v>
      </c>
      <c r="M946" s="92">
        <f>VLOOKUP(H946,'Taux émission CO2e'!$A$20:$D$31,4,FALSE)</f>
        <v>6.7400000000000002E-2</v>
      </c>
      <c r="N946" s="105">
        <f t="shared" si="133"/>
        <v>3.6019378505599997</v>
      </c>
      <c r="O946" s="93">
        <f t="shared" si="134"/>
        <v>7.2664782665599992</v>
      </c>
      <c r="P946" s="92">
        <v>250</v>
      </c>
      <c r="Q946" s="92" t="s">
        <v>58</v>
      </c>
      <c r="R946" s="92" t="s">
        <v>881</v>
      </c>
      <c r="S946" s="20">
        <v>360.11599999999999</v>
      </c>
    </row>
    <row r="947" spans="1:19" x14ac:dyDescent="0.15">
      <c r="A947" s="90">
        <v>44706</v>
      </c>
      <c r="B947" s="90" t="str">
        <f t="shared" si="128"/>
        <v>mai</v>
      </c>
      <c r="C947" s="90" t="str">
        <f t="shared" si="129"/>
        <v>2022</v>
      </c>
      <c r="D947" s="90" t="str">
        <f t="shared" si="130"/>
        <v>mai2022</v>
      </c>
      <c r="E947" s="91" t="s">
        <v>912</v>
      </c>
      <c r="F947" s="91">
        <v>189</v>
      </c>
      <c r="G947" s="94">
        <f t="shared" si="131"/>
        <v>0.189</v>
      </c>
      <c r="H947" s="92" t="s">
        <v>46</v>
      </c>
      <c r="I947" s="96">
        <f t="shared" si="126"/>
        <v>0.3</v>
      </c>
      <c r="J947" s="96">
        <f t="shared" si="127"/>
        <v>0.7</v>
      </c>
      <c r="K947" s="92">
        <f>VLOOKUP(H947,'Taux émission CO2e'!$A$5:$D$16,4,FALSE)</f>
        <v>0.16</v>
      </c>
      <c r="L947" s="93">
        <f t="shared" si="132"/>
        <v>2.2732526879999999</v>
      </c>
      <c r="M947" s="92">
        <f>VLOOKUP(H947,'Taux émission CO2e'!$A$20:$D$31,4,FALSE)</f>
        <v>6.7400000000000002E-2</v>
      </c>
      <c r="N947" s="105">
        <f t="shared" si="133"/>
        <v>2.23441795458</v>
      </c>
      <c r="O947" s="93">
        <f t="shared" si="134"/>
        <v>4.5076706425799999</v>
      </c>
      <c r="P947" s="92">
        <v>100</v>
      </c>
      <c r="Q947" s="92" t="s">
        <v>58</v>
      </c>
      <c r="R947" s="92" t="s">
        <v>79</v>
      </c>
      <c r="S947" s="20">
        <v>250.57900000000001</v>
      </c>
    </row>
    <row r="948" spans="1:19" x14ac:dyDescent="0.15">
      <c r="A948" s="90">
        <v>44706</v>
      </c>
      <c r="B948" s="90" t="str">
        <f t="shared" si="128"/>
        <v>mai</v>
      </c>
      <c r="C948" s="90" t="str">
        <f t="shared" si="129"/>
        <v>2022</v>
      </c>
      <c r="D948" s="90" t="str">
        <f t="shared" si="130"/>
        <v>mai2022</v>
      </c>
      <c r="E948" s="91" t="s">
        <v>913</v>
      </c>
      <c r="F948" s="91">
        <v>150</v>
      </c>
      <c r="G948" s="94">
        <f t="shared" si="131"/>
        <v>0.15</v>
      </c>
      <c r="H948" s="92" t="s">
        <v>46</v>
      </c>
      <c r="I948" s="96">
        <f t="shared" si="126"/>
        <v>0.3</v>
      </c>
      <c r="J948" s="96">
        <f t="shared" si="127"/>
        <v>0.7</v>
      </c>
      <c r="K948" s="92">
        <f>VLOOKUP(H948,'Taux émission CO2e'!$A$5:$D$16,4,FALSE)</f>
        <v>0.16</v>
      </c>
      <c r="L948" s="93">
        <f t="shared" si="132"/>
        <v>3.8989871999999997</v>
      </c>
      <c r="M948" s="92">
        <f>VLOOKUP(H948,'Taux émission CO2e'!$A$20:$D$31,4,FALSE)</f>
        <v>6.7400000000000002E-2</v>
      </c>
      <c r="N948" s="105">
        <f t="shared" si="133"/>
        <v>3.8323795019999998</v>
      </c>
      <c r="O948" s="93">
        <f t="shared" si="134"/>
        <v>7.731366701999999</v>
      </c>
      <c r="P948" s="92">
        <v>156</v>
      </c>
      <c r="Q948" s="92" t="s">
        <v>62</v>
      </c>
      <c r="R948" s="92" t="s">
        <v>55</v>
      </c>
      <c r="S948" s="20">
        <v>541.52599999999995</v>
      </c>
    </row>
    <row r="949" spans="1:19" x14ac:dyDescent="0.15">
      <c r="A949" s="90">
        <v>44706</v>
      </c>
      <c r="B949" s="90" t="str">
        <f t="shared" si="128"/>
        <v>mai</v>
      </c>
      <c r="C949" s="90" t="str">
        <f t="shared" si="129"/>
        <v>2022</v>
      </c>
      <c r="D949" s="90" t="str">
        <f t="shared" si="130"/>
        <v>mai2022</v>
      </c>
      <c r="E949" s="91" t="s">
        <v>914</v>
      </c>
      <c r="F949" s="91">
        <v>150</v>
      </c>
      <c r="G949" s="94">
        <f t="shared" si="131"/>
        <v>0.15</v>
      </c>
      <c r="H949" s="92" t="s">
        <v>45</v>
      </c>
      <c r="I949" s="96">
        <f t="shared" si="126"/>
        <v>0.3</v>
      </c>
      <c r="J949" s="96">
        <f t="shared" si="127"/>
        <v>0.7</v>
      </c>
      <c r="K949" s="92">
        <f>VLOOKUP(H949,'Taux émission CO2e'!$A$5:$D$16,4,FALSE)</f>
        <v>0.16</v>
      </c>
      <c r="L949" s="93">
        <f t="shared" si="132"/>
        <v>2.0026439999999996</v>
      </c>
      <c r="M949" s="92">
        <f>VLOOKUP(H949,'Taux émission CO2e'!$A$20:$D$31,4,FALSE)</f>
        <v>6.7400000000000002E-2</v>
      </c>
      <c r="N949" s="105">
        <f t="shared" si="133"/>
        <v>1.9684321649999998</v>
      </c>
      <c r="O949" s="93">
        <f t="shared" si="134"/>
        <v>3.9710761649999995</v>
      </c>
      <c r="P949" s="92">
        <v>158</v>
      </c>
      <c r="Q949" s="92" t="s">
        <v>74</v>
      </c>
      <c r="R949" s="92" t="s">
        <v>55</v>
      </c>
      <c r="S949" s="20">
        <v>278.14499999999998</v>
      </c>
    </row>
    <row r="950" spans="1:19" x14ac:dyDescent="0.15">
      <c r="A950" s="90">
        <v>44706</v>
      </c>
      <c r="B950" s="90" t="str">
        <f t="shared" si="128"/>
        <v>mai</v>
      </c>
      <c r="C950" s="90" t="str">
        <f t="shared" si="129"/>
        <v>2022</v>
      </c>
      <c r="D950" s="90" t="str">
        <f t="shared" si="130"/>
        <v>mai2022</v>
      </c>
      <c r="E950" s="91" t="s">
        <v>915</v>
      </c>
      <c r="F950" s="91">
        <v>99</v>
      </c>
      <c r="G950" s="94">
        <f t="shared" si="131"/>
        <v>9.9000000000000005E-2</v>
      </c>
      <c r="H950" s="92" t="s">
        <v>46</v>
      </c>
      <c r="I950" s="96">
        <f t="shared" si="126"/>
        <v>0.3</v>
      </c>
      <c r="J950" s="96">
        <f t="shared" si="127"/>
        <v>0.7</v>
      </c>
      <c r="K950" s="92">
        <f>VLOOKUP(H950,'Taux émission CO2e'!$A$5:$D$16,4,FALSE)</f>
        <v>0.16</v>
      </c>
      <c r="L950" s="93">
        <f t="shared" si="132"/>
        <v>3.5185946400000003</v>
      </c>
      <c r="M950" s="92">
        <f>VLOOKUP(H950,'Taux émission CO2e'!$A$20:$D$31,4,FALSE)</f>
        <v>6.7400000000000002E-2</v>
      </c>
      <c r="N950" s="105">
        <f t="shared" si="133"/>
        <v>3.4584853149000003</v>
      </c>
      <c r="O950" s="93">
        <f t="shared" si="134"/>
        <v>6.9770799549000007</v>
      </c>
      <c r="P950" s="92">
        <v>159</v>
      </c>
      <c r="Q950" s="92" t="s">
        <v>58</v>
      </c>
      <c r="R950" s="92" t="s">
        <v>59</v>
      </c>
      <c r="S950" s="20">
        <v>740.44500000000005</v>
      </c>
    </row>
    <row r="951" spans="1:19" x14ac:dyDescent="0.15">
      <c r="A951" s="90">
        <v>44706</v>
      </c>
      <c r="B951" s="90" t="str">
        <f t="shared" si="128"/>
        <v>mai</v>
      </c>
      <c r="C951" s="90" t="str">
        <f t="shared" si="129"/>
        <v>2022</v>
      </c>
      <c r="D951" s="90" t="str">
        <f t="shared" si="130"/>
        <v>mai2022</v>
      </c>
      <c r="E951" s="91" t="s">
        <v>916</v>
      </c>
      <c r="F951" s="91">
        <v>300</v>
      </c>
      <c r="G951" s="94">
        <f t="shared" si="131"/>
        <v>0.3</v>
      </c>
      <c r="H951" s="92" t="s">
        <v>45</v>
      </c>
      <c r="I951" s="96">
        <f t="shared" si="126"/>
        <v>0.3</v>
      </c>
      <c r="J951" s="96">
        <f t="shared" si="127"/>
        <v>0.7</v>
      </c>
      <c r="K951" s="92">
        <f>VLOOKUP(H951,'Taux émission CO2e'!$A$5:$D$16,4,FALSE)</f>
        <v>0.16</v>
      </c>
      <c r="L951" s="93">
        <f t="shared" si="132"/>
        <v>3.8354832000000001</v>
      </c>
      <c r="M951" s="92">
        <f>VLOOKUP(H951,'Taux émission CO2e'!$A$20:$D$31,4,FALSE)</f>
        <v>6.7400000000000002E-2</v>
      </c>
      <c r="N951" s="105">
        <f t="shared" si="133"/>
        <v>3.769960362</v>
      </c>
      <c r="O951" s="93">
        <f t="shared" si="134"/>
        <v>7.6054435619999996</v>
      </c>
      <c r="P951" s="92">
        <v>260</v>
      </c>
      <c r="Q951" s="92" t="s">
        <v>77</v>
      </c>
      <c r="R951" s="92" t="s">
        <v>55</v>
      </c>
      <c r="S951" s="20">
        <v>266.35300000000001</v>
      </c>
    </row>
    <row r="952" spans="1:19" x14ac:dyDescent="0.15">
      <c r="A952" s="90">
        <v>44708</v>
      </c>
      <c r="B952" s="90" t="str">
        <f t="shared" si="128"/>
        <v>mai</v>
      </c>
      <c r="C952" s="90" t="str">
        <f t="shared" si="129"/>
        <v>2022</v>
      </c>
      <c r="D952" s="90" t="str">
        <f t="shared" si="130"/>
        <v>mai2022</v>
      </c>
      <c r="E952" s="91" t="s">
        <v>917</v>
      </c>
      <c r="F952" s="91">
        <v>106</v>
      </c>
      <c r="G952" s="94">
        <f t="shared" si="131"/>
        <v>0.106</v>
      </c>
      <c r="H952" s="92" t="s">
        <v>46</v>
      </c>
      <c r="I952" s="96">
        <f t="shared" si="126"/>
        <v>0.3</v>
      </c>
      <c r="J952" s="96">
        <f t="shared" si="127"/>
        <v>0.7</v>
      </c>
      <c r="K952" s="92">
        <f>VLOOKUP(H952,'Taux émission CO2e'!$A$5:$D$16,4,FALSE)</f>
        <v>0.16</v>
      </c>
      <c r="L952" s="93">
        <f t="shared" si="132"/>
        <v>0.88401964799999999</v>
      </c>
      <c r="M952" s="92">
        <f>VLOOKUP(H952,'Taux émission CO2e'!$A$20:$D$31,4,FALSE)</f>
        <v>6.7400000000000002E-2</v>
      </c>
      <c r="N952" s="105">
        <f t="shared" si="133"/>
        <v>0.86891764567999996</v>
      </c>
      <c r="O952" s="93">
        <f t="shared" si="134"/>
        <v>1.7529372936800001</v>
      </c>
      <c r="P952" s="92">
        <v>108</v>
      </c>
      <c r="Q952" s="92" t="s">
        <v>58</v>
      </c>
      <c r="R952" s="92" t="s">
        <v>485</v>
      </c>
      <c r="S952" s="20">
        <v>173.74600000000001</v>
      </c>
    </row>
    <row r="953" spans="1:19" x14ac:dyDescent="0.15">
      <c r="A953" s="90">
        <v>44708</v>
      </c>
      <c r="B953" s="90" t="str">
        <f t="shared" si="128"/>
        <v>mai</v>
      </c>
      <c r="C953" s="90" t="str">
        <f t="shared" si="129"/>
        <v>2022</v>
      </c>
      <c r="D953" s="90" t="str">
        <f t="shared" si="130"/>
        <v>mai2022</v>
      </c>
      <c r="E953" s="91" t="s">
        <v>918</v>
      </c>
      <c r="F953" s="91">
        <v>106</v>
      </c>
      <c r="G953" s="94">
        <f t="shared" si="131"/>
        <v>0.106</v>
      </c>
      <c r="H953" s="92" t="s">
        <v>46</v>
      </c>
      <c r="I953" s="96">
        <f t="shared" si="126"/>
        <v>0.3</v>
      </c>
      <c r="J953" s="96">
        <f t="shared" si="127"/>
        <v>0.7</v>
      </c>
      <c r="K953" s="92">
        <f>VLOOKUP(H953,'Taux émission CO2e'!$A$5:$D$16,4,FALSE)</f>
        <v>0.16</v>
      </c>
      <c r="L953" s="93">
        <f t="shared" si="132"/>
        <v>2.7425032319999998</v>
      </c>
      <c r="M953" s="92">
        <f>VLOOKUP(H953,'Taux émission CO2e'!$A$20:$D$31,4,FALSE)</f>
        <v>6.7400000000000002E-2</v>
      </c>
      <c r="N953" s="105">
        <f t="shared" si="133"/>
        <v>2.69565213512</v>
      </c>
      <c r="O953" s="93">
        <f t="shared" si="134"/>
        <v>5.4381553671200002</v>
      </c>
      <c r="P953" s="92">
        <v>133</v>
      </c>
      <c r="Q953" s="92" t="s">
        <v>58</v>
      </c>
      <c r="R953" s="92" t="s">
        <v>405</v>
      </c>
      <c r="S953" s="20">
        <v>539.01400000000001</v>
      </c>
    </row>
    <row r="954" spans="1:19" x14ac:dyDescent="0.15">
      <c r="A954" s="90">
        <v>44708</v>
      </c>
      <c r="B954" s="90" t="str">
        <f t="shared" si="128"/>
        <v>mai</v>
      </c>
      <c r="C954" s="90" t="str">
        <f t="shared" si="129"/>
        <v>2022</v>
      </c>
      <c r="D954" s="90" t="str">
        <f t="shared" si="130"/>
        <v>mai2022</v>
      </c>
      <c r="E954" s="91" t="s">
        <v>919</v>
      </c>
      <c r="F954" s="91">
        <v>378</v>
      </c>
      <c r="G954" s="94">
        <f t="shared" si="131"/>
        <v>0.378</v>
      </c>
      <c r="H954" s="92" t="s">
        <v>46</v>
      </c>
      <c r="I954" s="96">
        <f t="shared" si="126"/>
        <v>0.3</v>
      </c>
      <c r="J954" s="96">
        <f t="shared" si="127"/>
        <v>0.7</v>
      </c>
      <c r="K954" s="92">
        <f>VLOOKUP(H954,'Taux émission CO2e'!$A$5:$D$16,4,FALSE)</f>
        <v>0.16</v>
      </c>
      <c r="L954" s="93">
        <f t="shared" si="132"/>
        <v>3.4216499520000001</v>
      </c>
      <c r="M954" s="92">
        <f>VLOOKUP(H954,'Taux émission CO2e'!$A$20:$D$31,4,FALSE)</f>
        <v>6.7400000000000002E-2</v>
      </c>
      <c r="N954" s="105">
        <f t="shared" si="133"/>
        <v>3.3631967653199997</v>
      </c>
      <c r="O954" s="93">
        <f t="shared" si="134"/>
        <v>6.7848467173199998</v>
      </c>
      <c r="P954" s="92">
        <v>200</v>
      </c>
      <c r="Q954" s="92" t="s">
        <v>58</v>
      </c>
      <c r="R954" s="92" t="s">
        <v>531</v>
      </c>
      <c r="S954" s="20">
        <v>188.583</v>
      </c>
    </row>
    <row r="955" spans="1:19" x14ac:dyDescent="0.15">
      <c r="A955" s="90">
        <v>44708</v>
      </c>
      <c r="B955" s="90" t="str">
        <f t="shared" si="128"/>
        <v>mai</v>
      </c>
      <c r="C955" s="90" t="str">
        <f t="shared" si="129"/>
        <v>2022</v>
      </c>
      <c r="D955" s="90" t="str">
        <f t="shared" si="130"/>
        <v>mai2022</v>
      </c>
      <c r="E955" s="91" t="s">
        <v>920</v>
      </c>
      <c r="F955" s="91">
        <v>150</v>
      </c>
      <c r="G955" s="94">
        <f t="shared" si="131"/>
        <v>0.15</v>
      </c>
      <c r="H955" s="92" t="s">
        <v>46</v>
      </c>
      <c r="I955" s="96">
        <f t="shared" si="126"/>
        <v>0.3</v>
      </c>
      <c r="J955" s="96">
        <f t="shared" si="127"/>
        <v>0.7</v>
      </c>
      <c r="K955" s="92">
        <f>VLOOKUP(H955,'Taux émission CO2e'!$A$5:$D$16,4,FALSE)</f>
        <v>0.16</v>
      </c>
      <c r="L955" s="93">
        <f t="shared" si="132"/>
        <v>1.2471839999999998</v>
      </c>
      <c r="M955" s="92">
        <f>VLOOKUP(H955,'Taux émission CO2e'!$A$20:$D$31,4,FALSE)</f>
        <v>6.7400000000000002E-2</v>
      </c>
      <c r="N955" s="105">
        <f t="shared" si="133"/>
        <v>1.2258779399999999</v>
      </c>
      <c r="O955" s="93">
        <f t="shared" si="134"/>
        <v>2.47306194</v>
      </c>
      <c r="P955" s="92">
        <v>200</v>
      </c>
      <c r="Q955" s="92" t="s">
        <v>708</v>
      </c>
      <c r="R955" s="92" t="s">
        <v>55</v>
      </c>
      <c r="S955" s="20">
        <v>173.22</v>
      </c>
    </row>
    <row r="956" spans="1:19" x14ac:dyDescent="0.15">
      <c r="A956" s="90">
        <v>44708</v>
      </c>
      <c r="B956" s="90" t="str">
        <f t="shared" si="128"/>
        <v>mai</v>
      </c>
      <c r="C956" s="90" t="str">
        <f t="shared" si="129"/>
        <v>2022</v>
      </c>
      <c r="D956" s="90" t="str">
        <f t="shared" si="130"/>
        <v>mai2022</v>
      </c>
      <c r="E956" s="91" t="s">
        <v>921</v>
      </c>
      <c r="F956" s="91">
        <v>212</v>
      </c>
      <c r="G956" s="94">
        <f t="shared" si="131"/>
        <v>0.21199999999999999</v>
      </c>
      <c r="H956" s="92" t="s">
        <v>46</v>
      </c>
      <c r="I956" s="96">
        <f t="shared" si="126"/>
        <v>0.3</v>
      </c>
      <c r="J956" s="96">
        <f t="shared" si="127"/>
        <v>0.7</v>
      </c>
      <c r="K956" s="92">
        <f>VLOOKUP(H956,'Taux émission CO2e'!$A$5:$D$16,4,FALSE)</f>
        <v>0.16</v>
      </c>
      <c r="L956" s="93">
        <f t="shared" si="132"/>
        <v>8.5215146879999999</v>
      </c>
      <c r="M956" s="92">
        <f>VLOOKUP(H956,'Taux émission CO2e'!$A$20:$D$31,4,FALSE)</f>
        <v>6.7400000000000002E-2</v>
      </c>
      <c r="N956" s="105">
        <f t="shared" si="133"/>
        <v>8.3759388120799994</v>
      </c>
      <c r="O956" s="93">
        <f t="shared" si="134"/>
        <v>16.897453500079997</v>
      </c>
      <c r="P956" s="92">
        <v>210</v>
      </c>
      <c r="Q956" s="92" t="s">
        <v>58</v>
      </c>
      <c r="R956" s="92" t="s">
        <v>61</v>
      </c>
      <c r="S956" s="20">
        <v>837.41300000000001</v>
      </c>
    </row>
    <row r="957" spans="1:19" x14ac:dyDescent="0.15">
      <c r="A957" s="90">
        <v>44708</v>
      </c>
      <c r="B957" s="90" t="str">
        <f t="shared" si="128"/>
        <v>mai</v>
      </c>
      <c r="C957" s="90" t="str">
        <f t="shared" si="129"/>
        <v>2022</v>
      </c>
      <c r="D957" s="90" t="str">
        <f t="shared" si="130"/>
        <v>mai2022</v>
      </c>
      <c r="E957" s="91" t="s">
        <v>922</v>
      </c>
      <c r="F957" s="92">
        <v>1000</v>
      </c>
      <c r="G957" s="94">
        <f t="shared" si="131"/>
        <v>1</v>
      </c>
      <c r="H957" s="92" t="s">
        <v>46</v>
      </c>
      <c r="I957" s="96">
        <f t="shared" si="126"/>
        <v>0.3</v>
      </c>
      <c r="J957" s="96">
        <f t="shared" si="127"/>
        <v>0.7</v>
      </c>
      <c r="K957" s="92">
        <f>VLOOKUP(H957,'Taux émission CO2e'!$A$5:$D$16,4,FALSE)</f>
        <v>0.16</v>
      </c>
      <c r="L957" s="93">
        <f t="shared" si="132"/>
        <v>12.386064000000001</v>
      </c>
      <c r="M957" s="92">
        <f>VLOOKUP(H957,'Taux émission CO2e'!$A$20:$D$31,4,FALSE)</f>
        <v>6.7400000000000002E-2</v>
      </c>
      <c r="N957" s="105">
        <f t="shared" si="133"/>
        <v>12.17446874</v>
      </c>
      <c r="O957" s="93">
        <f t="shared" si="134"/>
        <v>24.560532739999999</v>
      </c>
      <c r="P957" s="92">
        <v>300</v>
      </c>
      <c r="Q957" s="92" t="s">
        <v>102</v>
      </c>
      <c r="R957" s="92" t="s">
        <v>55</v>
      </c>
      <c r="S957" s="20">
        <v>258.04300000000001</v>
      </c>
    </row>
    <row r="958" spans="1:19" x14ac:dyDescent="0.15">
      <c r="A958" s="90">
        <v>44708</v>
      </c>
      <c r="B958" s="90" t="str">
        <f t="shared" si="128"/>
        <v>mai</v>
      </c>
      <c r="C958" s="90" t="str">
        <f t="shared" si="129"/>
        <v>2022</v>
      </c>
      <c r="D958" s="90" t="str">
        <f t="shared" si="130"/>
        <v>mai2022</v>
      </c>
      <c r="E958" s="91" t="s">
        <v>923</v>
      </c>
      <c r="F958" s="92">
        <v>3498</v>
      </c>
      <c r="G958" s="94">
        <f t="shared" si="131"/>
        <v>3.4980000000000002</v>
      </c>
      <c r="H958" s="92" t="s">
        <v>45</v>
      </c>
      <c r="I958" s="96">
        <f t="shared" si="126"/>
        <v>0.3</v>
      </c>
      <c r="J958" s="96">
        <f t="shared" si="127"/>
        <v>0.7</v>
      </c>
      <c r="K958" s="92">
        <f>VLOOKUP(H958,'Taux émission CO2e'!$A$5:$D$16,4,FALSE)</f>
        <v>0.16</v>
      </c>
      <c r="L958" s="93">
        <f t="shared" si="132"/>
        <v>7.8288598080000016</v>
      </c>
      <c r="M958" s="92">
        <f>VLOOKUP(H958,'Taux émission CO2e'!$A$20:$D$31,4,FALSE)</f>
        <v>6.7400000000000002E-2</v>
      </c>
      <c r="N958" s="105">
        <f t="shared" si="133"/>
        <v>7.6951167862800007</v>
      </c>
      <c r="O958" s="93">
        <f t="shared" si="134"/>
        <v>15.523976594280002</v>
      </c>
      <c r="P958" s="92">
        <v>320</v>
      </c>
      <c r="Q958" s="92" t="s">
        <v>58</v>
      </c>
      <c r="R958" s="92" t="s">
        <v>421</v>
      </c>
      <c r="S958" s="20">
        <v>46.627000000000002</v>
      </c>
    </row>
    <row r="959" spans="1:19" x14ac:dyDescent="0.15">
      <c r="A959" s="90">
        <v>44708</v>
      </c>
      <c r="B959" s="90" t="str">
        <f t="shared" si="128"/>
        <v>mai</v>
      </c>
      <c r="C959" s="90" t="str">
        <f t="shared" si="129"/>
        <v>2022</v>
      </c>
      <c r="D959" s="90" t="str">
        <f t="shared" si="130"/>
        <v>mai2022</v>
      </c>
      <c r="E959" s="91" t="s">
        <v>924</v>
      </c>
      <c r="F959" s="91">
        <v>556</v>
      </c>
      <c r="G959" s="94">
        <f t="shared" si="131"/>
        <v>0.55600000000000005</v>
      </c>
      <c r="H959" s="92" t="s">
        <v>46</v>
      </c>
      <c r="I959" s="96">
        <f t="shared" si="126"/>
        <v>0.3</v>
      </c>
      <c r="J959" s="96">
        <f t="shared" si="127"/>
        <v>0.7</v>
      </c>
      <c r="K959" s="92">
        <f>VLOOKUP(H959,'Taux émission CO2e'!$A$5:$D$16,4,FALSE)</f>
        <v>0.16</v>
      </c>
      <c r="L959" s="93">
        <f t="shared" si="132"/>
        <v>10.153583040000001</v>
      </c>
      <c r="M959" s="92">
        <f>VLOOKUP(H959,'Taux émission CO2e'!$A$20:$D$31,4,FALSE)</f>
        <v>6.7400000000000002E-2</v>
      </c>
      <c r="N959" s="105">
        <f t="shared" si="133"/>
        <v>9.9801259964</v>
      </c>
      <c r="O959" s="93">
        <f t="shared" si="134"/>
        <v>20.133709036399999</v>
      </c>
      <c r="P959" s="92">
        <v>390</v>
      </c>
      <c r="Q959" s="92" t="s">
        <v>58</v>
      </c>
      <c r="R959" s="92" t="s">
        <v>83</v>
      </c>
      <c r="S959" s="20">
        <v>380.45499999999998</v>
      </c>
    </row>
    <row r="960" spans="1:19" x14ac:dyDescent="0.15">
      <c r="A960" s="90">
        <v>44711</v>
      </c>
      <c r="B960" s="90" t="str">
        <f t="shared" si="128"/>
        <v>mai</v>
      </c>
      <c r="C960" s="90" t="str">
        <f t="shared" si="129"/>
        <v>2022</v>
      </c>
      <c r="D960" s="90" t="str">
        <f t="shared" si="130"/>
        <v>mai2022</v>
      </c>
      <c r="E960" s="91" t="s">
        <v>925</v>
      </c>
      <c r="F960" s="91">
        <v>150</v>
      </c>
      <c r="G960" s="94">
        <f t="shared" si="131"/>
        <v>0.15</v>
      </c>
      <c r="H960" s="92" t="s">
        <v>45</v>
      </c>
      <c r="I960" s="96">
        <f t="shared" si="126"/>
        <v>0.3</v>
      </c>
      <c r="J960" s="96">
        <f t="shared" si="127"/>
        <v>0.7</v>
      </c>
      <c r="K960" s="92">
        <f>VLOOKUP(H960,'Taux émission CO2e'!$A$5:$D$16,4,FALSE)</f>
        <v>0.16</v>
      </c>
      <c r="L960" s="93">
        <f t="shared" si="132"/>
        <v>1.8302616</v>
      </c>
      <c r="M960" s="92">
        <f>VLOOKUP(H960,'Taux émission CO2e'!$A$20:$D$31,4,FALSE)</f>
        <v>6.7400000000000002E-2</v>
      </c>
      <c r="N960" s="105">
        <f t="shared" si="133"/>
        <v>1.798994631</v>
      </c>
      <c r="O960" s="93">
        <f t="shared" si="134"/>
        <v>3.6292562310000003</v>
      </c>
      <c r="P960" s="92">
        <v>158</v>
      </c>
      <c r="Q960" s="92" t="s">
        <v>871</v>
      </c>
      <c r="R960" s="92" t="s">
        <v>55</v>
      </c>
      <c r="S960" s="20">
        <v>254.203</v>
      </c>
    </row>
    <row r="961" spans="1:19" x14ac:dyDescent="0.15">
      <c r="A961" s="90">
        <v>44711</v>
      </c>
      <c r="B961" s="90" t="str">
        <f t="shared" si="128"/>
        <v>mai</v>
      </c>
      <c r="C961" s="90" t="str">
        <f t="shared" si="129"/>
        <v>2022</v>
      </c>
      <c r="D961" s="90" t="str">
        <f t="shared" si="130"/>
        <v>mai2022</v>
      </c>
      <c r="E961" s="91" t="s">
        <v>926</v>
      </c>
      <c r="F961" s="91">
        <v>400</v>
      </c>
      <c r="G961" s="94">
        <f t="shared" si="131"/>
        <v>0.4</v>
      </c>
      <c r="H961" s="92" t="s">
        <v>45</v>
      </c>
      <c r="I961" s="96">
        <f t="shared" si="126"/>
        <v>0.3</v>
      </c>
      <c r="J961" s="96">
        <f t="shared" si="127"/>
        <v>0.7</v>
      </c>
      <c r="K961" s="92">
        <f>VLOOKUP(H961,'Taux émission CO2e'!$A$5:$D$16,4,FALSE)</f>
        <v>0.16</v>
      </c>
      <c r="L961" s="93">
        <f t="shared" si="132"/>
        <v>5.347142400000001</v>
      </c>
      <c r="M961" s="92">
        <f>VLOOKUP(H961,'Taux émission CO2e'!$A$20:$D$31,4,FALSE)</f>
        <v>6.7400000000000002E-2</v>
      </c>
      <c r="N961" s="105">
        <f t="shared" si="133"/>
        <v>5.2557953839999998</v>
      </c>
      <c r="O961" s="93">
        <f t="shared" si="134"/>
        <v>10.602937784000002</v>
      </c>
      <c r="P961" s="92">
        <v>158</v>
      </c>
      <c r="Q961" s="92" t="s">
        <v>90</v>
      </c>
      <c r="R961" s="92" t="s">
        <v>55</v>
      </c>
      <c r="S961" s="20">
        <v>278.49700000000001</v>
      </c>
    </row>
    <row r="962" spans="1:19" x14ac:dyDescent="0.15">
      <c r="A962" s="90">
        <v>44711</v>
      </c>
      <c r="B962" s="90" t="str">
        <f t="shared" si="128"/>
        <v>mai</v>
      </c>
      <c r="C962" s="90" t="str">
        <f t="shared" si="129"/>
        <v>2022</v>
      </c>
      <c r="D962" s="90" t="str">
        <f t="shared" si="130"/>
        <v>mai2022</v>
      </c>
      <c r="E962" s="91" t="s">
        <v>927</v>
      </c>
      <c r="F962" s="91">
        <v>300</v>
      </c>
      <c r="G962" s="94">
        <f t="shared" si="131"/>
        <v>0.3</v>
      </c>
      <c r="H962" s="92" t="s">
        <v>46</v>
      </c>
      <c r="I962" s="96">
        <f t="shared" ref="I962:I1025" si="135">VLOOKUP(H962,Segment1,2,FALSE)</f>
        <v>0.3</v>
      </c>
      <c r="J962" s="96">
        <f t="shared" ref="J962:J1025" si="136">VLOOKUP(H962,Segment2,2,FALSE)</f>
        <v>0.7</v>
      </c>
      <c r="K962" s="92">
        <f>VLOOKUP(H962,'Taux émission CO2e'!$A$5:$D$16,4,FALSE)</f>
        <v>0.16</v>
      </c>
      <c r="L962" s="93">
        <f t="shared" si="132"/>
        <v>10.657411199999999</v>
      </c>
      <c r="M962" s="92">
        <f>VLOOKUP(H962,'Taux émission CO2e'!$A$20:$D$31,4,FALSE)</f>
        <v>6.7400000000000002E-2</v>
      </c>
      <c r="N962" s="105">
        <f t="shared" si="133"/>
        <v>10.475347092</v>
      </c>
      <c r="O962" s="93">
        <f t="shared" si="134"/>
        <v>21.132758291999998</v>
      </c>
      <c r="P962" s="92">
        <v>235</v>
      </c>
      <c r="Q962" s="92" t="s">
        <v>473</v>
      </c>
      <c r="R962" s="92" t="s">
        <v>55</v>
      </c>
      <c r="S962" s="20">
        <v>740.09799999999996</v>
      </c>
    </row>
    <row r="963" spans="1:19" x14ac:dyDescent="0.15">
      <c r="A963" s="90">
        <v>44711</v>
      </c>
      <c r="B963" s="90" t="str">
        <f t="shared" ref="B963:B1026" si="137">TEXT(A963,"mmmm")</f>
        <v>mai</v>
      </c>
      <c r="C963" s="90" t="str">
        <f t="shared" ref="C963:C1026" si="138">TEXT(A963,"aaaa")</f>
        <v>2022</v>
      </c>
      <c r="D963" s="90" t="str">
        <f t="shared" ref="D963:D1026" si="139">B963&amp;C963</f>
        <v>mai2022</v>
      </c>
      <c r="E963" s="91" t="s">
        <v>928</v>
      </c>
      <c r="F963" s="91">
        <v>300</v>
      </c>
      <c r="G963" s="94">
        <f t="shared" ref="G963:G1026" si="140">F963/1000</f>
        <v>0.3</v>
      </c>
      <c r="H963" s="92" t="s">
        <v>46</v>
      </c>
      <c r="I963" s="96">
        <f t="shared" si="135"/>
        <v>0.3</v>
      </c>
      <c r="J963" s="96">
        <f t="shared" si="136"/>
        <v>0.7</v>
      </c>
      <c r="K963" s="92">
        <f>VLOOKUP(H963,'Taux émission CO2e'!$A$5:$D$16,4,FALSE)</f>
        <v>0.16</v>
      </c>
      <c r="L963" s="93">
        <f t="shared" ref="L963:L1026" si="141">IFERROR(I963*K963*G963*S963,"0")</f>
        <v>5.4804383999999997</v>
      </c>
      <c r="M963" s="92">
        <f>VLOOKUP(H963,'Taux émission CO2e'!$A$20:$D$31,4,FALSE)</f>
        <v>6.7400000000000002E-2</v>
      </c>
      <c r="N963" s="105">
        <f t="shared" ref="N963:N1026" si="142">IFERROR(J963*M963*G963*S963,"0")</f>
        <v>5.386814244</v>
      </c>
      <c r="O963" s="93">
        <f t="shared" ref="O963:O1026" si="143">L963+N963</f>
        <v>10.867252644000001</v>
      </c>
      <c r="P963" s="92">
        <v>240</v>
      </c>
      <c r="Q963" s="92" t="s">
        <v>91</v>
      </c>
      <c r="R963" s="92" t="s">
        <v>55</v>
      </c>
      <c r="S963" s="20">
        <v>380.58600000000001</v>
      </c>
    </row>
    <row r="964" spans="1:19" x14ac:dyDescent="0.15">
      <c r="A964" s="90">
        <v>44711</v>
      </c>
      <c r="B964" s="90" t="str">
        <f t="shared" si="137"/>
        <v>mai</v>
      </c>
      <c r="C964" s="90" t="str">
        <f t="shared" si="138"/>
        <v>2022</v>
      </c>
      <c r="D964" s="90" t="str">
        <f t="shared" si="139"/>
        <v>mai2022</v>
      </c>
      <c r="E964" s="91" t="s">
        <v>929</v>
      </c>
      <c r="F964" s="92">
        <v>1000</v>
      </c>
      <c r="G964" s="94">
        <f t="shared" si="140"/>
        <v>1</v>
      </c>
      <c r="H964" s="92" t="s">
        <v>45</v>
      </c>
      <c r="I964" s="96">
        <f t="shared" si="135"/>
        <v>0.3</v>
      </c>
      <c r="J964" s="96">
        <f t="shared" si="136"/>
        <v>0.7</v>
      </c>
      <c r="K964" s="92">
        <f>VLOOKUP(H964,'Taux émission CO2e'!$A$5:$D$16,4,FALSE)</f>
        <v>0.16</v>
      </c>
      <c r="L964" s="93">
        <f t="shared" si="141"/>
        <v>24.790752000000001</v>
      </c>
      <c r="M964" s="92">
        <f>VLOOKUP(H964,'Taux émission CO2e'!$A$20:$D$31,4,FALSE)</f>
        <v>6.7400000000000002E-2</v>
      </c>
      <c r="N964" s="105">
        <f t="shared" si="142"/>
        <v>24.367243320000004</v>
      </c>
      <c r="O964" s="93">
        <f t="shared" si="143"/>
        <v>49.157995320000005</v>
      </c>
      <c r="P964" s="92">
        <v>450</v>
      </c>
      <c r="Q964" s="92" t="s">
        <v>52</v>
      </c>
      <c r="R964" s="92" t="s">
        <v>55</v>
      </c>
      <c r="S964" s="20">
        <v>516.47400000000005</v>
      </c>
    </row>
    <row r="965" spans="1:19" x14ac:dyDescent="0.15">
      <c r="A965" s="90">
        <v>44712</v>
      </c>
      <c r="B965" s="90" t="str">
        <f t="shared" si="137"/>
        <v>mai</v>
      </c>
      <c r="C965" s="90" t="str">
        <f t="shared" si="138"/>
        <v>2022</v>
      </c>
      <c r="D965" s="90" t="str">
        <f t="shared" si="139"/>
        <v>mai2022</v>
      </c>
      <c r="E965" s="91" t="s">
        <v>930</v>
      </c>
      <c r="F965" s="91">
        <v>300</v>
      </c>
      <c r="G965" s="94">
        <f t="shared" si="140"/>
        <v>0.3</v>
      </c>
      <c r="H965" s="92" t="s">
        <v>38</v>
      </c>
      <c r="I965" s="96">
        <f t="shared" si="135"/>
        <v>1</v>
      </c>
      <c r="J965" s="96">
        <f t="shared" si="136"/>
        <v>0</v>
      </c>
      <c r="K965" s="92">
        <f>VLOOKUP(H965,'Taux émission CO2e'!$A$5:$D$16,4,FALSE)</f>
        <v>0.24099999999999999</v>
      </c>
      <c r="L965" s="93">
        <f t="shared" si="141"/>
        <v>2.4575492999999997</v>
      </c>
      <c r="M965" s="92">
        <f>VLOOKUP(H965,'Taux émission CO2e'!$A$20:$D$31,4,FALSE)</f>
        <v>0</v>
      </c>
      <c r="N965" s="105">
        <f t="shared" si="142"/>
        <v>0</v>
      </c>
      <c r="O965" s="93">
        <f t="shared" si="143"/>
        <v>2.4575492999999997</v>
      </c>
      <c r="P965" s="92">
        <v>100</v>
      </c>
      <c r="Q965" s="92" t="s">
        <v>67</v>
      </c>
      <c r="R965" s="92" t="s">
        <v>55</v>
      </c>
      <c r="S965" s="20">
        <v>33.991</v>
      </c>
    </row>
    <row r="966" spans="1:19" x14ac:dyDescent="0.15">
      <c r="A966" s="90">
        <v>44712</v>
      </c>
      <c r="B966" s="90" t="str">
        <f t="shared" si="137"/>
        <v>mai</v>
      </c>
      <c r="C966" s="90" t="str">
        <f t="shared" si="138"/>
        <v>2022</v>
      </c>
      <c r="D966" s="90" t="str">
        <f t="shared" si="139"/>
        <v>mai2022</v>
      </c>
      <c r="E966" s="91" t="s">
        <v>931</v>
      </c>
      <c r="F966" s="91">
        <v>203</v>
      </c>
      <c r="G966" s="94">
        <f t="shared" si="140"/>
        <v>0.20300000000000001</v>
      </c>
      <c r="H966" s="92" t="s">
        <v>46</v>
      </c>
      <c r="I966" s="96">
        <f t="shared" si="135"/>
        <v>0.3</v>
      </c>
      <c r="J966" s="96">
        <f t="shared" si="136"/>
        <v>0.7</v>
      </c>
      <c r="K966" s="92">
        <f>VLOOKUP(H966,'Taux émission CO2e'!$A$5:$D$16,4,FALSE)</f>
        <v>0.16</v>
      </c>
      <c r="L966" s="93">
        <f t="shared" si="141"/>
        <v>1.6308532800000002</v>
      </c>
      <c r="M966" s="92">
        <f>VLOOKUP(H966,'Taux émission CO2e'!$A$20:$D$31,4,FALSE)</f>
        <v>6.7400000000000002E-2</v>
      </c>
      <c r="N966" s="105">
        <f t="shared" si="142"/>
        <v>1.6029928698000002</v>
      </c>
      <c r="O966" s="93">
        <f t="shared" si="143"/>
        <v>3.2338461498000006</v>
      </c>
      <c r="P966" s="92">
        <v>108</v>
      </c>
      <c r="Q966" s="92" t="s">
        <v>58</v>
      </c>
      <c r="R966" s="92" t="s">
        <v>112</v>
      </c>
      <c r="S966" s="20">
        <v>167.37</v>
      </c>
    </row>
    <row r="967" spans="1:19" x14ac:dyDescent="0.15">
      <c r="A967" s="90">
        <v>44712</v>
      </c>
      <c r="B967" s="90" t="str">
        <f t="shared" si="137"/>
        <v>mai</v>
      </c>
      <c r="C967" s="90" t="str">
        <f t="shared" si="138"/>
        <v>2022</v>
      </c>
      <c r="D967" s="90" t="str">
        <f t="shared" si="139"/>
        <v>mai2022</v>
      </c>
      <c r="E967" s="91" t="s">
        <v>932</v>
      </c>
      <c r="F967" s="91">
        <v>450</v>
      </c>
      <c r="G967" s="94">
        <f t="shared" si="140"/>
        <v>0.45</v>
      </c>
      <c r="H967" s="92" t="s">
        <v>38</v>
      </c>
      <c r="I967" s="96">
        <f t="shared" si="135"/>
        <v>1</v>
      </c>
      <c r="J967" s="96">
        <f t="shared" si="136"/>
        <v>0</v>
      </c>
      <c r="K967" s="92">
        <f>VLOOKUP(H967,'Taux émission CO2e'!$A$5:$D$16,4,FALSE)</f>
        <v>0.24099999999999999</v>
      </c>
      <c r="L967" s="93">
        <f t="shared" si="141"/>
        <v>3.6966266999999999</v>
      </c>
      <c r="M967" s="92">
        <f>VLOOKUP(H967,'Taux émission CO2e'!$A$20:$D$31,4,FALSE)</f>
        <v>0</v>
      </c>
      <c r="N967" s="105">
        <f t="shared" si="142"/>
        <v>0</v>
      </c>
      <c r="O967" s="93">
        <f t="shared" si="143"/>
        <v>3.6966266999999999</v>
      </c>
      <c r="P967" s="92">
        <v>125</v>
      </c>
      <c r="Q967" s="92" t="s">
        <v>58</v>
      </c>
      <c r="R967" s="92" t="s">
        <v>98</v>
      </c>
      <c r="S967" s="20">
        <v>34.085999999999999</v>
      </c>
    </row>
    <row r="968" spans="1:19" x14ac:dyDescent="0.15">
      <c r="A968" s="90">
        <v>44712</v>
      </c>
      <c r="B968" s="90" t="str">
        <f t="shared" si="137"/>
        <v>mai</v>
      </c>
      <c r="C968" s="90" t="str">
        <f t="shared" si="138"/>
        <v>2022</v>
      </c>
      <c r="D968" s="90" t="str">
        <f t="shared" si="139"/>
        <v>mai2022</v>
      </c>
      <c r="E968" s="91" t="s">
        <v>933</v>
      </c>
      <c r="F968" s="91">
        <v>400</v>
      </c>
      <c r="G968" s="94">
        <f t="shared" si="140"/>
        <v>0.4</v>
      </c>
      <c r="H968" s="92" t="s">
        <v>46</v>
      </c>
      <c r="I968" s="96">
        <f t="shared" si="135"/>
        <v>0.3</v>
      </c>
      <c r="J968" s="96">
        <f t="shared" si="136"/>
        <v>0.7</v>
      </c>
      <c r="K968" s="92">
        <f>VLOOKUP(H968,'Taux émission CO2e'!$A$5:$D$16,4,FALSE)</f>
        <v>0.16</v>
      </c>
      <c r="L968" s="93">
        <f t="shared" si="141"/>
        <v>4.7769024</v>
      </c>
      <c r="M968" s="92">
        <f>VLOOKUP(H968,'Taux émission CO2e'!$A$20:$D$31,4,FALSE)</f>
        <v>6.7400000000000002E-2</v>
      </c>
      <c r="N968" s="105">
        <f t="shared" si="142"/>
        <v>4.6952969839999996</v>
      </c>
      <c r="O968" s="93">
        <f t="shared" si="143"/>
        <v>9.4721993839999996</v>
      </c>
      <c r="P968" s="92">
        <v>178</v>
      </c>
      <c r="Q968" s="92" t="s">
        <v>58</v>
      </c>
      <c r="R968" s="92" t="s">
        <v>82</v>
      </c>
      <c r="S968" s="20">
        <v>248.797</v>
      </c>
    </row>
    <row r="969" spans="1:19" x14ac:dyDescent="0.15">
      <c r="A969" s="90">
        <v>44712</v>
      </c>
      <c r="B969" s="90" t="str">
        <f t="shared" si="137"/>
        <v>mai</v>
      </c>
      <c r="C969" s="90" t="str">
        <f t="shared" si="138"/>
        <v>2022</v>
      </c>
      <c r="D969" s="90" t="str">
        <f t="shared" si="139"/>
        <v>mai2022</v>
      </c>
      <c r="E969" s="91" t="s">
        <v>934</v>
      </c>
      <c r="F969" s="91">
        <v>300</v>
      </c>
      <c r="G969" s="94">
        <f t="shared" si="140"/>
        <v>0.3</v>
      </c>
      <c r="H969" s="92" t="s">
        <v>45</v>
      </c>
      <c r="I969" s="96">
        <f t="shared" si="135"/>
        <v>0.3</v>
      </c>
      <c r="J969" s="96">
        <f t="shared" si="136"/>
        <v>0.7</v>
      </c>
      <c r="K969" s="92">
        <f>VLOOKUP(H969,'Taux émission CO2e'!$A$5:$D$16,4,FALSE)</f>
        <v>0.16</v>
      </c>
      <c r="L969" s="93">
        <f t="shared" si="141"/>
        <v>7.7429951999999993</v>
      </c>
      <c r="M969" s="92">
        <f>VLOOKUP(H969,'Taux émission CO2e'!$A$20:$D$31,4,FALSE)</f>
        <v>6.7400000000000002E-2</v>
      </c>
      <c r="N969" s="105">
        <f t="shared" si="142"/>
        <v>7.6107190319999996</v>
      </c>
      <c r="O969" s="93">
        <f t="shared" si="143"/>
        <v>15.353714231999998</v>
      </c>
      <c r="P969" s="92">
        <v>195</v>
      </c>
      <c r="Q969" s="92" t="s">
        <v>612</v>
      </c>
      <c r="R969" s="92" t="s">
        <v>55</v>
      </c>
      <c r="S969" s="20">
        <v>537.70799999999997</v>
      </c>
    </row>
    <row r="970" spans="1:19" x14ac:dyDescent="0.15">
      <c r="A970" s="90">
        <v>44712</v>
      </c>
      <c r="B970" s="90" t="str">
        <f t="shared" si="137"/>
        <v>mai</v>
      </c>
      <c r="C970" s="90" t="str">
        <f t="shared" si="138"/>
        <v>2022</v>
      </c>
      <c r="D970" s="90" t="str">
        <f t="shared" si="139"/>
        <v>mai2022</v>
      </c>
      <c r="E970" s="91" t="s">
        <v>935</v>
      </c>
      <c r="F970" s="91">
        <v>300</v>
      </c>
      <c r="G970" s="94">
        <f t="shared" si="140"/>
        <v>0.3</v>
      </c>
      <c r="H970" s="92" t="s">
        <v>46</v>
      </c>
      <c r="I970" s="96">
        <f t="shared" si="135"/>
        <v>0.3</v>
      </c>
      <c r="J970" s="96">
        <f t="shared" si="136"/>
        <v>0.7</v>
      </c>
      <c r="K970" s="92">
        <f>VLOOKUP(H970,'Taux émission CO2e'!$A$5:$D$16,4,FALSE)</f>
        <v>0.16</v>
      </c>
      <c r="L970" s="93">
        <f t="shared" si="141"/>
        <v>5.1763680000000001</v>
      </c>
      <c r="M970" s="92">
        <f>VLOOKUP(H970,'Taux émission CO2e'!$A$20:$D$31,4,FALSE)</f>
        <v>6.7400000000000002E-2</v>
      </c>
      <c r="N970" s="105">
        <f t="shared" si="142"/>
        <v>5.0879383800000006</v>
      </c>
      <c r="O970" s="93">
        <f t="shared" si="143"/>
        <v>10.264306380000001</v>
      </c>
      <c r="P970" s="92">
        <v>250</v>
      </c>
      <c r="Q970" s="92" t="s">
        <v>936</v>
      </c>
      <c r="R970" s="92" t="s">
        <v>55</v>
      </c>
      <c r="S970" s="20">
        <v>359.47</v>
      </c>
    </row>
    <row r="971" spans="1:19" x14ac:dyDescent="0.15">
      <c r="A971" s="90">
        <v>44712</v>
      </c>
      <c r="B971" s="90" t="str">
        <f t="shared" si="137"/>
        <v>mai</v>
      </c>
      <c r="C971" s="90" t="str">
        <f t="shared" si="138"/>
        <v>2022</v>
      </c>
      <c r="D971" s="90" t="str">
        <f t="shared" si="139"/>
        <v>mai2022</v>
      </c>
      <c r="E971" s="91" t="s">
        <v>937</v>
      </c>
      <c r="F971" s="91">
        <v>318</v>
      </c>
      <c r="G971" s="94">
        <f t="shared" si="140"/>
        <v>0.318</v>
      </c>
      <c r="H971" s="92" t="s">
        <v>46</v>
      </c>
      <c r="I971" s="96">
        <f t="shared" si="135"/>
        <v>0.3</v>
      </c>
      <c r="J971" s="96">
        <f t="shared" si="136"/>
        <v>0.7</v>
      </c>
      <c r="K971" s="92">
        <f>VLOOKUP(H971,'Taux émission CO2e'!$A$5:$D$16,4,FALSE)</f>
        <v>0.16</v>
      </c>
      <c r="L971" s="93">
        <f t="shared" si="141"/>
        <v>2.6520589440000002</v>
      </c>
      <c r="M971" s="92">
        <f>VLOOKUP(H971,'Taux émission CO2e'!$A$20:$D$31,4,FALSE)</f>
        <v>6.7400000000000002E-2</v>
      </c>
      <c r="N971" s="105">
        <f t="shared" si="142"/>
        <v>2.60675293704</v>
      </c>
      <c r="O971" s="93">
        <f t="shared" si="143"/>
        <v>5.2588118810399997</v>
      </c>
      <c r="P971" s="92">
        <v>250</v>
      </c>
      <c r="Q971" s="92" t="s">
        <v>58</v>
      </c>
      <c r="R971" s="92" t="s">
        <v>485</v>
      </c>
      <c r="S971" s="20">
        <v>173.74600000000001</v>
      </c>
    </row>
    <row r="972" spans="1:19" x14ac:dyDescent="0.15">
      <c r="A972" s="90">
        <v>44713</v>
      </c>
      <c r="B972" s="90" t="str">
        <f t="shared" si="137"/>
        <v>juin</v>
      </c>
      <c r="C972" s="90" t="str">
        <f t="shared" si="138"/>
        <v>2022</v>
      </c>
      <c r="D972" s="90" t="str">
        <f t="shared" si="139"/>
        <v>juin2022</v>
      </c>
      <c r="E972" s="91" t="s">
        <v>938</v>
      </c>
      <c r="F972" s="91">
        <v>106</v>
      </c>
      <c r="G972" s="94">
        <f t="shared" si="140"/>
        <v>0.106</v>
      </c>
      <c r="H972" s="92" t="s">
        <v>46</v>
      </c>
      <c r="I972" s="96">
        <f t="shared" si="135"/>
        <v>0.3</v>
      </c>
      <c r="J972" s="96">
        <f t="shared" si="136"/>
        <v>0.7</v>
      </c>
      <c r="K972" s="92">
        <f>VLOOKUP(H972,'Taux émission CO2e'!$A$5:$D$16,4,FALSE)</f>
        <v>0.16</v>
      </c>
      <c r="L972" s="93">
        <f t="shared" si="141"/>
        <v>1.2506202239999999</v>
      </c>
      <c r="M972" s="92">
        <f>VLOOKUP(H972,'Taux émission CO2e'!$A$20:$D$31,4,FALSE)</f>
        <v>6.7400000000000002E-2</v>
      </c>
      <c r="N972" s="105">
        <f t="shared" si="142"/>
        <v>1.22925546184</v>
      </c>
      <c r="O972" s="93">
        <f t="shared" si="143"/>
        <v>2.4798756858399997</v>
      </c>
      <c r="P972" s="92">
        <v>100</v>
      </c>
      <c r="Q972" s="92" t="s">
        <v>58</v>
      </c>
      <c r="R972" s="92" t="s">
        <v>105</v>
      </c>
      <c r="S972" s="20">
        <v>245.798</v>
      </c>
    </row>
    <row r="973" spans="1:19" x14ac:dyDescent="0.15">
      <c r="A973" s="90">
        <v>44713</v>
      </c>
      <c r="B973" s="90" t="str">
        <f t="shared" si="137"/>
        <v>juin</v>
      </c>
      <c r="C973" s="90" t="str">
        <f t="shared" si="138"/>
        <v>2022</v>
      </c>
      <c r="D973" s="90" t="str">
        <f t="shared" si="139"/>
        <v>juin2022</v>
      </c>
      <c r="E973" s="91" t="s">
        <v>939</v>
      </c>
      <c r="F973" s="91">
        <v>168</v>
      </c>
      <c r="G973" s="94">
        <f t="shared" si="140"/>
        <v>0.16800000000000001</v>
      </c>
      <c r="H973" s="92" t="s">
        <v>46</v>
      </c>
      <c r="I973" s="96">
        <f t="shared" si="135"/>
        <v>0.3</v>
      </c>
      <c r="J973" s="96">
        <f t="shared" si="136"/>
        <v>0.7</v>
      </c>
      <c r="K973" s="92">
        <f>VLOOKUP(H973,'Taux émission CO2e'!$A$5:$D$16,4,FALSE)</f>
        <v>0.16</v>
      </c>
      <c r="L973" s="93">
        <f t="shared" si="141"/>
        <v>2.0062990080000001</v>
      </c>
      <c r="M973" s="92">
        <f>VLOOKUP(H973,'Taux émission CO2e'!$A$20:$D$31,4,FALSE)</f>
        <v>6.7400000000000002E-2</v>
      </c>
      <c r="N973" s="105">
        <f t="shared" si="142"/>
        <v>1.9720247332800003</v>
      </c>
      <c r="O973" s="93">
        <f t="shared" si="143"/>
        <v>3.9783237412800005</v>
      </c>
      <c r="P973" s="92">
        <v>100</v>
      </c>
      <c r="Q973" s="92" t="s">
        <v>58</v>
      </c>
      <c r="R973" s="92" t="s">
        <v>82</v>
      </c>
      <c r="S973" s="20">
        <v>248.797</v>
      </c>
    </row>
    <row r="974" spans="1:19" x14ac:dyDescent="0.15">
      <c r="A974" s="90">
        <v>44713</v>
      </c>
      <c r="B974" s="90" t="str">
        <f t="shared" si="137"/>
        <v>juin</v>
      </c>
      <c r="C974" s="90" t="str">
        <f t="shared" si="138"/>
        <v>2022</v>
      </c>
      <c r="D974" s="90" t="str">
        <f t="shared" si="139"/>
        <v>juin2022</v>
      </c>
      <c r="E974" s="91" t="s">
        <v>940</v>
      </c>
      <c r="F974" s="91">
        <v>106</v>
      </c>
      <c r="G974" s="94">
        <f t="shared" si="140"/>
        <v>0.106</v>
      </c>
      <c r="H974" s="92" t="s">
        <v>46</v>
      </c>
      <c r="I974" s="96">
        <f t="shared" si="135"/>
        <v>0.3</v>
      </c>
      <c r="J974" s="96">
        <f t="shared" si="136"/>
        <v>0.7</v>
      </c>
      <c r="K974" s="92">
        <f>VLOOKUP(H974,'Taux émission CO2e'!$A$5:$D$16,4,FALSE)</f>
        <v>0.16</v>
      </c>
      <c r="L974" s="93">
        <f t="shared" si="141"/>
        <v>1.416173568</v>
      </c>
      <c r="M974" s="92">
        <f>VLOOKUP(H974,'Taux émission CO2e'!$A$20:$D$31,4,FALSE)</f>
        <v>6.7400000000000002E-2</v>
      </c>
      <c r="N974" s="105">
        <f t="shared" si="142"/>
        <v>1.3919806028799999</v>
      </c>
      <c r="O974" s="93">
        <f t="shared" si="143"/>
        <v>2.80815417088</v>
      </c>
      <c r="P974" s="92">
        <v>100</v>
      </c>
      <c r="Q974" s="92" t="s">
        <v>58</v>
      </c>
      <c r="R974" s="92" t="s">
        <v>346</v>
      </c>
      <c r="S974" s="20">
        <v>278.33600000000001</v>
      </c>
    </row>
    <row r="975" spans="1:19" x14ac:dyDescent="0.15">
      <c r="A975" s="90">
        <v>44713</v>
      </c>
      <c r="B975" s="90" t="str">
        <f t="shared" si="137"/>
        <v>juin</v>
      </c>
      <c r="C975" s="90" t="str">
        <f t="shared" si="138"/>
        <v>2022</v>
      </c>
      <c r="D975" s="90" t="str">
        <f t="shared" si="139"/>
        <v>juin2022</v>
      </c>
      <c r="E975" s="91" t="s">
        <v>941</v>
      </c>
      <c r="F975" s="91">
        <v>106</v>
      </c>
      <c r="G975" s="94">
        <f t="shared" si="140"/>
        <v>0.106</v>
      </c>
      <c r="H975" s="92" t="s">
        <v>46</v>
      </c>
      <c r="I975" s="96">
        <f t="shared" si="135"/>
        <v>0.3</v>
      </c>
      <c r="J975" s="96">
        <f t="shared" si="136"/>
        <v>0.7</v>
      </c>
      <c r="K975" s="92">
        <f>VLOOKUP(H975,'Taux émission CO2e'!$A$5:$D$16,4,FALSE)</f>
        <v>0.16</v>
      </c>
      <c r="L975" s="93">
        <f t="shared" si="141"/>
        <v>1.4236173119999997</v>
      </c>
      <c r="M975" s="92">
        <f>VLOOKUP(H975,'Taux émission CO2e'!$A$20:$D$31,4,FALSE)</f>
        <v>6.7400000000000002E-2</v>
      </c>
      <c r="N975" s="105">
        <f t="shared" si="142"/>
        <v>1.3992971829199998</v>
      </c>
      <c r="O975" s="93">
        <f t="shared" si="143"/>
        <v>2.8229144949199996</v>
      </c>
      <c r="P975" s="92">
        <v>120</v>
      </c>
      <c r="Q975" s="92" t="s">
        <v>58</v>
      </c>
      <c r="R975" s="92" t="s">
        <v>70</v>
      </c>
      <c r="S975" s="20">
        <v>279.79899999999998</v>
      </c>
    </row>
    <row r="976" spans="1:19" x14ac:dyDescent="0.15">
      <c r="A976" s="90">
        <v>44713</v>
      </c>
      <c r="B976" s="90" t="str">
        <f t="shared" si="137"/>
        <v>juin</v>
      </c>
      <c r="C976" s="90" t="str">
        <f t="shared" si="138"/>
        <v>2022</v>
      </c>
      <c r="D976" s="90" t="str">
        <f t="shared" si="139"/>
        <v>juin2022</v>
      </c>
      <c r="E976" s="91" t="s">
        <v>942</v>
      </c>
      <c r="F976" s="91">
        <v>150</v>
      </c>
      <c r="G976" s="94">
        <f t="shared" si="140"/>
        <v>0.15</v>
      </c>
      <c r="H976" s="92" t="s">
        <v>45</v>
      </c>
      <c r="I976" s="96">
        <f t="shared" si="135"/>
        <v>0.3</v>
      </c>
      <c r="J976" s="96">
        <f t="shared" si="136"/>
        <v>0.7</v>
      </c>
      <c r="K976" s="92">
        <f>VLOOKUP(H976,'Taux émission CO2e'!$A$5:$D$16,4,FALSE)</f>
        <v>0.16</v>
      </c>
      <c r="L976" s="93">
        <f t="shared" si="141"/>
        <v>2.0026439999999996</v>
      </c>
      <c r="M976" s="92">
        <f>VLOOKUP(H976,'Taux émission CO2e'!$A$20:$D$31,4,FALSE)</f>
        <v>6.7400000000000002E-2</v>
      </c>
      <c r="N976" s="105">
        <f t="shared" si="142"/>
        <v>1.9684321649999998</v>
      </c>
      <c r="O976" s="93">
        <f t="shared" si="143"/>
        <v>3.9710761649999995</v>
      </c>
      <c r="P976" s="92">
        <v>158</v>
      </c>
      <c r="Q976" s="92" t="s">
        <v>74</v>
      </c>
      <c r="R976" s="92" t="s">
        <v>55</v>
      </c>
      <c r="S976" s="20">
        <v>278.14499999999998</v>
      </c>
    </row>
    <row r="977" spans="1:19" x14ac:dyDescent="0.15">
      <c r="A977" s="90">
        <v>44713</v>
      </c>
      <c r="B977" s="90" t="str">
        <f t="shared" si="137"/>
        <v>juin</v>
      </c>
      <c r="C977" s="90" t="str">
        <f t="shared" si="138"/>
        <v>2022</v>
      </c>
      <c r="D977" s="90" t="str">
        <f t="shared" si="139"/>
        <v>juin2022</v>
      </c>
      <c r="E977" s="91" t="s">
        <v>943</v>
      </c>
      <c r="F977" s="91">
        <v>150</v>
      </c>
      <c r="G977" s="94">
        <f t="shared" si="140"/>
        <v>0.15</v>
      </c>
      <c r="H977" s="92" t="s">
        <v>45</v>
      </c>
      <c r="I977" s="96">
        <f t="shared" si="135"/>
        <v>0.3</v>
      </c>
      <c r="J977" s="96">
        <f t="shared" si="136"/>
        <v>0.7</v>
      </c>
      <c r="K977" s="92">
        <f>VLOOKUP(H977,'Taux émission CO2e'!$A$5:$D$16,4,FALSE)</f>
        <v>0.16</v>
      </c>
      <c r="L977" s="93">
        <f t="shared" si="141"/>
        <v>1.8138168000000001</v>
      </c>
      <c r="M977" s="92">
        <f>VLOOKUP(H977,'Taux émission CO2e'!$A$20:$D$31,4,FALSE)</f>
        <v>6.7400000000000002E-2</v>
      </c>
      <c r="N977" s="105">
        <f t="shared" si="142"/>
        <v>1.782830763</v>
      </c>
      <c r="O977" s="93">
        <f t="shared" si="143"/>
        <v>3.5966475630000003</v>
      </c>
      <c r="P977" s="92">
        <v>158</v>
      </c>
      <c r="Q977" s="92" t="s">
        <v>92</v>
      </c>
      <c r="R977" s="92" t="s">
        <v>55</v>
      </c>
      <c r="S977" s="20">
        <v>251.91900000000001</v>
      </c>
    </row>
    <row r="978" spans="1:19" x14ac:dyDescent="0.15">
      <c r="A978" s="90">
        <v>44713</v>
      </c>
      <c r="B978" s="90" t="str">
        <f t="shared" si="137"/>
        <v>juin</v>
      </c>
      <c r="C978" s="90" t="str">
        <f t="shared" si="138"/>
        <v>2022</v>
      </c>
      <c r="D978" s="90" t="str">
        <f t="shared" si="139"/>
        <v>juin2022</v>
      </c>
      <c r="E978" s="91" t="s">
        <v>944</v>
      </c>
      <c r="F978" s="91">
        <v>106</v>
      </c>
      <c r="G978" s="94">
        <f t="shared" si="140"/>
        <v>0.106</v>
      </c>
      <c r="H978" s="92" t="s">
        <v>46</v>
      </c>
      <c r="I978" s="96">
        <f t="shared" si="135"/>
        <v>0.3</v>
      </c>
      <c r="J978" s="96">
        <f t="shared" si="136"/>
        <v>0.7</v>
      </c>
      <c r="K978" s="92">
        <f>VLOOKUP(H978,'Taux émission CO2e'!$A$5:$D$16,4,FALSE)</f>
        <v>0.16</v>
      </c>
      <c r="L978" s="93">
        <f t="shared" si="141"/>
        <v>3.7043743679999999</v>
      </c>
      <c r="M978" s="92">
        <f>VLOOKUP(H978,'Taux émission CO2e'!$A$20:$D$31,4,FALSE)</f>
        <v>6.7400000000000002E-2</v>
      </c>
      <c r="N978" s="105">
        <f t="shared" si="142"/>
        <v>3.6410913058799999</v>
      </c>
      <c r="O978" s="93">
        <f t="shared" si="143"/>
        <v>7.3454656738799997</v>
      </c>
      <c r="P978" s="92">
        <v>159</v>
      </c>
      <c r="Q978" s="92" t="s">
        <v>58</v>
      </c>
      <c r="R978" s="92" t="s">
        <v>574</v>
      </c>
      <c r="S978" s="20">
        <v>728.06100000000004</v>
      </c>
    </row>
    <row r="979" spans="1:19" x14ac:dyDescent="0.15">
      <c r="A979" s="90">
        <v>44713</v>
      </c>
      <c r="B979" s="90" t="str">
        <f t="shared" si="137"/>
        <v>juin</v>
      </c>
      <c r="C979" s="90" t="str">
        <f t="shared" si="138"/>
        <v>2022</v>
      </c>
      <c r="D979" s="90" t="str">
        <f t="shared" si="139"/>
        <v>juin2022</v>
      </c>
      <c r="E979" s="91" t="s">
        <v>945</v>
      </c>
      <c r="F979" s="91">
        <v>300</v>
      </c>
      <c r="G979" s="94">
        <f t="shared" si="140"/>
        <v>0.3</v>
      </c>
      <c r="H979" s="92" t="s">
        <v>46</v>
      </c>
      <c r="I979" s="96">
        <f t="shared" si="135"/>
        <v>0.3</v>
      </c>
      <c r="J979" s="96">
        <f t="shared" si="136"/>
        <v>0.7</v>
      </c>
      <c r="K979" s="92">
        <f>VLOOKUP(H979,'Taux émission CO2e'!$A$5:$D$16,4,FALSE)</f>
        <v>0.16</v>
      </c>
      <c r="L979" s="93">
        <f t="shared" si="141"/>
        <v>2.6901215999999999</v>
      </c>
      <c r="M979" s="92">
        <f>VLOOKUP(H979,'Taux émission CO2e'!$A$20:$D$31,4,FALSE)</f>
        <v>6.7400000000000002E-2</v>
      </c>
      <c r="N979" s="105">
        <f t="shared" si="142"/>
        <v>2.6441653559999998</v>
      </c>
      <c r="O979" s="93">
        <f t="shared" si="143"/>
        <v>5.3342869559999997</v>
      </c>
      <c r="P979" s="92">
        <v>220</v>
      </c>
      <c r="Q979" s="92" t="s">
        <v>688</v>
      </c>
      <c r="R979" s="92" t="s">
        <v>55</v>
      </c>
      <c r="S979" s="20">
        <v>186.81399999999999</v>
      </c>
    </row>
    <row r="980" spans="1:19" x14ac:dyDescent="0.15">
      <c r="A980" s="90">
        <v>44713</v>
      </c>
      <c r="B980" s="90" t="str">
        <f t="shared" si="137"/>
        <v>juin</v>
      </c>
      <c r="C980" s="90" t="str">
        <f t="shared" si="138"/>
        <v>2022</v>
      </c>
      <c r="D980" s="90" t="str">
        <f t="shared" si="139"/>
        <v>juin2022</v>
      </c>
      <c r="E980" s="91" t="s">
        <v>946</v>
      </c>
      <c r="F980" s="91">
        <v>321</v>
      </c>
      <c r="G980" s="94">
        <f t="shared" si="140"/>
        <v>0.32100000000000001</v>
      </c>
      <c r="H980" s="92" t="s">
        <v>46</v>
      </c>
      <c r="I980" s="96">
        <f t="shared" si="135"/>
        <v>0.3</v>
      </c>
      <c r="J980" s="96">
        <f t="shared" si="136"/>
        <v>0.7</v>
      </c>
      <c r="K980" s="92">
        <f>VLOOKUP(H980,'Taux émission CO2e'!$A$5:$D$16,4,FALSE)</f>
        <v>0.16</v>
      </c>
      <c r="L980" s="93">
        <f t="shared" si="141"/>
        <v>8.3051277120000009</v>
      </c>
      <c r="M980" s="92">
        <f>VLOOKUP(H980,'Taux émission CO2e'!$A$20:$D$31,4,FALSE)</f>
        <v>6.7400000000000002E-2</v>
      </c>
      <c r="N980" s="105">
        <f t="shared" si="142"/>
        <v>8.1632484469200008</v>
      </c>
      <c r="O980" s="93">
        <f t="shared" si="143"/>
        <v>16.468376158920002</v>
      </c>
      <c r="P980" s="92">
        <v>260</v>
      </c>
      <c r="Q980" s="92" t="s">
        <v>58</v>
      </c>
      <c r="R980" s="92" t="s">
        <v>405</v>
      </c>
      <c r="S980" s="20">
        <v>539.01400000000001</v>
      </c>
    </row>
    <row r="981" spans="1:19" x14ac:dyDescent="0.15">
      <c r="A981" s="90">
        <v>44713</v>
      </c>
      <c r="B981" s="90" t="str">
        <f t="shared" si="137"/>
        <v>juin</v>
      </c>
      <c r="C981" s="90" t="str">
        <f t="shared" si="138"/>
        <v>2022</v>
      </c>
      <c r="D981" s="90" t="str">
        <f t="shared" si="139"/>
        <v>juin2022</v>
      </c>
      <c r="E981" s="91" t="s">
        <v>947</v>
      </c>
      <c r="F981" s="91">
        <v>750</v>
      </c>
      <c r="G981" s="94">
        <f t="shared" si="140"/>
        <v>0.75</v>
      </c>
      <c r="H981" s="92" t="s">
        <v>46</v>
      </c>
      <c r="I981" s="96">
        <f t="shared" si="135"/>
        <v>0.3</v>
      </c>
      <c r="J981" s="96">
        <f t="shared" si="136"/>
        <v>0.7</v>
      </c>
      <c r="K981" s="92">
        <f>VLOOKUP(H981,'Taux émission CO2e'!$A$5:$D$16,4,FALSE)</f>
        <v>0.16</v>
      </c>
      <c r="L981" s="93">
        <f t="shared" si="141"/>
        <v>26.643528</v>
      </c>
      <c r="M981" s="92">
        <f>VLOOKUP(H981,'Taux émission CO2e'!$A$20:$D$31,4,FALSE)</f>
        <v>6.7400000000000002E-2</v>
      </c>
      <c r="N981" s="105">
        <f t="shared" si="142"/>
        <v>26.18836773</v>
      </c>
      <c r="O981" s="93">
        <f t="shared" si="143"/>
        <v>52.831895729999999</v>
      </c>
      <c r="P981" s="92">
        <v>551</v>
      </c>
      <c r="Q981" s="92" t="s">
        <v>473</v>
      </c>
      <c r="R981" s="92" t="s">
        <v>55</v>
      </c>
      <c r="S981" s="20">
        <v>740.09799999999996</v>
      </c>
    </row>
    <row r="982" spans="1:19" x14ac:dyDescent="0.15">
      <c r="A982" s="90">
        <v>44714</v>
      </c>
      <c r="B982" s="90" t="str">
        <f t="shared" si="137"/>
        <v>juin</v>
      </c>
      <c r="C982" s="90" t="str">
        <f t="shared" si="138"/>
        <v>2022</v>
      </c>
      <c r="D982" s="90" t="str">
        <f t="shared" si="139"/>
        <v>juin2022</v>
      </c>
      <c r="E982" s="91" t="s">
        <v>948</v>
      </c>
      <c r="F982" s="91">
        <v>150</v>
      </c>
      <c r="G982" s="94">
        <f t="shared" si="140"/>
        <v>0.15</v>
      </c>
      <c r="H982" s="92" t="s">
        <v>45</v>
      </c>
      <c r="I982" s="96">
        <f t="shared" si="135"/>
        <v>0.3</v>
      </c>
      <c r="J982" s="96">
        <f t="shared" si="136"/>
        <v>0.7</v>
      </c>
      <c r="K982" s="92">
        <f>VLOOKUP(H982,'Taux émission CO2e'!$A$5:$D$16,4,FALSE)</f>
        <v>0.16</v>
      </c>
      <c r="L982" s="93">
        <f t="shared" si="141"/>
        <v>0.33504479999999998</v>
      </c>
      <c r="M982" s="92">
        <f>VLOOKUP(H982,'Taux émission CO2e'!$A$20:$D$31,4,FALSE)</f>
        <v>6.7400000000000002E-2</v>
      </c>
      <c r="N982" s="105">
        <f t="shared" si="142"/>
        <v>0.32932111799999997</v>
      </c>
      <c r="O982" s="93">
        <f t="shared" si="143"/>
        <v>0.66436591799999989</v>
      </c>
      <c r="P982" s="92">
        <v>90</v>
      </c>
      <c r="Q982" s="92" t="s">
        <v>816</v>
      </c>
      <c r="R982" s="92" t="s">
        <v>55</v>
      </c>
      <c r="S982" s="20">
        <v>46.533999999999999</v>
      </c>
    </row>
    <row r="983" spans="1:19" x14ac:dyDescent="0.15">
      <c r="A983" s="90">
        <v>44714</v>
      </c>
      <c r="B983" s="90" t="str">
        <f t="shared" si="137"/>
        <v>juin</v>
      </c>
      <c r="C983" s="90" t="str">
        <f t="shared" si="138"/>
        <v>2022</v>
      </c>
      <c r="D983" s="90" t="str">
        <f t="shared" si="139"/>
        <v>juin2022</v>
      </c>
      <c r="E983" s="91" t="s">
        <v>949</v>
      </c>
      <c r="F983" s="91">
        <v>300</v>
      </c>
      <c r="G983" s="94">
        <f t="shared" si="140"/>
        <v>0.3</v>
      </c>
      <c r="H983" s="92" t="s">
        <v>46</v>
      </c>
      <c r="I983" s="96">
        <f t="shared" si="135"/>
        <v>0.3</v>
      </c>
      <c r="J983" s="96">
        <f t="shared" si="136"/>
        <v>0.7</v>
      </c>
      <c r="K983" s="92">
        <f>VLOOKUP(H983,'Taux émission CO2e'!$A$5:$D$16,4,FALSE)</f>
        <v>0.16</v>
      </c>
      <c r="L983" s="93">
        <f t="shared" si="141"/>
        <v>7.7979743999999993</v>
      </c>
      <c r="M983" s="92">
        <f>VLOOKUP(H983,'Taux émission CO2e'!$A$20:$D$31,4,FALSE)</f>
        <v>6.7400000000000002E-2</v>
      </c>
      <c r="N983" s="105">
        <f t="shared" si="142"/>
        <v>7.6647590039999995</v>
      </c>
      <c r="O983" s="93">
        <f t="shared" si="143"/>
        <v>15.462733403999998</v>
      </c>
      <c r="P983" s="92">
        <v>239</v>
      </c>
      <c r="Q983" s="92" t="s">
        <v>62</v>
      </c>
      <c r="R983" s="92" t="s">
        <v>55</v>
      </c>
      <c r="S983" s="20">
        <v>541.52599999999995</v>
      </c>
    </row>
    <row r="984" spans="1:19" x14ac:dyDescent="0.15">
      <c r="A984" s="90">
        <v>44715</v>
      </c>
      <c r="B984" s="90" t="str">
        <f t="shared" si="137"/>
        <v>juin</v>
      </c>
      <c r="C984" s="90" t="str">
        <f t="shared" si="138"/>
        <v>2022</v>
      </c>
      <c r="D984" s="90" t="str">
        <f t="shared" si="139"/>
        <v>juin2022</v>
      </c>
      <c r="E984" s="91" t="s">
        <v>950</v>
      </c>
      <c r="F984" s="91">
        <v>174</v>
      </c>
      <c r="G984" s="94">
        <f t="shared" si="140"/>
        <v>0.17399999999999999</v>
      </c>
      <c r="H984" s="92" t="s">
        <v>46</v>
      </c>
      <c r="I984" s="96">
        <f t="shared" si="135"/>
        <v>0.3</v>
      </c>
      <c r="J984" s="96">
        <f t="shared" si="136"/>
        <v>0.7</v>
      </c>
      <c r="K984" s="92">
        <f>VLOOKUP(H984,'Taux émission CO2e'!$A$5:$D$16,4,FALSE)</f>
        <v>0.16</v>
      </c>
      <c r="L984" s="93">
        <f t="shared" si="141"/>
        <v>2.0928358080000002</v>
      </c>
      <c r="M984" s="92">
        <f>VLOOKUP(H984,'Taux émission CO2e'!$A$20:$D$31,4,FALSE)</f>
        <v>6.7400000000000002E-2</v>
      </c>
      <c r="N984" s="105">
        <f t="shared" si="142"/>
        <v>2.0570831962799998</v>
      </c>
      <c r="O984" s="93">
        <f t="shared" si="143"/>
        <v>4.14991900428</v>
      </c>
      <c r="P984" s="92">
        <v>100</v>
      </c>
      <c r="Q984" s="92" t="s">
        <v>58</v>
      </c>
      <c r="R984" s="92" t="s">
        <v>79</v>
      </c>
      <c r="S984" s="20">
        <v>250.57900000000001</v>
      </c>
    </row>
    <row r="985" spans="1:19" x14ac:dyDescent="0.15">
      <c r="A985" s="90">
        <v>44715</v>
      </c>
      <c r="B985" s="90" t="str">
        <f t="shared" si="137"/>
        <v>juin</v>
      </c>
      <c r="C985" s="90" t="str">
        <f t="shared" si="138"/>
        <v>2022</v>
      </c>
      <c r="D985" s="90" t="str">
        <f t="shared" si="139"/>
        <v>juin2022</v>
      </c>
      <c r="E985" s="91" t="s">
        <v>951</v>
      </c>
      <c r="F985" s="91">
        <v>106</v>
      </c>
      <c r="G985" s="94">
        <f t="shared" si="140"/>
        <v>0.106</v>
      </c>
      <c r="H985" s="92" t="s">
        <v>46</v>
      </c>
      <c r="I985" s="96">
        <f t="shared" si="135"/>
        <v>0.3</v>
      </c>
      <c r="J985" s="96">
        <f t="shared" si="136"/>
        <v>0.7</v>
      </c>
      <c r="K985" s="92">
        <f>VLOOKUP(H985,'Taux émission CO2e'!$A$5:$D$16,4,FALSE)</f>
        <v>0.16</v>
      </c>
      <c r="L985" s="93">
        <f t="shared" si="141"/>
        <v>1.748358912</v>
      </c>
      <c r="M985" s="92">
        <f>VLOOKUP(H985,'Taux émission CO2e'!$A$20:$D$31,4,FALSE)</f>
        <v>6.7400000000000002E-2</v>
      </c>
      <c r="N985" s="105">
        <f t="shared" si="142"/>
        <v>1.7184911139200001</v>
      </c>
      <c r="O985" s="93">
        <f t="shared" si="143"/>
        <v>3.4668500259200004</v>
      </c>
      <c r="P985" s="92">
        <v>125</v>
      </c>
      <c r="Q985" s="92" t="s">
        <v>58</v>
      </c>
      <c r="R985" s="92" t="s">
        <v>513</v>
      </c>
      <c r="S985" s="20">
        <v>343.62400000000002</v>
      </c>
    </row>
    <row r="986" spans="1:19" x14ac:dyDescent="0.15">
      <c r="A986" s="90">
        <v>44715</v>
      </c>
      <c r="B986" s="90" t="str">
        <f t="shared" si="137"/>
        <v>juin</v>
      </c>
      <c r="C986" s="90" t="str">
        <f t="shared" si="138"/>
        <v>2022</v>
      </c>
      <c r="D986" s="90" t="str">
        <f t="shared" si="139"/>
        <v>juin2022</v>
      </c>
      <c r="E986" s="91" t="s">
        <v>952</v>
      </c>
      <c r="F986" s="91">
        <v>174</v>
      </c>
      <c r="G986" s="94">
        <f t="shared" si="140"/>
        <v>0.17399999999999999</v>
      </c>
      <c r="H986" s="92" t="s">
        <v>46</v>
      </c>
      <c r="I986" s="96">
        <f t="shared" si="135"/>
        <v>0.3</v>
      </c>
      <c r="J986" s="96">
        <f t="shared" si="136"/>
        <v>0.7</v>
      </c>
      <c r="K986" s="92">
        <f>VLOOKUP(H986,'Taux émission CO2e'!$A$5:$D$16,4,FALSE)</f>
        <v>0.16</v>
      </c>
      <c r="L986" s="93">
        <f t="shared" si="141"/>
        <v>2.1555676799999999</v>
      </c>
      <c r="M986" s="92">
        <f>VLOOKUP(H986,'Taux émission CO2e'!$A$20:$D$31,4,FALSE)</f>
        <v>6.7400000000000002E-2</v>
      </c>
      <c r="N986" s="105">
        <f t="shared" si="142"/>
        <v>2.1187433987999995</v>
      </c>
      <c r="O986" s="93">
        <f t="shared" si="143"/>
        <v>4.2743110787999994</v>
      </c>
      <c r="P986" s="92">
        <v>130</v>
      </c>
      <c r="Q986" s="92" t="s">
        <v>58</v>
      </c>
      <c r="R986" s="92" t="s">
        <v>953</v>
      </c>
      <c r="S986" s="20">
        <v>258.08999999999997</v>
      </c>
    </row>
    <row r="987" spans="1:19" x14ac:dyDescent="0.15">
      <c r="A987" s="90">
        <v>44715</v>
      </c>
      <c r="B987" s="90" t="str">
        <f t="shared" si="137"/>
        <v>juin</v>
      </c>
      <c r="C987" s="90" t="str">
        <f t="shared" si="138"/>
        <v>2022</v>
      </c>
      <c r="D987" s="90" t="str">
        <f t="shared" si="139"/>
        <v>juin2022</v>
      </c>
      <c r="E987" s="91" t="s">
        <v>954</v>
      </c>
      <c r="F987" s="91">
        <v>150</v>
      </c>
      <c r="G987" s="94">
        <f t="shared" si="140"/>
        <v>0.15</v>
      </c>
      <c r="H987" s="92" t="s">
        <v>45</v>
      </c>
      <c r="I987" s="96">
        <f t="shared" si="135"/>
        <v>0.3</v>
      </c>
      <c r="J987" s="96">
        <f t="shared" si="136"/>
        <v>0.7</v>
      </c>
      <c r="K987" s="92">
        <f>VLOOKUP(H987,'Taux émission CO2e'!$A$5:$D$16,4,FALSE)</f>
        <v>0.16</v>
      </c>
      <c r="L987" s="93">
        <f t="shared" si="141"/>
        <v>1.9215215999999999</v>
      </c>
      <c r="M987" s="92">
        <f>VLOOKUP(H987,'Taux émission CO2e'!$A$20:$D$31,4,FALSE)</f>
        <v>6.7400000000000002E-2</v>
      </c>
      <c r="N987" s="105">
        <f t="shared" si="142"/>
        <v>1.888695606</v>
      </c>
      <c r="O987" s="93">
        <f t="shared" si="143"/>
        <v>3.8102172059999999</v>
      </c>
      <c r="P987" s="92">
        <v>135</v>
      </c>
      <c r="Q987" s="92" t="s">
        <v>730</v>
      </c>
      <c r="R987" s="92" t="s">
        <v>55</v>
      </c>
      <c r="S987" s="20">
        <v>266.87799999999999</v>
      </c>
    </row>
    <row r="988" spans="1:19" x14ac:dyDescent="0.15">
      <c r="A988" s="90">
        <v>44715</v>
      </c>
      <c r="B988" s="90" t="str">
        <f t="shared" si="137"/>
        <v>juin</v>
      </c>
      <c r="C988" s="90" t="str">
        <f t="shared" si="138"/>
        <v>2022</v>
      </c>
      <c r="D988" s="90" t="str">
        <f t="shared" si="139"/>
        <v>juin2022</v>
      </c>
      <c r="E988" s="91" t="s">
        <v>955</v>
      </c>
      <c r="F988" s="91">
        <v>106</v>
      </c>
      <c r="G988" s="94">
        <f t="shared" si="140"/>
        <v>0.106</v>
      </c>
      <c r="H988" s="92" t="s">
        <v>46</v>
      </c>
      <c r="I988" s="96">
        <f t="shared" si="135"/>
        <v>0.3</v>
      </c>
      <c r="J988" s="96">
        <f t="shared" si="136"/>
        <v>0.7</v>
      </c>
      <c r="K988" s="92">
        <f>VLOOKUP(H988,'Taux émission CO2e'!$A$5:$D$16,4,FALSE)</f>
        <v>0.16</v>
      </c>
      <c r="L988" s="93">
        <f t="shared" si="141"/>
        <v>2.201674272</v>
      </c>
      <c r="M988" s="92">
        <f>VLOOKUP(H988,'Taux émission CO2e'!$A$20:$D$31,4,FALSE)</f>
        <v>6.7400000000000002E-2</v>
      </c>
      <c r="N988" s="105">
        <f t="shared" si="142"/>
        <v>2.1640623365199998</v>
      </c>
      <c r="O988" s="93">
        <f t="shared" si="143"/>
        <v>4.3657366085199998</v>
      </c>
      <c r="P988" s="92">
        <v>154</v>
      </c>
      <c r="Q988" s="92" t="s">
        <v>58</v>
      </c>
      <c r="R988" s="92" t="s">
        <v>515</v>
      </c>
      <c r="S988" s="20">
        <v>432.71899999999999</v>
      </c>
    </row>
    <row r="989" spans="1:19" x14ac:dyDescent="0.15">
      <c r="A989" s="90">
        <v>44715</v>
      </c>
      <c r="B989" s="90" t="str">
        <f t="shared" si="137"/>
        <v>juin</v>
      </c>
      <c r="C989" s="90" t="str">
        <f t="shared" si="138"/>
        <v>2022</v>
      </c>
      <c r="D989" s="90" t="str">
        <f t="shared" si="139"/>
        <v>juin2022</v>
      </c>
      <c r="E989" s="91" t="s">
        <v>956</v>
      </c>
      <c r="F989" s="91">
        <v>150</v>
      </c>
      <c r="G989" s="94">
        <f t="shared" si="140"/>
        <v>0.15</v>
      </c>
      <c r="H989" s="92" t="s">
        <v>45</v>
      </c>
      <c r="I989" s="96">
        <f t="shared" si="135"/>
        <v>0.3</v>
      </c>
      <c r="J989" s="96">
        <f t="shared" si="136"/>
        <v>0.7</v>
      </c>
      <c r="K989" s="92">
        <f>VLOOKUP(H989,'Taux émission CO2e'!$A$5:$D$16,4,FALSE)</f>
        <v>0.16</v>
      </c>
      <c r="L989" s="93">
        <f t="shared" si="141"/>
        <v>1.8302616</v>
      </c>
      <c r="M989" s="92">
        <f>VLOOKUP(H989,'Taux émission CO2e'!$A$20:$D$31,4,FALSE)</f>
        <v>6.7400000000000002E-2</v>
      </c>
      <c r="N989" s="105">
        <f t="shared" si="142"/>
        <v>1.798994631</v>
      </c>
      <c r="O989" s="93">
        <f t="shared" si="143"/>
        <v>3.6292562310000003</v>
      </c>
      <c r="P989" s="92">
        <v>158</v>
      </c>
      <c r="Q989" s="92" t="s">
        <v>871</v>
      </c>
      <c r="R989" s="92" t="s">
        <v>55</v>
      </c>
      <c r="S989" s="20">
        <v>254.203</v>
      </c>
    </row>
    <row r="990" spans="1:19" x14ac:dyDescent="0.15">
      <c r="A990" s="90">
        <v>44715</v>
      </c>
      <c r="B990" s="90" t="str">
        <f t="shared" si="137"/>
        <v>juin</v>
      </c>
      <c r="C990" s="90" t="str">
        <f t="shared" si="138"/>
        <v>2022</v>
      </c>
      <c r="D990" s="90" t="str">
        <f t="shared" si="139"/>
        <v>juin2022</v>
      </c>
      <c r="E990" s="91" t="s">
        <v>957</v>
      </c>
      <c r="F990" s="91">
        <v>70</v>
      </c>
      <c r="G990" s="94">
        <f t="shared" si="140"/>
        <v>7.0000000000000007E-2</v>
      </c>
      <c r="H990" s="92" t="s">
        <v>46</v>
      </c>
      <c r="I990" s="96">
        <f t="shared" si="135"/>
        <v>0.3</v>
      </c>
      <c r="J990" s="96">
        <f t="shared" si="136"/>
        <v>0.7</v>
      </c>
      <c r="K990" s="92">
        <f>VLOOKUP(H990,'Taux émission CO2e'!$A$5:$D$16,4,FALSE)</f>
        <v>0.16</v>
      </c>
      <c r="L990" s="93">
        <f t="shared" si="141"/>
        <v>2.5389302400000004</v>
      </c>
      <c r="M990" s="92">
        <f>VLOOKUP(H990,'Taux émission CO2e'!$A$20:$D$31,4,FALSE)</f>
        <v>6.7400000000000002E-2</v>
      </c>
      <c r="N990" s="105">
        <f t="shared" si="142"/>
        <v>2.4955568484000001</v>
      </c>
      <c r="O990" s="93">
        <f t="shared" si="143"/>
        <v>5.0344870884000006</v>
      </c>
      <c r="P990" s="92">
        <v>168</v>
      </c>
      <c r="Q990" s="92" t="s">
        <v>58</v>
      </c>
      <c r="R990" s="92" t="s">
        <v>108</v>
      </c>
      <c r="S990" s="20">
        <v>755.63400000000001</v>
      </c>
    </row>
    <row r="991" spans="1:19" x14ac:dyDescent="0.15">
      <c r="A991" s="90">
        <v>44715</v>
      </c>
      <c r="B991" s="90" t="str">
        <f t="shared" si="137"/>
        <v>juin</v>
      </c>
      <c r="C991" s="90" t="str">
        <f t="shared" si="138"/>
        <v>2022</v>
      </c>
      <c r="D991" s="90" t="str">
        <f t="shared" si="139"/>
        <v>juin2022</v>
      </c>
      <c r="E991" s="91" t="s">
        <v>958</v>
      </c>
      <c r="F991" s="91">
        <v>300</v>
      </c>
      <c r="G991" s="94">
        <f t="shared" si="140"/>
        <v>0.3</v>
      </c>
      <c r="H991" s="92" t="s">
        <v>46</v>
      </c>
      <c r="I991" s="96">
        <f t="shared" si="135"/>
        <v>0.3</v>
      </c>
      <c r="J991" s="96">
        <f t="shared" si="136"/>
        <v>0.7</v>
      </c>
      <c r="K991" s="92">
        <f>VLOOKUP(H991,'Taux émission CO2e'!$A$5:$D$16,4,FALSE)</f>
        <v>0.16</v>
      </c>
      <c r="L991" s="93">
        <f t="shared" si="141"/>
        <v>2.4943679999999997</v>
      </c>
      <c r="M991" s="92">
        <f>VLOOKUP(H991,'Taux émission CO2e'!$A$20:$D$31,4,FALSE)</f>
        <v>6.7400000000000002E-2</v>
      </c>
      <c r="N991" s="105">
        <f t="shared" si="142"/>
        <v>2.4517558799999999</v>
      </c>
      <c r="O991" s="93">
        <f t="shared" si="143"/>
        <v>4.94612388</v>
      </c>
      <c r="P991" s="92">
        <v>200</v>
      </c>
      <c r="Q991" s="92" t="s">
        <v>708</v>
      </c>
      <c r="R991" s="92" t="s">
        <v>55</v>
      </c>
      <c r="S991" s="20">
        <v>173.22</v>
      </c>
    </row>
    <row r="992" spans="1:19" x14ac:dyDescent="0.15">
      <c r="A992" s="90">
        <v>44715</v>
      </c>
      <c r="B992" s="90" t="str">
        <f t="shared" si="137"/>
        <v>juin</v>
      </c>
      <c r="C992" s="90" t="str">
        <f t="shared" si="138"/>
        <v>2022</v>
      </c>
      <c r="D992" s="90" t="str">
        <f t="shared" si="139"/>
        <v>juin2022</v>
      </c>
      <c r="E992" s="91" t="s">
        <v>959</v>
      </c>
      <c r="F992" s="91">
        <v>400</v>
      </c>
      <c r="G992" s="94">
        <f t="shared" si="140"/>
        <v>0.4</v>
      </c>
      <c r="H992" s="92" t="s">
        <v>45</v>
      </c>
      <c r="I992" s="96">
        <f t="shared" si="135"/>
        <v>0.3</v>
      </c>
      <c r="J992" s="96">
        <f t="shared" si="136"/>
        <v>0.7</v>
      </c>
      <c r="K992" s="92">
        <f>VLOOKUP(H992,'Taux émission CO2e'!$A$5:$D$16,4,FALSE)</f>
        <v>0.16</v>
      </c>
      <c r="L992" s="93">
        <f t="shared" si="141"/>
        <v>5.347142400000001</v>
      </c>
      <c r="M992" s="92">
        <f>VLOOKUP(H992,'Taux émission CO2e'!$A$20:$D$31,4,FALSE)</f>
        <v>6.7400000000000002E-2</v>
      </c>
      <c r="N992" s="105">
        <f t="shared" si="142"/>
        <v>5.2557953839999998</v>
      </c>
      <c r="O992" s="93">
        <f t="shared" si="143"/>
        <v>10.602937784000002</v>
      </c>
      <c r="P992" s="92">
        <v>200</v>
      </c>
      <c r="Q992" s="92" t="s">
        <v>90</v>
      </c>
      <c r="R992" s="92" t="s">
        <v>55</v>
      </c>
      <c r="S992" s="20">
        <v>278.49700000000001</v>
      </c>
    </row>
    <row r="993" spans="1:19" x14ac:dyDescent="0.15">
      <c r="A993" s="90">
        <v>44715</v>
      </c>
      <c r="B993" s="90" t="str">
        <f t="shared" si="137"/>
        <v>juin</v>
      </c>
      <c r="C993" s="90" t="str">
        <f t="shared" si="138"/>
        <v>2022</v>
      </c>
      <c r="D993" s="90" t="str">
        <f t="shared" si="139"/>
        <v>juin2022</v>
      </c>
      <c r="E993" s="91" t="s">
        <v>960</v>
      </c>
      <c r="F993" s="91">
        <v>212</v>
      </c>
      <c r="G993" s="94">
        <f t="shared" si="140"/>
        <v>0.21199999999999999</v>
      </c>
      <c r="H993" s="92" t="s">
        <v>46</v>
      </c>
      <c r="I993" s="96">
        <f t="shared" si="135"/>
        <v>0.3</v>
      </c>
      <c r="J993" s="96">
        <f t="shared" si="136"/>
        <v>0.7</v>
      </c>
      <c r="K993" s="92">
        <f>VLOOKUP(H993,'Taux émission CO2e'!$A$5:$D$16,4,FALSE)</f>
        <v>0.16</v>
      </c>
      <c r="L993" s="93">
        <f t="shared" si="141"/>
        <v>2.8472346239999995</v>
      </c>
      <c r="M993" s="92">
        <f>VLOOKUP(H993,'Taux émission CO2e'!$A$20:$D$31,4,FALSE)</f>
        <v>6.7400000000000002E-2</v>
      </c>
      <c r="N993" s="105">
        <f t="shared" si="142"/>
        <v>2.7985943658399997</v>
      </c>
      <c r="O993" s="93">
        <f t="shared" si="143"/>
        <v>5.6458289898399991</v>
      </c>
      <c r="P993" s="92">
        <v>205</v>
      </c>
      <c r="Q993" s="92" t="s">
        <v>58</v>
      </c>
      <c r="R993" s="92" t="s">
        <v>70</v>
      </c>
      <c r="S993" s="20">
        <v>279.79899999999998</v>
      </c>
    </row>
    <row r="994" spans="1:19" x14ac:dyDescent="0.15">
      <c r="A994" s="90">
        <v>44715</v>
      </c>
      <c r="B994" s="90" t="str">
        <f t="shared" si="137"/>
        <v>juin</v>
      </c>
      <c r="C994" s="90" t="str">
        <f t="shared" si="138"/>
        <v>2022</v>
      </c>
      <c r="D994" s="90" t="str">
        <f t="shared" si="139"/>
        <v>juin2022</v>
      </c>
      <c r="E994" s="91" t="s">
        <v>961</v>
      </c>
      <c r="F994" s="91">
        <v>212</v>
      </c>
      <c r="G994" s="94">
        <f t="shared" si="140"/>
        <v>0.21199999999999999</v>
      </c>
      <c r="H994" s="92" t="s">
        <v>46</v>
      </c>
      <c r="I994" s="96">
        <f t="shared" si="135"/>
        <v>0.3</v>
      </c>
      <c r="J994" s="96">
        <f t="shared" si="136"/>
        <v>0.7</v>
      </c>
      <c r="K994" s="92">
        <f>VLOOKUP(H994,'Taux émission CO2e'!$A$5:$D$16,4,FALSE)</f>
        <v>0.16</v>
      </c>
      <c r="L994" s="93">
        <f t="shared" si="141"/>
        <v>5.4850064639999996</v>
      </c>
      <c r="M994" s="92">
        <f>VLOOKUP(H994,'Taux émission CO2e'!$A$20:$D$31,4,FALSE)</f>
        <v>6.7400000000000002E-2</v>
      </c>
      <c r="N994" s="105">
        <f t="shared" si="142"/>
        <v>5.39130427024</v>
      </c>
      <c r="O994" s="93">
        <f t="shared" si="143"/>
        <v>10.87631073424</v>
      </c>
      <c r="P994" s="92">
        <v>260</v>
      </c>
      <c r="Q994" s="92" t="s">
        <v>58</v>
      </c>
      <c r="R994" s="92" t="s">
        <v>405</v>
      </c>
      <c r="S994" s="20">
        <v>539.01400000000001</v>
      </c>
    </row>
    <row r="995" spans="1:19" x14ac:dyDescent="0.15">
      <c r="A995" s="90">
        <v>44715</v>
      </c>
      <c r="B995" s="90" t="str">
        <f t="shared" si="137"/>
        <v>juin</v>
      </c>
      <c r="C995" s="90" t="str">
        <f t="shared" si="138"/>
        <v>2022</v>
      </c>
      <c r="D995" s="90" t="str">
        <f t="shared" si="139"/>
        <v>juin2022</v>
      </c>
      <c r="E995" s="91" t="s">
        <v>962</v>
      </c>
      <c r="F995" s="91">
        <v>450</v>
      </c>
      <c r="G995" s="94">
        <f t="shared" si="140"/>
        <v>0.45</v>
      </c>
      <c r="H995" s="92" t="s">
        <v>46</v>
      </c>
      <c r="I995" s="96">
        <f t="shared" si="135"/>
        <v>0.3</v>
      </c>
      <c r="J995" s="96">
        <f t="shared" si="136"/>
        <v>0.7</v>
      </c>
      <c r="K995" s="92">
        <f>VLOOKUP(H995,'Taux émission CO2e'!$A$5:$D$16,4,FALSE)</f>
        <v>0.16</v>
      </c>
      <c r="L995" s="93">
        <f t="shared" si="141"/>
        <v>9.8510472</v>
      </c>
      <c r="M995" s="92">
        <f>VLOOKUP(H995,'Taux émission CO2e'!$A$20:$D$31,4,FALSE)</f>
        <v>6.7400000000000002E-2</v>
      </c>
      <c r="N995" s="105">
        <f t="shared" si="142"/>
        <v>9.6827584770000001</v>
      </c>
      <c r="O995" s="93">
        <f t="shared" si="143"/>
        <v>19.533805677</v>
      </c>
      <c r="P995" s="92">
        <v>280</v>
      </c>
      <c r="Q995" s="92" t="s">
        <v>570</v>
      </c>
      <c r="R995" s="92" t="s">
        <v>55</v>
      </c>
      <c r="S995" s="20">
        <v>456.06700000000001</v>
      </c>
    </row>
    <row r="996" spans="1:19" x14ac:dyDescent="0.15">
      <c r="A996" s="90">
        <v>44718</v>
      </c>
      <c r="B996" s="90" t="str">
        <f t="shared" si="137"/>
        <v>juin</v>
      </c>
      <c r="C996" s="90" t="str">
        <f t="shared" si="138"/>
        <v>2022</v>
      </c>
      <c r="D996" s="90" t="str">
        <f t="shared" si="139"/>
        <v>juin2022</v>
      </c>
      <c r="E996" s="91" t="s">
        <v>963</v>
      </c>
      <c r="F996" s="91">
        <v>300</v>
      </c>
      <c r="G996" s="94">
        <f t="shared" si="140"/>
        <v>0.3</v>
      </c>
      <c r="H996" s="92" t="s">
        <v>46</v>
      </c>
      <c r="I996" s="96">
        <f t="shared" si="135"/>
        <v>0.3</v>
      </c>
      <c r="J996" s="96">
        <f t="shared" si="136"/>
        <v>0.7</v>
      </c>
      <c r="K996" s="92">
        <f>VLOOKUP(H996,'Taux émission CO2e'!$A$5:$D$16,4,FALSE)</f>
        <v>0.16</v>
      </c>
      <c r="L996" s="93">
        <f t="shared" si="141"/>
        <v>3.7158191999999999</v>
      </c>
      <c r="M996" s="92">
        <f>VLOOKUP(H996,'Taux émission CO2e'!$A$20:$D$31,4,FALSE)</f>
        <v>6.7400000000000002E-2</v>
      </c>
      <c r="N996" s="105">
        <f t="shared" si="142"/>
        <v>3.6523406220000001</v>
      </c>
      <c r="O996" s="93">
        <f t="shared" si="143"/>
        <v>7.368159822</v>
      </c>
      <c r="P996" s="92">
        <v>200</v>
      </c>
      <c r="Q996" s="92" t="s">
        <v>102</v>
      </c>
      <c r="R996" s="92" t="s">
        <v>55</v>
      </c>
      <c r="S996" s="20">
        <v>258.04300000000001</v>
      </c>
    </row>
    <row r="997" spans="1:19" x14ac:dyDescent="0.15">
      <c r="A997" s="90">
        <v>44719</v>
      </c>
      <c r="B997" s="90" t="str">
        <f t="shared" si="137"/>
        <v>juin</v>
      </c>
      <c r="C997" s="90" t="str">
        <f t="shared" si="138"/>
        <v>2022</v>
      </c>
      <c r="D997" s="90" t="str">
        <f t="shared" si="139"/>
        <v>juin2022</v>
      </c>
      <c r="E997" s="91" t="s">
        <v>964</v>
      </c>
      <c r="F997" s="91">
        <v>224</v>
      </c>
      <c r="G997" s="94">
        <f t="shared" si="140"/>
        <v>0.224</v>
      </c>
      <c r="H997" s="92" t="s">
        <v>46</v>
      </c>
      <c r="I997" s="96">
        <f t="shared" si="135"/>
        <v>0.3</v>
      </c>
      <c r="J997" s="96">
        <f t="shared" si="136"/>
        <v>0.7</v>
      </c>
      <c r="K997" s="92">
        <f>VLOOKUP(H997,'Taux émission CO2e'!$A$5:$D$16,4,FALSE)</f>
        <v>0.16</v>
      </c>
      <c r="L997" s="93">
        <f t="shared" si="141"/>
        <v>3.4059863040000002</v>
      </c>
      <c r="M997" s="92">
        <f>VLOOKUP(H997,'Taux émission CO2e'!$A$20:$D$31,4,FALSE)</f>
        <v>6.7400000000000002E-2</v>
      </c>
      <c r="N997" s="105">
        <f t="shared" si="142"/>
        <v>3.34780070464</v>
      </c>
      <c r="O997" s="93">
        <f t="shared" si="143"/>
        <v>6.7537870086399998</v>
      </c>
      <c r="P997" s="92">
        <v>210</v>
      </c>
      <c r="Q997" s="92" t="s">
        <v>58</v>
      </c>
      <c r="R997" s="92" t="s">
        <v>632</v>
      </c>
      <c r="S997" s="20">
        <v>316.77699999999999</v>
      </c>
    </row>
    <row r="998" spans="1:19" x14ac:dyDescent="0.15">
      <c r="A998" s="90">
        <v>44719</v>
      </c>
      <c r="B998" s="90" t="str">
        <f t="shared" si="137"/>
        <v>juin</v>
      </c>
      <c r="C998" s="90" t="str">
        <f t="shared" si="138"/>
        <v>2022</v>
      </c>
      <c r="D998" s="90" t="str">
        <f t="shared" si="139"/>
        <v>juin2022</v>
      </c>
      <c r="E998" s="91" t="s">
        <v>965</v>
      </c>
      <c r="F998" s="91">
        <v>348</v>
      </c>
      <c r="G998" s="94">
        <f t="shared" si="140"/>
        <v>0.34799999999999998</v>
      </c>
      <c r="H998" s="92" t="s">
        <v>46</v>
      </c>
      <c r="I998" s="96">
        <f t="shared" si="135"/>
        <v>0.3</v>
      </c>
      <c r="J998" s="96">
        <f t="shared" si="136"/>
        <v>0.7</v>
      </c>
      <c r="K998" s="92">
        <f>VLOOKUP(H998,'Taux émission CO2e'!$A$5:$D$16,4,FALSE)</f>
        <v>0.16</v>
      </c>
      <c r="L998" s="93">
        <f t="shared" si="141"/>
        <v>4.4356636800000002</v>
      </c>
      <c r="M998" s="92">
        <f>VLOOKUP(H998,'Taux émission CO2e'!$A$20:$D$31,4,FALSE)</f>
        <v>6.7400000000000002E-2</v>
      </c>
      <c r="N998" s="105">
        <f t="shared" si="142"/>
        <v>4.3598877588000002</v>
      </c>
      <c r="O998" s="93">
        <f t="shared" si="143"/>
        <v>8.7955514388000005</v>
      </c>
      <c r="P998" s="92">
        <v>215</v>
      </c>
      <c r="Q998" s="92" t="s">
        <v>58</v>
      </c>
      <c r="R998" s="92" t="s">
        <v>71</v>
      </c>
      <c r="S998" s="20">
        <v>265.54500000000002</v>
      </c>
    </row>
    <row r="999" spans="1:19" x14ac:dyDescent="0.15">
      <c r="A999" s="90">
        <v>44719</v>
      </c>
      <c r="B999" s="90" t="str">
        <f t="shared" si="137"/>
        <v>juin</v>
      </c>
      <c r="C999" s="90" t="str">
        <f t="shared" si="138"/>
        <v>2022</v>
      </c>
      <c r="D999" s="90" t="str">
        <f t="shared" si="139"/>
        <v>juin2022</v>
      </c>
      <c r="E999" s="91" t="s">
        <v>966</v>
      </c>
      <c r="F999" s="91">
        <v>750</v>
      </c>
      <c r="G999" s="94">
        <f t="shared" si="140"/>
        <v>0.75</v>
      </c>
      <c r="H999" s="92" t="s">
        <v>45</v>
      </c>
      <c r="I999" s="96">
        <f t="shared" si="135"/>
        <v>0.3</v>
      </c>
      <c r="J999" s="96">
        <f t="shared" si="136"/>
        <v>0.7</v>
      </c>
      <c r="K999" s="92">
        <f>VLOOKUP(H999,'Taux émission CO2e'!$A$5:$D$16,4,FALSE)</f>
        <v>0.16</v>
      </c>
      <c r="L999" s="93">
        <f t="shared" si="141"/>
        <v>1.8809640000000003</v>
      </c>
      <c r="M999" s="92">
        <f>VLOOKUP(H999,'Taux émission CO2e'!$A$20:$D$31,4,FALSE)</f>
        <v>6.7400000000000002E-2</v>
      </c>
      <c r="N999" s="105">
        <f t="shared" si="142"/>
        <v>1.848830865</v>
      </c>
      <c r="O999" s="93">
        <f t="shared" si="143"/>
        <v>3.7297948650000006</v>
      </c>
      <c r="P999" s="92">
        <v>280</v>
      </c>
      <c r="Q999" s="92" t="s">
        <v>153</v>
      </c>
      <c r="R999" s="92" t="s">
        <v>55</v>
      </c>
      <c r="S999" s="20">
        <v>52.249000000000002</v>
      </c>
    </row>
    <row r="1000" spans="1:19" x14ac:dyDescent="0.15">
      <c r="A1000" s="90">
        <v>44719</v>
      </c>
      <c r="B1000" s="90" t="str">
        <f t="shared" si="137"/>
        <v>juin</v>
      </c>
      <c r="C1000" s="90" t="str">
        <f t="shared" si="138"/>
        <v>2022</v>
      </c>
      <c r="D1000" s="90" t="str">
        <f t="shared" si="139"/>
        <v>juin2022</v>
      </c>
      <c r="E1000" s="91" t="s">
        <v>967</v>
      </c>
      <c r="F1000" s="91">
        <v>300</v>
      </c>
      <c r="G1000" s="94">
        <f t="shared" si="140"/>
        <v>0.3</v>
      </c>
      <c r="H1000" s="92" t="s">
        <v>46</v>
      </c>
      <c r="I1000" s="96">
        <f t="shared" si="135"/>
        <v>0.3</v>
      </c>
      <c r="J1000" s="96">
        <f t="shared" si="136"/>
        <v>0.7</v>
      </c>
      <c r="K1000" s="92">
        <f>VLOOKUP(H1000,'Taux émission CO2e'!$A$5:$D$16,4,FALSE)</f>
        <v>0.16</v>
      </c>
      <c r="L1000" s="93">
        <f t="shared" si="141"/>
        <v>5.4804383999999997</v>
      </c>
      <c r="M1000" s="92">
        <f>VLOOKUP(H1000,'Taux émission CO2e'!$A$20:$D$31,4,FALSE)</f>
        <v>6.7400000000000002E-2</v>
      </c>
      <c r="N1000" s="105">
        <f t="shared" si="142"/>
        <v>5.386814244</v>
      </c>
      <c r="O1000" s="93">
        <f t="shared" si="143"/>
        <v>10.867252644000001</v>
      </c>
      <c r="P1000" s="92">
        <v>300</v>
      </c>
      <c r="Q1000" s="92" t="s">
        <v>91</v>
      </c>
      <c r="R1000" s="92" t="s">
        <v>55</v>
      </c>
      <c r="S1000" s="20">
        <v>380.58600000000001</v>
      </c>
    </row>
    <row r="1001" spans="1:19" x14ac:dyDescent="0.15">
      <c r="A1001" s="90">
        <v>44720</v>
      </c>
      <c r="B1001" s="90" t="str">
        <f t="shared" si="137"/>
        <v>juin</v>
      </c>
      <c r="C1001" s="90" t="str">
        <f t="shared" si="138"/>
        <v>2022</v>
      </c>
      <c r="D1001" s="90" t="str">
        <f t="shared" si="139"/>
        <v>juin2022</v>
      </c>
      <c r="E1001" s="91" t="s">
        <v>968</v>
      </c>
      <c r="F1001" s="91">
        <v>300</v>
      </c>
      <c r="G1001" s="94">
        <f t="shared" si="140"/>
        <v>0.3</v>
      </c>
      <c r="H1001" s="92" t="s">
        <v>38</v>
      </c>
      <c r="I1001" s="96">
        <f t="shared" si="135"/>
        <v>1</v>
      </c>
      <c r="J1001" s="96">
        <f t="shared" si="136"/>
        <v>0</v>
      </c>
      <c r="K1001" s="92">
        <f>VLOOKUP(H1001,'Taux émission CO2e'!$A$5:$D$16,4,FALSE)</f>
        <v>0.24099999999999999</v>
      </c>
      <c r="L1001" s="93">
        <f t="shared" si="141"/>
        <v>2.4575492999999997</v>
      </c>
      <c r="M1001" s="92">
        <f>VLOOKUP(H1001,'Taux émission CO2e'!$A$20:$D$31,4,FALSE)</f>
        <v>0</v>
      </c>
      <c r="N1001" s="105">
        <f t="shared" si="142"/>
        <v>0</v>
      </c>
      <c r="O1001" s="93">
        <f t="shared" si="143"/>
        <v>2.4575492999999997</v>
      </c>
      <c r="P1001" s="92">
        <v>100</v>
      </c>
      <c r="Q1001" s="92" t="s">
        <v>67</v>
      </c>
      <c r="R1001" s="92" t="s">
        <v>55</v>
      </c>
      <c r="S1001" s="20">
        <v>33.991</v>
      </c>
    </row>
    <row r="1002" spans="1:19" x14ac:dyDescent="0.15">
      <c r="A1002" s="90">
        <v>44720</v>
      </c>
      <c r="B1002" s="90" t="str">
        <f t="shared" si="137"/>
        <v>juin</v>
      </c>
      <c r="C1002" s="90" t="str">
        <f t="shared" si="138"/>
        <v>2022</v>
      </c>
      <c r="D1002" s="90" t="str">
        <f t="shared" si="139"/>
        <v>juin2022</v>
      </c>
      <c r="E1002" s="91" t="s">
        <v>969</v>
      </c>
      <c r="F1002" s="91">
        <v>106</v>
      </c>
      <c r="G1002" s="94">
        <f t="shared" si="140"/>
        <v>0.106</v>
      </c>
      <c r="H1002" s="92" t="s">
        <v>46</v>
      </c>
      <c r="I1002" s="96">
        <f t="shared" si="135"/>
        <v>0.3</v>
      </c>
      <c r="J1002" s="96">
        <f t="shared" si="136"/>
        <v>0.7</v>
      </c>
      <c r="K1002" s="92">
        <f>VLOOKUP(H1002,'Taux émission CO2e'!$A$5:$D$16,4,FALSE)</f>
        <v>0.16</v>
      </c>
      <c r="L1002" s="93">
        <f t="shared" si="141"/>
        <v>1.416173568</v>
      </c>
      <c r="M1002" s="92">
        <f>VLOOKUP(H1002,'Taux émission CO2e'!$A$20:$D$31,4,FALSE)</f>
        <v>6.7400000000000002E-2</v>
      </c>
      <c r="N1002" s="105">
        <f t="shared" si="142"/>
        <v>1.3919806028799999</v>
      </c>
      <c r="O1002" s="93">
        <f t="shared" si="143"/>
        <v>2.80815417088</v>
      </c>
      <c r="P1002" s="92">
        <v>100</v>
      </c>
      <c r="Q1002" s="92" t="s">
        <v>58</v>
      </c>
      <c r="R1002" s="92" t="s">
        <v>346</v>
      </c>
      <c r="S1002" s="20">
        <v>278.33600000000001</v>
      </c>
    </row>
    <row r="1003" spans="1:19" x14ac:dyDescent="0.15">
      <c r="A1003" s="90">
        <v>44720</v>
      </c>
      <c r="B1003" s="90" t="str">
        <f t="shared" si="137"/>
        <v>juin</v>
      </c>
      <c r="C1003" s="90" t="str">
        <f t="shared" si="138"/>
        <v>2022</v>
      </c>
      <c r="D1003" s="90" t="str">
        <f t="shared" si="139"/>
        <v>juin2022</v>
      </c>
      <c r="E1003" s="91" t="s">
        <v>970</v>
      </c>
      <c r="F1003" s="91">
        <v>150</v>
      </c>
      <c r="G1003" s="94">
        <f t="shared" si="140"/>
        <v>0.15</v>
      </c>
      <c r="H1003" s="92" t="s">
        <v>45</v>
      </c>
      <c r="I1003" s="96">
        <f t="shared" si="135"/>
        <v>0.3</v>
      </c>
      <c r="J1003" s="96">
        <f t="shared" si="136"/>
        <v>0.7</v>
      </c>
      <c r="K1003" s="92">
        <f>VLOOKUP(H1003,'Taux émission CO2e'!$A$5:$D$16,4,FALSE)</f>
        <v>0.16</v>
      </c>
      <c r="L1003" s="93">
        <f t="shared" si="141"/>
        <v>1.3450607999999999</v>
      </c>
      <c r="M1003" s="92">
        <f>VLOOKUP(H1003,'Taux émission CO2e'!$A$20:$D$31,4,FALSE)</f>
        <v>6.7400000000000002E-2</v>
      </c>
      <c r="N1003" s="105">
        <f t="shared" si="142"/>
        <v>1.3220826779999999</v>
      </c>
      <c r="O1003" s="93">
        <f t="shared" si="143"/>
        <v>2.6671434779999998</v>
      </c>
      <c r="P1003" s="92">
        <v>140</v>
      </c>
      <c r="Q1003" s="92" t="s">
        <v>688</v>
      </c>
      <c r="R1003" s="92" t="s">
        <v>55</v>
      </c>
      <c r="S1003" s="20">
        <v>186.81399999999999</v>
      </c>
    </row>
    <row r="1004" spans="1:19" x14ac:dyDescent="0.15">
      <c r="A1004" s="90">
        <v>44720</v>
      </c>
      <c r="B1004" s="90" t="str">
        <f t="shared" si="137"/>
        <v>juin</v>
      </c>
      <c r="C1004" s="90" t="str">
        <f t="shared" si="138"/>
        <v>2022</v>
      </c>
      <c r="D1004" s="90" t="str">
        <f t="shared" si="139"/>
        <v>juin2022</v>
      </c>
      <c r="E1004" s="91" t="s">
        <v>971</v>
      </c>
      <c r="F1004" s="91">
        <v>150</v>
      </c>
      <c r="G1004" s="94">
        <f t="shared" si="140"/>
        <v>0.15</v>
      </c>
      <c r="H1004" s="92" t="s">
        <v>45</v>
      </c>
      <c r="I1004" s="96">
        <f t="shared" si="135"/>
        <v>0.3</v>
      </c>
      <c r="J1004" s="96">
        <f t="shared" si="136"/>
        <v>0.7</v>
      </c>
      <c r="K1004" s="92">
        <f>VLOOKUP(H1004,'Taux émission CO2e'!$A$5:$D$16,4,FALSE)</f>
        <v>0.16</v>
      </c>
      <c r="L1004" s="93">
        <f t="shared" si="141"/>
        <v>2.0026439999999996</v>
      </c>
      <c r="M1004" s="92">
        <f>VLOOKUP(H1004,'Taux émission CO2e'!$A$20:$D$31,4,FALSE)</f>
        <v>6.7400000000000002E-2</v>
      </c>
      <c r="N1004" s="105">
        <f t="shared" si="142"/>
        <v>1.9684321649999998</v>
      </c>
      <c r="O1004" s="93">
        <f t="shared" si="143"/>
        <v>3.9710761649999995</v>
      </c>
      <c r="P1004" s="92">
        <v>158</v>
      </c>
      <c r="Q1004" s="92" t="s">
        <v>74</v>
      </c>
      <c r="R1004" s="92" t="s">
        <v>55</v>
      </c>
      <c r="S1004" s="20">
        <v>278.14499999999998</v>
      </c>
    </row>
    <row r="1005" spans="1:19" x14ac:dyDescent="0.15">
      <c r="A1005" s="90">
        <v>44720</v>
      </c>
      <c r="B1005" s="90" t="str">
        <f t="shared" si="137"/>
        <v>juin</v>
      </c>
      <c r="C1005" s="90" t="str">
        <f t="shared" si="138"/>
        <v>2022</v>
      </c>
      <c r="D1005" s="90" t="str">
        <f t="shared" si="139"/>
        <v>juin2022</v>
      </c>
      <c r="E1005" s="91" t="s">
        <v>972</v>
      </c>
      <c r="F1005" s="91">
        <v>150</v>
      </c>
      <c r="G1005" s="94">
        <f t="shared" si="140"/>
        <v>0.15</v>
      </c>
      <c r="H1005" s="92" t="s">
        <v>45</v>
      </c>
      <c r="I1005" s="96">
        <f t="shared" si="135"/>
        <v>0.3</v>
      </c>
      <c r="J1005" s="96">
        <f t="shared" si="136"/>
        <v>0.7</v>
      </c>
      <c r="K1005" s="92">
        <f>VLOOKUP(H1005,'Taux émission CO2e'!$A$5:$D$16,4,FALSE)</f>
        <v>0.16</v>
      </c>
      <c r="L1005" s="93">
        <f t="shared" si="141"/>
        <v>1.8302616</v>
      </c>
      <c r="M1005" s="92">
        <f>VLOOKUP(H1005,'Taux émission CO2e'!$A$20:$D$31,4,FALSE)</f>
        <v>6.7400000000000002E-2</v>
      </c>
      <c r="N1005" s="105">
        <f t="shared" si="142"/>
        <v>1.798994631</v>
      </c>
      <c r="O1005" s="93">
        <f t="shared" si="143"/>
        <v>3.6292562310000003</v>
      </c>
      <c r="P1005" s="92">
        <v>158</v>
      </c>
      <c r="Q1005" s="92" t="s">
        <v>871</v>
      </c>
      <c r="R1005" s="92" t="s">
        <v>55</v>
      </c>
      <c r="S1005" s="20">
        <v>254.203</v>
      </c>
    </row>
    <row r="1006" spans="1:19" x14ac:dyDescent="0.15">
      <c r="A1006" s="90">
        <v>44720</v>
      </c>
      <c r="B1006" s="90" t="str">
        <f t="shared" si="137"/>
        <v>juin</v>
      </c>
      <c r="C1006" s="90" t="str">
        <f t="shared" si="138"/>
        <v>2022</v>
      </c>
      <c r="D1006" s="90" t="str">
        <f t="shared" si="139"/>
        <v>juin2022</v>
      </c>
      <c r="E1006" s="91" t="s">
        <v>973</v>
      </c>
      <c r="F1006" s="91">
        <v>300</v>
      </c>
      <c r="G1006" s="94">
        <f t="shared" si="140"/>
        <v>0.3</v>
      </c>
      <c r="H1006" s="92" t="s">
        <v>45</v>
      </c>
      <c r="I1006" s="96">
        <f t="shared" si="135"/>
        <v>0.3</v>
      </c>
      <c r="J1006" s="96">
        <f t="shared" si="136"/>
        <v>0.7</v>
      </c>
      <c r="K1006" s="92">
        <f>VLOOKUP(H1006,'Taux émission CO2e'!$A$5:$D$16,4,FALSE)</f>
        <v>0.16</v>
      </c>
      <c r="L1006" s="93">
        <f t="shared" si="141"/>
        <v>7.7429951999999993</v>
      </c>
      <c r="M1006" s="92">
        <f>VLOOKUP(H1006,'Taux émission CO2e'!$A$20:$D$31,4,FALSE)</f>
        <v>6.7400000000000002E-2</v>
      </c>
      <c r="N1006" s="105">
        <f t="shared" si="142"/>
        <v>7.6107190319999996</v>
      </c>
      <c r="O1006" s="93">
        <f t="shared" si="143"/>
        <v>15.353714231999998</v>
      </c>
      <c r="P1006" s="92">
        <v>195</v>
      </c>
      <c r="Q1006" s="92" t="s">
        <v>612</v>
      </c>
      <c r="R1006" s="92" t="s">
        <v>55</v>
      </c>
      <c r="S1006" s="20">
        <v>537.70799999999997</v>
      </c>
    </row>
    <row r="1007" spans="1:19" x14ac:dyDescent="0.15">
      <c r="A1007" s="90">
        <v>44720</v>
      </c>
      <c r="B1007" s="90" t="str">
        <f t="shared" si="137"/>
        <v>juin</v>
      </c>
      <c r="C1007" s="90" t="str">
        <f t="shared" si="138"/>
        <v>2022</v>
      </c>
      <c r="D1007" s="90" t="str">
        <f t="shared" si="139"/>
        <v>juin2022</v>
      </c>
      <c r="E1007" s="91" t="s">
        <v>974</v>
      </c>
      <c r="F1007" s="91">
        <v>424</v>
      </c>
      <c r="G1007" s="94">
        <f t="shared" si="140"/>
        <v>0.42399999999999999</v>
      </c>
      <c r="H1007" s="92" t="s">
        <v>46</v>
      </c>
      <c r="I1007" s="96">
        <f t="shared" si="135"/>
        <v>0.3</v>
      </c>
      <c r="J1007" s="96">
        <f t="shared" si="136"/>
        <v>0.7</v>
      </c>
      <c r="K1007" s="92">
        <f>VLOOKUP(H1007,'Taux émission CO2e'!$A$5:$D$16,4,FALSE)</f>
        <v>0.16</v>
      </c>
      <c r="L1007" s="93">
        <f t="shared" si="141"/>
        <v>3.536078592</v>
      </c>
      <c r="M1007" s="92">
        <f>VLOOKUP(H1007,'Taux émission CO2e'!$A$20:$D$31,4,FALSE)</f>
        <v>6.7400000000000002E-2</v>
      </c>
      <c r="N1007" s="105">
        <f t="shared" si="142"/>
        <v>3.4756705827199998</v>
      </c>
      <c r="O1007" s="93">
        <f t="shared" si="143"/>
        <v>7.0117491747200003</v>
      </c>
      <c r="P1007" s="92">
        <v>250</v>
      </c>
      <c r="Q1007" s="92" t="s">
        <v>58</v>
      </c>
      <c r="R1007" s="92" t="s">
        <v>485</v>
      </c>
      <c r="S1007" s="20">
        <v>173.74600000000001</v>
      </c>
    </row>
    <row r="1008" spans="1:19" x14ac:dyDescent="0.15">
      <c r="A1008" s="90">
        <v>44720</v>
      </c>
      <c r="B1008" s="90" t="str">
        <f t="shared" si="137"/>
        <v>juin</v>
      </c>
      <c r="C1008" s="90" t="str">
        <f t="shared" si="138"/>
        <v>2022</v>
      </c>
      <c r="D1008" s="90" t="str">
        <f t="shared" si="139"/>
        <v>juin2022</v>
      </c>
      <c r="E1008" s="91" t="s">
        <v>975</v>
      </c>
      <c r="F1008" s="91">
        <v>1196</v>
      </c>
      <c r="G1008" s="94">
        <f t="shared" si="140"/>
        <v>1.196</v>
      </c>
      <c r="H1008" s="92" t="s">
        <v>43</v>
      </c>
      <c r="I1008" s="96">
        <f t="shared" si="135"/>
        <v>1</v>
      </c>
      <c r="J1008" s="96">
        <f t="shared" si="136"/>
        <v>0</v>
      </c>
      <c r="K1008" s="92">
        <f>VLOOKUP(H1008,'Taux émission CO2e'!$A$5:$D$16,4,FALSE)</f>
        <v>0.16</v>
      </c>
      <c r="L1008" s="93">
        <f t="shared" si="141"/>
        <v>50.933525760000002</v>
      </c>
      <c r="M1008" s="92">
        <f>VLOOKUP(H1008,'Taux émission CO2e'!$A$20:$D$31,4,FALSE)</f>
        <v>0</v>
      </c>
      <c r="N1008" s="105">
        <f t="shared" si="142"/>
        <v>0</v>
      </c>
      <c r="O1008" s="93">
        <f t="shared" si="143"/>
        <v>50.933525760000002</v>
      </c>
      <c r="P1008" s="92">
        <v>450</v>
      </c>
      <c r="Q1008" s="92" t="s">
        <v>58</v>
      </c>
      <c r="R1008" s="92" t="s">
        <v>53</v>
      </c>
      <c r="S1008" s="20">
        <v>266.166</v>
      </c>
    </row>
    <row r="1009" spans="1:19" x14ac:dyDescent="0.15">
      <c r="A1009" s="90">
        <v>44721</v>
      </c>
      <c r="B1009" s="90" t="str">
        <f t="shared" si="137"/>
        <v>juin</v>
      </c>
      <c r="C1009" s="90" t="str">
        <f t="shared" si="138"/>
        <v>2022</v>
      </c>
      <c r="D1009" s="90" t="str">
        <f t="shared" si="139"/>
        <v>juin2022</v>
      </c>
      <c r="E1009" s="91" t="s">
        <v>976</v>
      </c>
      <c r="F1009" s="91">
        <v>622</v>
      </c>
      <c r="G1009" s="94">
        <f t="shared" si="140"/>
        <v>0.622</v>
      </c>
      <c r="H1009" s="92" t="s">
        <v>46</v>
      </c>
      <c r="I1009" s="96">
        <f t="shared" si="135"/>
        <v>0.3</v>
      </c>
      <c r="J1009" s="96">
        <f t="shared" si="136"/>
        <v>0.7</v>
      </c>
      <c r="K1009" s="92">
        <f>VLOOKUP(H1009,'Taux émission CO2e'!$A$5:$D$16,4,FALSE)</f>
        <v>0.16</v>
      </c>
      <c r="L1009" s="93">
        <f t="shared" si="141"/>
        <v>7.4280832319999996</v>
      </c>
      <c r="M1009" s="92">
        <f>VLOOKUP(H1009,'Taux émission CO2e'!$A$20:$D$31,4,FALSE)</f>
        <v>6.7400000000000002E-2</v>
      </c>
      <c r="N1009" s="105">
        <f t="shared" si="142"/>
        <v>7.3011868101199999</v>
      </c>
      <c r="O1009" s="93">
        <f t="shared" si="143"/>
        <v>14.72927004212</v>
      </c>
      <c r="P1009" s="92">
        <v>234</v>
      </c>
      <c r="Q1009" s="92" t="s">
        <v>58</v>
      </c>
      <c r="R1009" s="92" t="s">
        <v>82</v>
      </c>
      <c r="S1009" s="20">
        <v>248.797</v>
      </c>
    </row>
    <row r="1010" spans="1:19" x14ac:dyDescent="0.15">
      <c r="A1010" s="90">
        <v>44721</v>
      </c>
      <c r="B1010" s="90" t="str">
        <f t="shared" si="137"/>
        <v>juin</v>
      </c>
      <c r="C1010" s="90" t="str">
        <f t="shared" si="138"/>
        <v>2022</v>
      </c>
      <c r="D1010" s="90" t="str">
        <f t="shared" si="139"/>
        <v>juin2022</v>
      </c>
      <c r="E1010" s="91" t="s">
        <v>977</v>
      </c>
      <c r="F1010" s="91">
        <v>300</v>
      </c>
      <c r="G1010" s="94">
        <f t="shared" si="140"/>
        <v>0.3</v>
      </c>
      <c r="H1010" s="92" t="s">
        <v>46</v>
      </c>
      <c r="I1010" s="96">
        <f t="shared" si="135"/>
        <v>0.3</v>
      </c>
      <c r="J1010" s="96">
        <f t="shared" si="136"/>
        <v>0.7</v>
      </c>
      <c r="K1010" s="92">
        <f>VLOOKUP(H1010,'Taux émission CO2e'!$A$5:$D$16,4,FALSE)</f>
        <v>0.16</v>
      </c>
      <c r="L1010" s="93">
        <f t="shared" si="141"/>
        <v>7.7979743999999993</v>
      </c>
      <c r="M1010" s="92">
        <f>VLOOKUP(H1010,'Taux émission CO2e'!$A$20:$D$31,4,FALSE)</f>
        <v>6.7400000000000002E-2</v>
      </c>
      <c r="N1010" s="105">
        <f t="shared" si="142"/>
        <v>7.6647590039999995</v>
      </c>
      <c r="O1010" s="93">
        <f t="shared" si="143"/>
        <v>15.462733403999998</v>
      </c>
      <c r="P1010" s="92">
        <v>239</v>
      </c>
      <c r="Q1010" s="92" t="s">
        <v>62</v>
      </c>
      <c r="R1010" s="92" t="s">
        <v>55</v>
      </c>
      <c r="S1010" s="20">
        <v>541.52599999999995</v>
      </c>
    </row>
    <row r="1011" spans="1:19" x14ac:dyDescent="0.15">
      <c r="A1011" s="90">
        <v>44722</v>
      </c>
      <c r="B1011" s="90" t="str">
        <f t="shared" si="137"/>
        <v>juin</v>
      </c>
      <c r="C1011" s="90" t="str">
        <f t="shared" si="138"/>
        <v>2022</v>
      </c>
      <c r="D1011" s="90" t="str">
        <f t="shared" si="139"/>
        <v>juin2022</v>
      </c>
      <c r="E1011" s="91" t="s">
        <v>978</v>
      </c>
      <c r="F1011" s="91">
        <v>113</v>
      </c>
      <c r="G1011" s="94">
        <f t="shared" si="140"/>
        <v>0.113</v>
      </c>
      <c r="H1011" s="92" t="s">
        <v>46</v>
      </c>
      <c r="I1011" s="96">
        <f t="shared" si="135"/>
        <v>0.3</v>
      </c>
      <c r="J1011" s="96">
        <f t="shared" si="136"/>
        <v>0.7</v>
      </c>
      <c r="K1011" s="92">
        <f>VLOOKUP(H1011,'Taux émission CO2e'!$A$5:$D$16,4,FALSE)</f>
        <v>0.16</v>
      </c>
      <c r="L1011" s="93">
        <f t="shared" si="141"/>
        <v>1.541679792</v>
      </c>
      <c r="M1011" s="92">
        <f>VLOOKUP(H1011,'Taux émission CO2e'!$A$20:$D$31,4,FALSE)</f>
        <v>6.7400000000000002E-2</v>
      </c>
      <c r="N1011" s="105">
        <f t="shared" si="142"/>
        <v>1.5153427622200002</v>
      </c>
      <c r="O1011" s="93">
        <f t="shared" si="143"/>
        <v>3.0570225542200005</v>
      </c>
      <c r="P1011" s="92">
        <v>120</v>
      </c>
      <c r="Q1011" s="92" t="s">
        <v>58</v>
      </c>
      <c r="R1011" s="92" t="s">
        <v>100</v>
      </c>
      <c r="S1011" s="20">
        <v>284.233</v>
      </c>
    </row>
    <row r="1012" spans="1:19" x14ac:dyDescent="0.15">
      <c r="A1012" s="90">
        <v>44722</v>
      </c>
      <c r="B1012" s="90" t="str">
        <f t="shared" si="137"/>
        <v>juin</v>
      </c>
      <c r="C1012" s="90" t="str">
        <f t="shared" si="138"/>
        <v>2022</v>
      </c>
      <c r="D1012" s="90" t="str">
        <f t="shared" si="139"/>
        <v>juin2022</v>
      </c>
      <c r="E1012" s="91" t="s">
        <v>979</v>
      </c>
      <c r="F1012" s="91">
        <v>150</v>
      </c>
      <c r="G1012" s="94">
        <f t="shared" si="140"/>
        <v>0.15</v>
      </c>
      <c r="H1012" s="92" t="s">
        <v>45</v>
      </c>
      <c r="I1012" s="96">
        <f t="shared" si="135"/>
        <v>0.3</v>
      </c>
      <c r="J1012" s="96">
        <f t="shared" si="136"/>
        <v>0.7</v>
      </c>
      <c r="K1012" s="92">
        <f>VLOOKUP(H1012,'Taux émission CO2e'!$A$5:$D$16,4,FALSE)</f>
        <v>0.16</v>
      </c>
      <c r="L1012" s="93">
        <f t="shared" si="141"/>
        <v>2.8012535999999999</v>
      </c>
      <c r="M1012" s="92">
        <f>VLOOKUP(H1012,'Taux émission CO2e'!$A$20:$D$31,4,FALSE)</f>
        <v>6.7400000000000002E-2</v>
      </c>
      <c r="N1012" s="105">
        <f t="shared" si="142"/>
        <v>2.753398851</v>
      </c>
      <c r="O1012" s="93">
        <f t="shared" si="143"/>
        <v>5.5546524509999999</v>
      </c>
      <c r="P1012" s="92">
        <v>125</v>
      </c>
      <c r="Q1012" s="92" t="s">
        <v>842</v>
      </c>
      <c r="R1012" s="92" t="s">
        <v>55</v>
      </c>
      <c r="S1012" s="20">
        <v>389.06299999999999</v>
      </c>
    </row>
    <row r="1013" spans="1:19" x14ac:dyDescent="0.15">
      <c r="A1013" s="90">
        <v>44722</v>
      </c>
      <c r="B1013" s="90" t="str">
        <f t="shared" si="137"/>
        <v>juin</v>
      </c>
      <c r="C1013" s="90" t="str">
        <f t="shared" si="138"/>
        <v>2022</v>
      </c>
      <c r="D1013" s="90" t="str">
        <f t="shared" si="139"/>
        <v>juin2022</v>
      </c>
      <c r="E1013" s="91" t="s">
        <v>980</v>
      </c>
      <c r="F1013" s="91">
        <v>106</v>
      </c>
      <c r="G1013" s="94">
        <f t="shared" si="140"/>
        <v>0.106</v>
      </c>
      <c r="H1013" s="92" t="s">
        <v>46</v>
      </c>
      <c r="I1013" s="96">
        <f t="shared" si="135"/>
        <v>0.3</v>
      </c>
      <c r="J1013" s="96">
        <f t="shared" si="136"/>
        <v>0.7</v>
      </c>
      <c r="K1013" s="92">
        <f>VLOOKUP(H1013,'Taux émission CO2e'!$A$5:$D$16,4,FALSE)</f>
        <v>0.16</v>
      </c>
      <c r="L1013" s="93">
        <f t="shared" si="141"/>
        <v>2.2702198079999998</v>
      </c>
      <c r="M1013" s="92">
        <f>VLOOKUP(H1013,'Taux émission CO2e'!$A$20:$D$31,4,FALSE)</f>
        <v>6.7400000000000002E-2</v>
      </c>
      <c r="N1013" s="105">
        <f t="shared" si="142"/>
        <v>2.2314368862799996</v>
      </c>
      <c r="O1013" s="93">
        <f t="shared" si="143"/>
        <v>4.5016566942799994</v>
      </c>
      <c r="P1013" s="92">
        <v>130</v>
      </c>
      <c r="Q1013" s="92" t="s">
        <v>58</v>
      </c>
      <c r="R1013" s="92" t="s">
        <v>529</v>
      </c>
      <c r="S1013" s="20">
        <v>446.19099999999997</v>
      </c>
    </row>
    <row r="1014" spans="1:19" x14ac:dyDescent="0.15">
      <c r="A1014" s="90">
        <v>44722</v>
      </c>
      <c r="B1014" s="90" t="str">
        <f t="shared" si="137"/>
        <v>juin</v>
      </c>
      <c r="C1014" s="90" t="str">
        <f t="shared" si="138"/>
        <v>2022</v>
      </c>
      <c r="D1014" s="90" t="str">
        <f t="shared" si="139"/>
        <v>juin2022</v>
      </c>
      <c r="E1014" s="91" t="s">
        <v>981</v>
      </c>
      <c r="F1014" s="91">
        <v>400</v>
      </c>
      <c r="G1014" s="94">
        <f t="shared" si="140"/>
        <v>0.4</v>
      </c>
      <c r="H1014" s="92" t="s">
        <v>45</v>
      </c>
      <c r="I1014" s="96">
        <f t="shared" si="135"/>
        <v>0.3</v>
      </c>
      <c r="J1014" s="96">
        <f t="shared" si="136"/>
        <v>0.7</v>
      </c>
      <c r="K1014" s="92">
        <f>VLOOKUP(H1014,'Taux émission CO2e'!$A$5:$D$16,4,FALSE)</f>
        <v>0.16</v>
      </c>
      <c r="L1014" s="93">
        <f t="shared" si="141"/>
        <v>5.347142400000001</v>
      </c>
      <c r="M1014" s="92">
        <f>VLOOKUP(H1014,'Taux émission CO2e'!$A$20:$D$31,4,FALSE)</f>
        <v>6.7400000000000002E-2</v>
      </c>
      <c r="N1014" s="105">
        <f t="shared" si="142"/>
        <v>5.2557953839999998</v>
      </c>
      <c r="O1014" s="93">
        <f t="shared" si="143"/>
        <v>10.602937784000002</v>
      </c>
      <c r="P1014" s="92">
        <v>200</v>
      </c>
      <c r="Q1014" s="92" t="s">
        <v>90</v>
      </c>
      <c r="R1014" s="92" t="s">
        <v>55</v>
      </c>
      <c r="S1014" s="20">
        <v>278.49700000000001</v>
      </c>
    </row>
    <row r="1015" spans="1:19" x14ac:dyDescent="0.15">
      <c r="A1015" s="90">
        <v>44722</v>
      </c>
      <c r="B1015" s="90" t="str">
        <f t="shared" si="137"/>
        <v>juin</v>
      </c>
      <c r="C1015" s="90" t="str">
        <f t="shared" si="138"/>
        <v>2022</v>
      </c>
      <c r="D1015" s="90" t="str">
        <f t="shared" si="139"/>
        <v>juin2022</v>
      </c>
      <c r="E1015" s="91" t="s">
        <v>982</v>
      </c>
      <c r="F1015" s="91">
        <v>300</v>
      </c>
      <c r="G1015" s="94">
        <f t="shared" si="140"/>
        <v>0.3</v>
      </c>
      <c r="H1015" s="92" t="s">
        <v>46</v>
      </c>
      <c r="I1015" s="96">
        <f t="shared" si="135"/>
        <v>0.3</v>
      </c>
      <c r="J1015" s="96">
        <f t="shared" si="136"/>
        <v>0.7</v>
      </c>
      <c r="K1015" s="92">
        <f>VLOOKUP(H1015,'Taux émission CO2e'!$A$5:$D$16,4,FALSE)</f>
        <v>0.16</v>
      </c>
      <c r="L1015" s="93">
        <f t="shared" si="141"/>
        <v>3.7158191999999999</v>
      </c>
      <c r="M1015" s="92">
        <f>VLOOKUP(H1015,'Taux émission CO2e'!$A$20:$D$31,4,FALSE)</f>
        <v>6.7400000000000002E-2</v>
      </c>
      <c r="N1015" s="105">
        <f t="shared" si="142"/>
        <v>3.6523406220000001</v>
      </c>
      <c r="O1015" s="93">
        <f t="shared" si="143"/>
        <v>7.368159822</v>
      </c>
      <c r="P1015" s="92">
        <v>200</v>
      </c>
      <c r="Q1015" s="92" t="s">
        <v>102</v>
      </c>
      <c r="R1015" s="92" t="s">
        <v>55</v>
      </c>
      <c r="S1015" s="20">
        <v>258.04300000000001</v>
      </c>
    </row>
    <row r="1016" spans="1:19" x14ac:dyDescent="0.15">
      <c r="A1016" s="90">
        <v>44722</v>
      </c>
      <c r="B1016" s="90" t="str">
        <f t="shared" si="137"/>
        <v>juin</v>
      </c>
      <c r="C1016" s="90" t="str">
        <f t="shared" si="138"/>
        <v>2022</v>
      </c>
      <c r="D1016" s="90" t="str">
        <f t="shared" si="139"/>
        <v>juin2022</v>
      </c>
      <c r="E1016" s="91" t="s">
        <v>983</v>
      </c>
      <c r="F1016" s="91">
        <v>212</v>
      </c>
      <c r="G1016" s="94">
        <f t="shared" si="140"/>
        <v>0.21199999999999999</v>
      </c>
      <c r="H1016" s="92" t="s">
        <v>46</v>
      </c>
      <c r="I1016" s="96">
        <f t="shared" si="135"/>
        <v>0.3</v>
      </c>
      <c r="J1016" s="96">
        <f t="shared" si="136"/>
        <v>0.7</v>
      </c>
      <c r="K1016" s="92">
        <f>VLOOKUP(H1016,'Taux émission CO2e'!$A$5:$D$16,4,FALSE)</f>
        <v>0.16</v>
      </c>
      <c r="L1016" s="93">
        <f t="shared" si="141"/>
        <v>5.5070476799999994</v>
      </c>
      <c r="M1016" s="92">
        <f>VLOOKUP(H1016,'Taux émission CO2e'!$A$20:$D$31,4,FALSE)</f>
        <v>6.7400000000000002E-2</v>
      </c>
      <c r="N1016" s="105">
        <f t="shared" si="142"/>
        <v>5.4129689487999997</v>
      </c>
      <c r="O1016" s="93">
        <f t="shared" si="143"/>
        <v>10.920016628799999</v>
      </c>
      <c r="P1016" s="92">
        <v>225</v>
      </c>
      <c r="Q1016" s="92" t="s">
        <v>58</v>
      </c>
      <c r="R1016" s="92" t="s">
        <v>65</v>
      </c>
      <c r="S1016" s="20">
        <v>541.17999999999995</v>
      </c>
    </row>
    <row r="1017" spans="1:19" x14ac:dyDescent="0.15">
      <c r="A1017" s="90">
        <v>44722</v>
      </c>
      <c r="B1017" s="90" t="str">
        <f t="shared" si="137"/>
        <v>juin</v>
      </c>
      <c r="C1017" s="90" t="str">
        <f t="shared" si="138"/>
        <v>2022</v>
      </c>
      <c r="D1017" s="90" t="str">
        <f t="shared" si="139"/>
        <v>juin2022</v>
      </c>
      <c r="E1017" s="91" t="s">
        <v>984</v>
      </c>
      <c r="F1017" s="91">
        <v>450</v>
      </c>
      <c r="G1017" s="94">
        <f t="shared" si="140"/>
        <v>0.45</v>
      </c>
      <c r="H1017" s="92" t="s">
        <v>46</v>
      </c>
      <c r="I1017" s="96">
        <f t="shared" si="135"/>
        <v>0.3</v>
      </c>
      <c r="J1017" s="96">
        <f t="shared" si="136"/>
        <v>0.7</v>
      </c>
      <c r="K1017" s="92">
        <f>VLOOKUP(H1017,'Taux émission CO2e'!$A$5:$D$16,4,FALSE)</f>
        <v>0.16</v>
      </c>
      <c r="L1017" s="93">
        <f t="shared" si="141"/>
        <v>5.5492775999999999</v>
      </c>
      <c r="M1017" s="92">
        <f>VLOOKUP(H1017,'Taux émission CO2e'!$A$20:$D$31,4,FALSE)</f>
        <v>6.7400000000000002E-2</v>
      </c>
      <c r="N1017" s="105">
        <f t="shared" si="142"/>
        <v>5.4544774409999999</v>
      </c>
      <c r="O1017" s="93">
        <f t="shared" si="143"/>
        <v>11.003755041</v>
      </c>
      <c r="P1017" s="92">
        <v>270</v>
      </c>
      <c r="Q1017" s="92" t="s">
        <v>58</v>
      </c>
      <c r="R1017" s="92" t="s">
        <v>60</v>
      </c>
      <c r="S1017" s="20">
        <v>256.911</v>
      </c>
    </row>
    <row r="1018" spans="1:19" x14ac:dyDescent="0.15">
      <c r="A1018" s="90">
        <v>44722</v>
      </c>
      <c r="B1018" s="90" t="str">
        <f t="shared" si="137"/>
        <v>juin</v>
      </c>
      <c r="C1018" s="90" t="str">
        <f t="shared" si="138"/>
        <v>2022</v>
      </c>
      <c r="D1018" s="90" t="str">
        <f t="shared" si="139"/>
        <v>juin2022</v>
      </c>
      <c r="E1018" s="91" t="s">
        <v>985</v>
      </c>
      <c r="F1018" s="91">
        <v>300</v>
      </c>
      <c r="G1018" s="94">
        <f t="shared" si="140"/>
        <v>0.3</v>
      </c>
      <c r="H1018" s="92" t="s">
        <v>45</v>
      </c>
      <c r="I1018" s="96">
        <f t="shared" si="135"/>
        <v>0.3</v>
      </c>
      <c r="J1018" s="96">
        <f t="shared" si="136"/>
        <v>0.7</v>
      </c>
      <c r="K1018" s="92">
        <f>VLOOKUP(H1018,'Taux émission CO2e'!$A$5:$D$16,4,FALSE)</f>
        <v>0.16</v>
      </c>
      <c r="L1018" s="93">
        <f t="shared" si="141"/>
        <v>7.4861712000000002</v>
      </c>
      <c r="M1018" s="92">
        <f>VLOOKUP(H1018,'Taux émission CO2e'!$A$20:$D$31,4,FALSE)</f>
        <v>6.7400000000000002E-2</v>
      </c>
      <c r="N1018" s="105">
        <f t="shared" si="142"/>
        <v>7.358282442000001</v>
      </c>
      <c r="O1018" s="93">
        <f t="shared" si="143"/>
        <v>14.844453642000001</v>
      </c>
      <c r="P1018" s="92">
        <v>320</v>
      </c>
      <c r="Q1018" s="92" t="s">
        <v>77</v>
      </c>
      <c r="R1018" s="92" t="s">
        <v>70</v>
      </c>
      <c r="S1018" s="20">
        <v>519.87300000000005</v>
      </c>
    </row>
    <row r="1019" spans="1:19" x14ac:dyDescent="0.15">
      <c r="A1019" s="90">
        <v>44722</v>
      </c>
      <c r="B1019" s="90" t="str">
        <f t="shared" si="137"/>
        <v>juin</v>
      </c>
      <c r="C1019" s="90" t="str">
        <f t="shared" si="138"/>
        <v>2022</v>
      </c>
      <c r="D1019" s="90" t="str">
        <f t="shared" si="139"/>
        <v>juin2022</v>
      </c>
      <c r="E1019" s="91" t="s">
        <v>986</v>
      </c>
      <c r="F1019" s="91">
        <v>900</v>
      </c>
      <c r="G1019" s="94">
        <f t="shared" si="140"/>
        <v>0.9</v>
      </c>
      <c r="H1019" s="92" t="s">
        <v>46</v>
      </c>
      <c r="I1019" s="96">
        <f t="shared" si="135"/>
        <v>0.3</v>
      </c>
      <c r="J1019" s="96">
        <f t="shared" si="136"/>
        <v>0.7</v>
      </c>
      <c r="K1019" s="92">
        <f>VLOOKUP(H1019,'Taux émission CO2e'!$A$5:$D$16,4,FALSE)</f>
        <v>0.16</v>
      </c>
      <c r="L1019" s="93">
        <f t="shared" si="141"/>
        <v>19.807502400000001</v>
      </c>
      <c r="M1019" s="92">
        <f>VLOOKUP(H1019,'Taux émission CO2e'!$A$20:$D$31,4,FALSE)</f>
        <v>6.7400000000000002E-2</v>
      </c>
      <c r="N1019" s="105">
        <f t="shared" si="142"/>
        <v>19.469124233999999</v>
      </c>
      <c r="O1019" s="93">
        <f t="shared" si="143"/>
        <v>39.276626633999996</v>
      </c>
      <c r="P1019" s="92">
        <v>400</v>
      </c>
      <c r="Q1019" s="92" t="s">
        <v>58</v>
      </c>
      <c r="R1019" s="92" t="s">
        <v>427</v>
      </c>
      <c r="S1019" s="20">
        <v>458.50700000000001</v>
      </c>
    </row>
    <row r="1020" spans="1:19" x14ac:dyDescent="0.15">
      <c r="A1020" s="90">
        <v>44722</v>
      </c>
      <c r="B1020" s="90" t="str">
        <f t="shared" si="137"/>
        <v>juin</v>
      </c>
      <c r="C1020" s="90" t="str">
        <f t="shared" si="138"/>
        <v>2022</v>
      </c>
      <c r="D1020" s="90" t="str">
        <f t="shared" si="139"/>
        <v>juin2022</v>
      </c>
      <c r="E1020" s="91" t="s">
        <v>987</v>
      </c>
      <c r="F1020" s="91">
        <v>1200</v>
      </c>
      <c r="G1020" s="94">
        <f t="shared" si="140"/>
        <v>1.2</v>
      </c>
      <c r="H1020" s="92" t="s">
        <v>43</v>
      </c>
      <c r="I1020" s="96">
        <f t="shared" si="135"/>
        <v>1</v>
      </c>
      <c r="J1020" s="96">
        <f t="shared" si="136"/>
        <v>0</v>
      </c>
      <c r="K1020" s="92">
        <f>VLOOKUP(H1020,'Taux émission CO2e'!$A$5:$D$16,4,FALSE)</f>
        <v>0.16</v>
      </c>
      <c r="L1020" s="93">
        <f t="shared" si="141"/>
        <v>51.139776000000005</v>
      </c>
      <c r="M1020" s="92">
        <f>VLOOKUP(H1020,'Taux émission CO2e'!$A$20:$D$31,4,FALSE)</f>
        <v>0</v>
      </c>
      <c r="N1020" s="105">
        <f t="shared" si="142"/>
        <v>0</v>
      </c>
      <c r="O1020" s="93">
        <f t="shared" si="143"/>
        <v>51.139776000000005</v>
      </c>
      <c r="P1020" s="92">
        <v>450</v>
      </c>
      <c r="Q1020" s="92" t="s">
        <v>77</v>
      </c>
      <c r="R1020" s="92" t="s">
        <v>55</v>
      </c>
      <c r="S1020" s="20">
        <v>266.35300000000001</v>
      </c>
    </row>
    <row r="1021" spans="1:19" x14ac:dyDescent="0.15">
      <c r="A1021" s="90">
        <v>44722</v>
      </c>
      <c r="B1021" s="90" t="str">
        <f t="shared" si="137"/>
        <v>juin</v>
      </c>
      <c r="C1021" s="90" t="str">
        <f t="shared" si="138"/>
        <v>2022</v>
      </c>
      <c r="D1021" s="90" t="str">
        <f t="shared" si="139"/>
        <v>juin2022</v>
      </c>
      <c r="E1021" s="91" t="s">
        <v>988</v>
      </c>
      <c r="F1021" s="92">
        <v>1000</v>
      </c>
      <c r="G1021" s="94">
        <f t="shared" si="140"/>
        <v>1</v>
      </c>
      <c r="H1021" s="92" t="s">
        <v>46</v>
      </c>
      <c r="I1021" s="96">
        <f t="shared" si="135"/>
        <v>0.3</v>
      </c>
      <c r="J1021" s="96">
        <f t="shared" si="136"/>
        <v>0.7</v>
      </c>
      <c r="K1021" s="92">
        <f>VLOOKUP(H1021,'Taux émission CO2e'!$A$5:$D$16,4,FALSE)</f>
        <v>0.16</v>
      </c>
      <c r="L1021" s="93">
        <f t="shared" si="141"/>
        <v>35.524704</v>
      </c>
      <c r="M1021" s="92">
        <f>VLOOKUP(H1021,'Taux émission CO2e'!$A$20:$D$31,4,FALSE)</f>
        <v>6.7400000000000002E-2</v>
      </c>
      <c r="N1021" s="105">
        <f t="shared" si="142"/>
        <v>34.917823639999995</v>
      </c>
      <c r="O1021" s="93">
        <f t="shared" si="143"/>
        <v>70.442527639999994</v>
      </c>
      <c r="P1021" s="92">
        <v>470</v>
      </c>
      <c r="Q1021" s="92" t="s">
        <v>473</v>
      </c>
      <c r="R1021" s="92" t="s">
        <v>55</v>
      </c>
      <c r="S1021" s="20">
        <v>740.09799999999996</v>
      </c>
    </row>
    <row r="1022" spans="1:19" x14ac:dyDescent="0.15">
      <c r="A1022" s="90">
        <v>44725</v>
      </c>
      <c r="B1022" s="90" t="str">
        <f t="shared" si="137"/>
        <v>juin</v>
      </c>
      <c r="C1022" s="90" t="str">
        <f t="shared" si="138"/>
        <v>2022</v>
      </c>
      <c r="D1022" s="90" t="str">
        <f t="shared" si="139"/>
        <v>juin2022</v>
      </c>
      <c r="E1022" s="91" t="s">
        <v>989</v>
      </c>
      <c r="F1022" s="91">
        <v>450</v>
      </c>
      <c r="G1022" s="94">
        <f t="shared" si="140"/>
        <v>0.45</v>
      </c>
      <c r="H1022" s="92" t="s">
        <v>38</v>
      </c>
      <c r="I1022" s="96">
        <f t="shared" si="135"/>
        <v>1</v>
      </c>
      <c r="J1022" s="96">
        <f t="shared" si="136"/>
        <v>0</v>
      </c>
      <c r="K1022" s="92">
        <f>VLOOKUP(H1022,'Taux émission CO2e'!$A$5:$D$16,4,FALSE)</f>
        <v>0.24099999999999999</v>
      </c>
      <c r="L1022" s="93">
        <f t="shared" si="141"/>
        <v>3.6966266999999999</v>
      </c>
      <c r="M1022" s="92">
        <f>VLOOKUP(H1022,'Taux émission CO2e'!$A$20:$D$31,4,FALSE)</f>
        <v>0</v>
      </c>
      <c r="N1022" s="105">
        <f t="shared" si="142"/>
        <v>0</v>
      </c>
      <c r="O1022" s="93">
        <f t="shared" si="143"/>
        <v>3.6966266999999999</v>
      </c>
      <c r="P1022" s="92">
        <v>125</v>
      </c>
      <c r="Q1022" s="92" t="s">
        <v>58</v>
      </c>
      <c r="R1022" s="92" t="s">
        <v>98</v>
      </c>
      <c r="S1022" s="20">
        <v>34.085999999999999</v>
      </c>
    </row>
    <row r="1023" spans="1:19" x14ac:dyDescent="0.15">
      <c r="A1023" s="90">
        <v>44725</v>
      </c>
      <c r="B1023" s="90" t="str">
        <f t="shared" si="137"/>
        <v>juin</v>
      </c>
      <c r="C1023" s="90" t="str">
        <f t="shared" si="138"/>
        <v>2022</v>
      </c>
      <c r="D1023" s="90" t="str">
        <f t="shared" si="139"/>
        <v>juin2022</v>
      </c>
      <c r="E1023" s="91" t="s">
        <v>990</v>
      </c>
      <c r="F1023" s="91">
        <v>300</v>
      </c>
      <c r="G1023" s="94">
        <f t="shared" si="140"/>
        <v>0.3</v>
      </c>
      <c r="H1023" s="92" t="s">
        <v>45</v>
      </c>
      <c r="I1023" s="96">
        <f t="shared" si="135"/>
        <v>0.3</v>
      </c>
      <c r="J1023" s="96">
        <f t="shared" si="136"/>
        <v>0.7</v>
      </c>
      <c r="K1023" s="92">
        <f>VLOOKUP(H1023,'Taux émission CO2e'!$A$5:$D$16,4,FALSE)</f>
        <v>0.16</v>
      </c>
      <c r="L1023" s="93">
        <f t="shared" si="141"/>
        <v>11.0469168</v>
      </c>
      <c r="M1023" s="92">
        <f>VLOOKUP(H1023,'Taux émission CO2e'!$A$20:$D$31,4,FALSE)</f>
        <v>6.7400000000000002E-2</v>
      </c>
      <c r="N1023" s="105">
        <f t="shared" si="142"/>
        <v>10.858198638000001</v>
      </c>
      <c r="O1023" s="93">
        <f t="shared" si="143"/>
        <v>21.905115438000003</v>
      </c>
      <c r="P1023" s="92">
        <v>250</v>
      </c>
      <c r="Q1023" s="92" t="s">
        <v>635</v>
      </c>
      <c r="R1023" s="92" t="s">
        <v>55</v>
      </c>
      <c r="S1023" s="20">
        <v>767.14700000000005</v>
      </c>
    </row>
    <row r="1024" spans="1:19" x14ac:dyDescent="0.15">
      <c r="A1024" s="90">
        <v>44725</v>
      </c>
      <c r="B1024" s="90" t="str">
        <f t="shared" si="137"/>
        <v>juin</v>
      </c>
      <c r="C1024" s="90" t="str">
        <f t="shared" si="138"/>
        <v>2022</v>
      </c>
      <c r="D1024" s="90" t="str">
        <f t="shared" si="139"/>
        <v>juin2022</v>
      </c>
      <c r="E1024" s="91" t="s">
        <v>991</v>
      </c>
      <c r="F1024" s="91">
        <v>450</v>
      </c>
      <c r="G1024" s="94">
        <f t="shared" si="140"/>
        <v>0.45</v>
      </c>
      <c r="H1024" s="92" t="s">
        <v>46</v>
      </c>
      <c r="I1024" s="96">
        <f t="shared" si="135"/>
        <v>0.3</v>
      </c>
      <c r="J1024" s="96">
        <f t="shared" si="136"/>
        <v>0.7</v>
      </c>
      <c r="K1024" s="92">
        <f>VLOOKUP(H1024,'Taux émission CO2e'!$A$5:$D$16,4,FALSE)</f>
        <v>0.16</v>
      </c>
      <c r="L1024" s="93">
        <f t="shared" si="141"/>
        <v>8.2206576000000009</v>
      </c>
      <c r="M1024" s="92">
        <f>VLOOKUP(H1024,'Taux émission CO2e'!$A$20:$D$31,4,FALSE)</f>
        <v>6.7400000000000002E-2</v>
      </c>
      <c r="N1024" s="105">
        <f t="shared" si="142"/>
        <v>8.080221366</v>
      </c>
      <c r="O1024" s="93">
        <f t="shared" si="143"/>
        <v>16.300878965999999</v>
      </c>
      <c r="P1024" s="92">
        <v>300</v>
      </c>
      <c r="Q1024" s="92" t="s">
        <v>91</v>
      </c>
      <c r="R1024" s="92" t="s">
        <v>55</v>
      </c>
      <c r="S1024" s="20">
        <v>380.58600000000001</v>
      </c>
    </row>
    <row r="1025" spans="1:19" x14ac:dyDescent="0.15">
      <c r="A1025" s="90">
        <v>44725</v>
      </c>
      <c r="B1025" s="90" t="str">
        <f t="shared" si="137"/>
        <v>juin</v>
      </c>
      <c r="C1025" s="90" t="str">
        <f t="shared" si="138"/>
        <v>2022</v>
      </c>
      <c r="D1025" s="90" t="str">
        <f t="shared" si="139"/>
        <v>juin2022</v>
      </c>
      <c r="E1025" s="91" t="s">
        <v>992</v>
      </c>
      <c r="F1025" s="91">
        <v>450</v>
      </c>
      <c r="G1025" s="94">
        <f t="shared" si="140"/>
        <v>0.45</v>
      </c>
      <c r="H1025" s="92" t="s">
        <v>46</v>
      </c>
      <c r="I1025" s="96">
        <f t="shared" si="135"/>
        <v>0.3</v>
      </c>
      <c r="J1025" s="96">
        <f t="shared" si="136"/>
        <v>0.7</v>
      </c>
      <c r="K1025" s="92">
        <f>VLOOKUP(H1025,'Taux émission CO2e'!$A$5:$D$16,4,FALSE)</f>
        <v>0.16</v>
      </c>
      <c r="L1025" s="93">
        <f t="shared" si="141"/>
        <v>11.141236800000001</v>
      </c>
      <c r="M1025" s="92">
        <f>VLOOKUP(H1025,'Taux émission CO2e'!$A$20:$D$31,4,FALSE)</f>
        <v>6.7400000000000002E-2</v>
      </c>
      <c r="N1025" s="105">
        <f t="shared" si="142"/>
        <v>10.950907338</v>
      </c>
      <c r="O1025" s="93">
        <f t="shared" si="143"/>
        <v>22.092144138000002</v>
      </c>
      <c r="P1025" s="92">
        <v>306</v>
      </c>
      <c r="Q1025" s="92" t="s">
        <v>58</v>
      </c>
      <c r="R1025" s="92" t="s">
        <v>57</v>
      </c>
      <c r="S1025" s="20">
        <v>515.798</v>
      </c>
    </row>
    <row r="1026" spans="1:19" x14ac:dyDescent="0.15">
      <c r="A1026" s="90">
        <v>44725</v>
      </c>
      <c r="B1026" s="90" t="str">
        <f t="shared" si="137"/>
        <v>juin</v>
      </c>
      <c r="C1026" s="90" t="str">
        <f t="shared" si="138"/>
        <v>2022</v>
      </c>
      <c r="D1026" s="90" t="str">
        <f t="shared" si="139"/>
        <v>juin2022</v>
      </c>
      <c r="E1026" s="91" t="s">
        <v>993</v>
      </c>
      <c r="F1026" s="92">
        <v>1000</v>
      </c>
      <c r="G1026" s="94">
        <f t="shared" si="140"/>
        <v>1</v>
      </c>
      <c r="H1026" s="92" t="s">
        <v>45</v>
      </c>
      <c r="I1026" s="96">
        <f t="shared" ref="I1026:I1089" si="144">VLOOKUP(H1026,Segment1,2,FALSE)</f>
        <v>0.3</v>
      </c>
      <c r="J1026" s="96">
        <f t="shared" ref="J1026:J1089" si="145">VLOOKUP(H1026,Segment2,2,FALSE)</f>
        <v>0.7</v>
      </c>
      <c r="K1026" s="92">
        <f>VLOOKUP(H1026,'Taux émission CO2e'!$A$5:$D$16,4,FALSE)</f>
        <v>0.16</v>
      </c>
      <c r="L1026" s="93">
        <f t="shared" si="141"/>
        <v>24.790752000000001</v>
      </c>
      <c r="M1026" s="92">
        <f>VLOOKUP(H1026,'Taux émission CO2e'!$A$20:$D$31,4,FALSE)</f>
        <v>6.7400000000000002E-2</v>
      </c>
      <c r="N1026" s="105">
        <f t="shared" si="142"/>
        <v>24.367243320000004</v>
      </c>
      <c r="O1026" s="93">
        <f t="shared" si="143"/>
        <v>49.157995320000005</v>
      </c>
      <c r="P1026" s="92">
        <v>507</v>
      </c>
      <c r="Q1026" s="92" t="s">
        <v>52</v>
      </c>
      <c r="R1026" s="92" t="s">
        <v>55</v>
      </c>
      <c r="S1026" s="20">
        <v>516.47400000000005</v>
      </c>
    </row>
    <row r="1027" spans="1:19" x14ac:dyDescent="0.15">
      <c r="A1027" s="90">
        <v>44726</v>
      </c>
      <c r="B1027" s="90" t="str">
        <f t="shared" ref="B1027:B1090" si="146">TEXT(A1027,"mmmm")</f>
        <v>juin</v>
      </c>
      <c r="C1027" s="90" t="str">
        <f t="shared" ref="C1027:C1090" si="147">TEXT(A1027,"aaaa")</f>
        <v>2022</v>
      </c>
      <c r="D1027" s="90" t="str">
        <f t="shared" ref="D1027:D1090" si="148">B1027&amp;C1027</f>
        <v>juin2022</v>
      </c>
      <c r="E1027" s="91" t="s">
        <v>994</v>
      </c>
      <c r="F1027" s="91">
        <v>189</v>
      </c>
      <c r="G1027" s="94">
        <f t="shared" ref="G1027:G1090" si="149">F1027/1000</f>
        <v>0.189</v>
      </c>
      <c r="H1027" s="92" t="s">
        <v>46</v>
      </c>
      <c r="I1027" s="96">
        <f t="shared" si="144"/>
        <v>0.3</v>
      </c>
      <c r="J1027" s="96">
        <f t="shared" si="145"/>
        <v>0.7</v>
      </c>
      <c r="K1027" s="92">
        <f>VLOOKUP(H1027,'Taux émission CO2e'!$A$5:$D$16,4,FALSE)</f>
        <v>0.16</v>
      </c>
      <c r="L1027" s="93">
        <f t="shared" ref="L1027:L1090" si="150">IFERROR(I1027*K1027*G1027*S1027,"0")</f>
        <v>2.2732526879999999</v>
      </c>
      <c r="M1027" s="92">
        <f>VLOOKUP(H1027,'Taux émission CO2e'!$A$20:$D$31,4,FALSE)</f>
        <v>6.7400000000000002E-2</v>
      </c>
      <c r="N1027" s="105">
        <f t="shared" ref="N1027:N1090" si="151">IFERROR(J1027*M1027*G1027*S1027,"0")</f>
        <v>2.23441795458</v>
      </c>
      <c r="O1027" s="93">
        <f t="shared" ref="O1027:O1090" si="152">L1027+N1027</f>
        <v>4.5076706425799999</v>
      </c>
      <c r="P1027" s="92">
        <v>100</v>
      </c>
      <c r="Q1027" s="92" t="s">
        <v>58</v>
      </c>
      <c r="R1027" s="92" t="s">
        <v>79</v>
      </c>
      <c r="S1027" s="20">
        <v>250.57900000000001</v>
      </c>
    </row>
    <row r="1028" spans="1:19" x14ac:dyDescent="0.15">
      <c r="A1028" s="90">
        <v>44726</v>
      </c>
      <c r="B1028" s="90" t="str">
        <f t="shared" si="146"/>
        <v>juin</v>
      </c>
      <c r="C1028" s="90" t="str">
        <f t="shared" si="147"/>
        <v>2022</v>
      </c>
      <c r="D1028" s="90" t="str">
        <f t="shared" si="148"/>
        <v>juin2022</v>
      </c>
      <c r="E1028" s="91" t="s">
        <v>995</v>
      </c>
      <c r="F1028" s="91">
        <v>76</v>
      </c>
      <c r="G1028" s="94">
        <f t="shared" si="149"/>
        <v>7.5999999999999998E-2</v>
      </c>
      <c r="H1028" s="92" t="s">
        <v>46</v>
      </c>
      <c r="I1028" s="96">
        <f t="shared" si="144"/>
        <v>0.3</v>
      </c>
      <c r="J1028" s="96">
        <f t="shared" si="145"/>
        <v>0.7</v>
      </c>
      <c r="K1028" s="92">
        <f>VLOOKUP(H1028,'Taux émission CO2e'!$A$5:$D$16,4,FALSE)</f>
        <v>0.16</v>
      </c>
      <c r="L1028" s="93">
        <f t="shared" si="150"/>
        <v>3.2259264000000001</v>
      </c>
      <c r="M1028" s="92">
        <f>VLOOKUP(H1028,'Taux émission CO2e'!$A$20:$D$31,4,FALSE)</f>
        <v>6.7400000000000002E-2</v>
      </c>
      <c r="N1028" s="105">
        <f t="shared" si="151"/>
        <v>3.1708168239999996</v>
      </c>
      <c r="O1028" s="93">
        <f t="shared" si="152"/>
        <v>6.3967432239999997</v>
      </c>
      <c r="P1028" s="92">
        <v>196</v>
      </c>
      <c r="Q1028" s="92" t="s">
        <v>58</v>
      </c>
      <c r="R1028" s="92" t="s">
        <v>656</v>
      </c>
      <c r="S1028" s="20">
        <v>884.3</v>
      </c>
    </row>
    <row r="1029" spans="1:19" x14ac:dyDescent="0.15">
      <c r="A1029" s="90">
        <v>44726</v>
      </c>
      <c r="B1029" s="90" t="str">
        <f t="shared" si="146"/>
        <v>juin</v>
      </c>
      <c r="C1029" s="90" t="str">
        <f t="shared" si="147"/>
        <v>2022</v>
      </c>
      <c r="D1029" s="90" t="str">
        <f t="shared" si="148"/>
        <v>juin2022</v>
      </c>
      <c r="E1029" s="91" t="s">
        <v>996</v>
      </c>
      <c r="F1029" s="91">
        <v>219</v>
      </c>
      <c r="G1029" s="94">
        <f t="shared" si="149"/>
        <v>0.219</v>
      </c>
      <c r="H1029" s="92" t="s">
        <v>46</v>
      </c>
      <c r="I1029" s="96">
        <f t="shared" si="144"/>
        <v>0.3</v>
      </c>
      <c r="J1029" s="96">
        <f t="shared" si="145"/>
        <v>0.7</v>
      </c>
      <c r="K1029" s="92">
        <f>VLOOKUP(H1029,'Taux émission CO2e'!$A$5:$D$16,4,FALSE)</f>
        <v>0.16</v>
      </c>
      <c r="L1029" s="93">
        <f t="shared" si="150"/>
        <v>3.3299598239999999</v>
      </c>
      <c r="M1029" s="92">
        <f>VLOOKUP(H1029,'Taux émission CO2e'!$A$20:$D$31,4,FALSE)</f>
        <v>6.7400000000000002E-2</v>
      </c>
      <c r="N1029" s="105">
        <f t="shared" si="151"/>
        <v>3.2730730103400001</v>
      </c>
      <c r="O1029" s="93">
        <f t="shared" si="152"/>
        <v>6.6030328343400004</v>
      </c>
      <c r="P1029" s="92">
        <v>210</v>
      </c>
      <c r="Q1029" s="92" t="s">
        <v>58</v>
      </c>
      <c r="R1029" s="92" t="s">
        <v>632</v>
      </c>
      <c r="S1029" s="20">
        <v>316.77699999999999</v>
      </c>
    </row>
    <row r="1030" spans="1:19" x14ac:dyDescent="0.15">
      <c r="A1030" s="90">
        <v>44726</v>
      </c>
      <c r="B1030" s="90" t="str">
        <f t="shared" si="146"/>
        <v>juin</v>
      </c>
      <c r="C1030" s="90" t="str">
        <f t="shared" si="147"/>
        <v>2022</v>
      </c>
      <c r="D1030" s="90" t="str">
        <f t="shared" si="148"/>
        <v>juin2022</v>
      </c>
      <c r="E1030" s="91" t="s">
        <v>997</v>
      </c>
      <c r="F1030" s="91">
        <v>203</v>
      </c>
      <c r="G1030" s="94">
        <f t="shared" si="149"/>
        <v>0.20300000000000001</v>
      </c>
      <c r="H1030" s="92" t="s">
        <v>46</v>
      </c>
      <c r="I1030" s="96">
        <f t="shared" si="144"/>
        <v>0.3</v>
      </c>
      <c r="J1030" s="96">
        <f t="shared" si="145"/>
        <v>0.7</v>
      </c>
      <c r="K1030" s="92">
        <f>VLOOKUP(H1030,'Taux émission CO2e'!$A$5:$D$16,4,FALSE)</f>
        <v>0.16</v>
      </c>
      <c r="L1030" s="93">
        <f t="shared" si="150"/>
        <v>8.1597522720000004</v>
      </c>
      <c r="M1030" s="92">
        <f>VLOOKUP(H1030,'Taux émission CO2e'!$A$20:$D$31,4,FALSE)</f>
        <v>6.7400000000000002E-2</v>
      </c>
      <c r="N1030" s="105">
        <f t="shared" si="151"/>
        <v>8.0203565040200004</v>
      </c>
      <c r="O1030" s="93">
        <f t="shared" si="152"/>
        <v>16.180108776019999</v>
      </c>
      <c r="P1030" s="92">
        <v>210</v>
      </c>
      <c r="Q1030" s="92" t="s">
        <v>58</v>
      </c>
      <c r="R1030" s="92" t="s">
        <v>61</v>
      </c>
      <c r="S1030" s="20">
        <v>837.41300000000001</v>
      </c>
    </row>
    <row r="1031" spans="1:19" x14ac:dyDescent="0.15">
      <c r="A1031" s="90">
        <v>44726</v>
      </c>
      <c r="B1031" s="90" t="str">
        <f t="shared" si="146"/>
        <v>juin</v>
      </c>
      <c r="C1031" s="90" t="str">
        <f t="shared" si="147"/>
        <v>2022</v>
      </c>
      <c r="D1031" s="90" t="str">
        <f t="shared" si="148"/>
        <v>juin2022</v>
      </c>
      <c r="E1031" s="91" t="s">
        <v>998</v>
      </c>
      <c r="F1031" s="91">
        <v>750</v>
      </c>
      <c r="G1031" s="94">
        <f t="shared" si="149"/>
        <v>0.75</v>
      </c>
      <c r="H1031" s="92" t="s">
        <v>45</v>
      </c>
      <c r="I1031" s="96">
        <f t="shared" si="144"/>
        <v>0.3</v>
      </c>
      <c r="J1031" s="96">
        <f t="shared" si="145"/>
        <v>0.7</v>
      </c>
      <c r="K1031" s="92">
        <f>VLOOKUP(H1031,'Taux émission CO2e'!$A$5:$D$16,4,FALSE)</f>
        <v>0.16</v>
      </c>
      <c r="L1031" s="93">
        <f t="shared" si="150"/>
        <v>1.8809640000000003</v>
      </c>
      <c r="M1031" s="92">
        <f>VLOOKUP(H1031,'Taux émission CO2e'!$A$20:$D$31,4,FALSE)</f>
        <v>6.7400000000000002E-2</v>
      </c>
      <c r="N1031" s="105">
        <f t="shared" si="151"/>
        <v>1.848830865</v>
      </c>
      <c r="O1031" s="93">
        <f t="shared" si="152"/>
        <v>3.7297948650000006</v>
      </c>
      <c r="P1031" s="92">
        <v>220</v>
      </c>
      <c r="Q1031" s="92" t="s">
        <v>153</v>
      </c>
      <c r="R1031" s="92" t="s">
        <v>55</v>
      </c>
      <c r="S1031" s="20">
        <v>52.249000000000002</v>
      </c>
    </row>
    <row r="1032" spans="1:19" x14ac:dyDescent="0.15">
      <c r="A1032" s="90">
        <v>44726</v>
      </c>
      <c r="B1032" s="90" t="str">
        <f t="shared" si="146"/>
        <v>juin</v>
      </c>
      <c r="C1032" s="90" t="str">
        <f t="shared" si="147"/>
        <v>2022</v>
      </c>
      <c r="D1032" s="90" t="str">
        <f t="shared" si="148"/>
        <v>juin2022</v>
      </c>
      <c r="E1032" s="91" t="s">
        <v>999</v>
      </c>
      <c r="F1032" s="91">
        <v>441</v>
      </c>
      <c r="G1032" s="94">
        <f t="shared" si="149"/>
        <v>0.441</v>
      </c>
      <c r="H1032" s="92" t="s">
        <v>46</v>
      </c>
      <c r="I1032" s="96">
        <f t="shared" si="144"/>
        <v>0.3</v>
      </c>
      <c r="J1032" s="96">
        <f t="shared" si="145"/>
        <v>0.7</v>
      </c>
      <c r="K1032" s="92">
        <f>VLOOKUP(H1032,'Taux émission CO2e'!$A$5:$D$16,4,FALSE)</f>
        <v>0.16</v>
      </c>
      <c r="L1032" s="93">
        <f t="shared" si="150"/>
        <v>5.6210565600000004</v>
      </c>
      <c r="M1032" s="92">
        <f>VLOOKUP(H1032,'Taux émission CO2e'!$A$20:$D$31,4,FALSE)</f>
        <v>6.7400000000000002E-2</v>
      </c>
      <c r="N1032" s="105">
        <f t="shared" si="151"/>
        <v>5.5250301771000006</v>
      </c>
      <c r="O1032" s="93">
        <f t="shared" si="152"/>
        <v>11.146086737100001</v>
      </c>
      <c r="P1032" s="92">
        <v>234</v>
      </c>
      <c r="Q1032" s="92" t="s">
        <v>58</v>
      </c>
      <c r="R1032" s="92" t="s">
        <v>71</v>
      </c>
      <c r="S1032" s="20">
        <v>265.54500000000002</v>
      </c>
    </row>
    <row r="1033" spans="1:19" x14ac:dyDescent="0.15">
      <c r="A1033" s="90">
        <v>44726</v>
      </c>
      <c r="B1033" s="90" t="str">
        <f t="shared" si="146"/>
        <v>juin</v>
      </c>
      <c r="C1033" s="90" t="str">
        <f t="shared" si="147"/>
        <v>2022</v>
      </c>
      <c r="D1033" s="90" t="str">
        <f t="shared" si="148"/>
        <v>juin2022</v>
      </c>
      <c r="E1033" s="91" t="s">
        <v>1000</v>
      </c>
      <c r="F1033" s="91">
        <v>384</v>
      </c>
      <c r="G1033" s="94">
        <f t="shared" si="149"/>
        <v>0.38400000000000001</v>
      </c>
      <c r="H1033" s="92" t="s">
        <v>46</v>
      </c>
      <c r="I1033" s="96">
        <f t="shared" si="144"/>
        <v>0.3</v>
      </c>
      <c r="J1033" s="96">
        <f t="shared" si="145"/>
        <v>0.7</v>
      </c>
      <c r="K1033" s="92">
        <f>VLOOKUP(H1033,'Taux émission CO2e'!$A$5:$D$16,4,FALSE)</f>
        <v>0.16</v>
      </c>
      <c r="L1033" s="93">
        <f t="shared" si="150"/>
        <v>9.9351060479999997</v>
      </c>
      <c r="M1033" s="92">
        <f>VLOOKUP(H1033,'Taux émission CO2e'!$A$20:$D$31,4,FALSE)</f>
        <v>6.7400000000000002E-2</v>
      </c>
      <c r="N1033" s="105">
        <f t="shared" si="151"/>
        <v>9.7653813196800012</v>
      </c>
      <c r="O1033" s="93">
        <f t="shared" si="152"/>
        <v>19.700487367680001</v>
      </c>
      <c r="P1033" s="92">
        <v>260</v>
      </c>
      <c r="Q1033" s="92" t="s">
        <v>58</v>
      </c>
      <c r="R1033" s="92" t="s">
        <v>405</v>
      </c>
      <c r="S1033" s="20">
        <v>539.01400000000001</v>
      </c>
    </row>
    <row r="1034" spans="1:19" x14ac:dyDescent="0.15">
      <c r="A1034" s="90">
        <v>44726</v>
      </c>
      <c r="B1034" s="90" t="str">
        <f t="shared" si="146"/>
        <v>juin</v>
      </c>
      <c r="C1034" s="90" t="str">
        <f t="shared" si="147"/>
        <v>2022</v>
      </c>
      <c r="D1034" s="90" t="str">
        <f t="shared" si="148"/>
        <v>juin2022</v>
      </c>
      <c r="E1034" s="91" t="s">
        <v>1001</v>
      </c>
      <c r="F1034" s="91">
        <v>450</v>
      </c>
      <c r="G1034" s="94">
        <f t="shared" si="149"/>
        <v>0.45</v>
      </c>
      <c r="H1034" s="92" t="s">
        <v>46</v>
      </c>
      <c r="I1034" s="96">
        <f t="shared" si="144"/>
        <v>0.3</v>
      </c>
      <c r="J1034" s="96">
        <f t="shared" si="145"/>
        <v>0.7</v>
      </c>
      <c r="K1034" s="92">
        <f>VLOOKUP(H1034,'Taux émission CO2e'!$A$5:$D$16,4,FALSE)</f>
        <v>0.16</v>
      </c>
      <c r="L1034" s="93">
        <f t="shared" si="150"/>
        <v>9.8510472</v>
      </c>
      <c r="M1034" s="92">
        <f>VLOOKUP(H1034,'Taux émission CO2e'!$A$20:$D$31,4,FALSE)</f>
        <v>6.7400000000000002E-2</v>
      </c>
      <c r="N1034" s="105">
        <f t="shared" si="151"/>
        <v>9.6827584770000001</v>
      </c>
      <c r="O1034" s="93">
        <f t="shared" si="152"/>
        <v>19.533805677</v>
      </c>
      <c r="P1034" s="92">
        <v>280</v>
      </c>
      <c r="Q1034" s="92" t="s">
        <v>570</v>
      </c>
      <c r="R1034" s="92" t="s">
        <v>55</v>
      </c>
      <c r="S1034" s="20">
        <v>456.06700000000001</v>
      </c>
    </row>
    <row r="1035" spans="1:19" x14ac:dyDescent="0.15">
      <c r="A1035" s="90">
        <v>44726</v>
      </c>
      <c r="B1035" s="90" t="str">
        <f t="shared" si="146"/>
        <v>juin</v>
      </c>
      <c r="C1035" s="90" t="str">
        <f t="shared" si="147"/>
        <v>2022</v>
      </c>
      <c r="D1035" s="90" t="str">
        <f t="shared" si="148"/>
        <v>juin2022</v>
      </c>
      <c r="E1035" s="91" t="s">
        <v>1002</v>
      </c>
      <c r="F1035" s="91">
        <v>644</v>
      </c>
      <c r="G1035" s="94">
        <f t="shared" si="149"/>
        <v>0.64400000000000002</v>
      </c>
      <c r="H1035" s="92" t="s">
        <v>46</v>
      </c>
      <c r="I1035" s="96">
        <f t="shared" si="144"/>
        <v>0.3</v>
      </c>
      <c r="J1035" s="96">
        <f t="shared" si="145"/>
        <v>0.7</v>
      </c>
      <c r="K1035" s="92">
        <f>VLOOKUP(H1035,'Taux émission CO2e'!$A$5:$D$16,4,FALSE)</f>
        <v>0.16</v>
      </c>
      <c r="L1035" s="93">
        <f t="shared" si="150"/>
        <v>11.760624959999999</v>
      </c>
      <c r="M1035" s="92">
        <f>VLOOKUP(H1035,'Taux émission CO2e'!$A$20:$D$31,4,FALSE)</f>
        <v>6.7400000000000002E-2</v>
      </c>
      <c r="N1035" s="105">
        <f t="shared" si="151"/>
        <v>11.5597142836</v>
      </c>
      <c r="O1035" s="93">
        <f t="shared" si="152"/>
        <v>23.320339243599999</v>
      </c>
      <c r="P1035" s="92">
        <v>510</v>
      </c>
      <c r="Q1035" s="92" t="s">
        <v>58</v>
      </c>
      <c r="R1035" s="92" t="s">
        <v>83</v>
      </c>
      <c r="S1035" s="20">
        <v>380.45499999999998</v>
      </c>
    </row>
    <row r="1036" spans="1:19" x14ac:dyDescent="0.15">
      <c r="A1036" s="90">
        <v>44727</v>
      </c>
      <c r="B1036" s="90" t="str">
        <f t="shared" si="146"/>
        <v>juin</v>
      </c>
      <c r="C1036" s="90" t="str">
        <f t="shared" si="147"/>
        <v>2022</v>
      </c>
      <c r="D1036" s="90" t="str">
        <f t="shared" si="148"/>
        <v>juin2022</v>
      </c>
      <c r="E1036" s="91" t="s">
        <v>1003</v>
      </c>
      <c r="F1036" s="91">
        <v>150</v>
      </c>
      <c r="G1036" s="94">
        <f t="shared" si="149"/>
        <v>0.15</v>
      </c>
      <c r="H1036" s="92" t="s">
        <v>45</v>
      </c>
      <c r="I1036" s="96">
        <f t="shared" si="144"/>
        <v>0.3</v>
      </c>
      <c r="J1036" s="96">
        <f t="shared" si="145"/>
        <v>0.7</v>
      </c>
      <c r="K1036" s="92">
        <f>VLOOKUP(H1036,'Taux émission CO2e'!$A$5:$D$16,4,FALSE)</f>
        <v>0.16</v>
      </c>
      <c r="L1036" s="93">
        <f t="shared" si="150"/>
        <v>0.4008024</v>
      </c>
      <c r="M1036" s="92">
        <f>VLOOKUP(H1036,'Taux émission CO2e'!$A$20:$D$31,4,FALSE)</f>
        <v>6.7400000000000002E-2</v>
      </c>
      <c r="N1036" s="105">
        <f t="shared" si="151"/>
        <v>0.393955359</v>
      </c>
      <c r="O1036" s="93">
        <f t="shared" si="152"/>
        <v>0.79475775900000001</v>
      </c>
      <c r="P1036" s="92">
        <v>80</v>
      </c>
      <c r="Q1036" s="92" t="s">
        <v>1004</v>
      </c>
      <c r="R1036" s="92" t="s">
        <v>55</v>
      </c>
      <c r="S1036" s="20">
        <v>55.667000000000002</v>
      </c>
    </row>
    <row r="1037" spans="1:19" x14ac:dyDescent="0.15">
      <c r="A1037" s="90">
        <v>44727</v>
      </c>
      <c r="B1037" s="90" t="str">
        <f t="shared" si="146"/>
        <v>juin</v>
      </c>
      <c r="C1037" s="90" t="str">
        <f t="shared" si="147"/>
        <v>2022</v>
      </c>
      <c r="D1037" s="90" t="str">
        <f t="shared" si="148"/>
        <v>juin2022</v>
      </c>
      <c r="E1037" s="91" t="s">
        <v>1005</v>
      </c>
      <c r="F1037" s="91">
        <v>182</v>
      </c>
      <c r="G1037" s="94">
        <f t="shared" si="149"/>
        <v>0.182</v>
      </c>
      <c r="H1037" s="92" t="s">
        <v>45</v>
      </c>
      <c r="I1037" s="96">
        <f t="shared" si="144"/>
        <v>0.3</v>
      </c>
      <c r="J1037" s="96">
        <f t="shared" si="145"/>
        <v>0.7</v>
      </c>
      <c r="K1037" s="92">
        <f>VLOOKUP(H1037,'Taux émission CO2e'!$A$5:$D$16,4,FALSE)</f>
        <v>0.16</v>
      </c>
      <c r="L1037" s="93">
        <f t="shared" si="150"/>
        <v>0.44630476800000002</v>
      </c>
      <c r="M1037" s="92">
        <f>VLOOKUP(H1037,'Taux émission CO2e'!$A$20:$D$31,4,FALSE)</f>
        <v>6.7400000000000002E-2</v>
      </c>
      <c r="N1037" s="105">
        <f t="shared" si="151"/>
        <v>0.43868039488000005</v>
      </c>
      <c r="O1037" s="93">
        <f t="shared" si="152"/>
        <v>0.88498516288000006</v>
      </c>
      <c r="P1037" s="92">
        <v>80</v>
      </c>
      <c r="Q1037" s="92" t="s">
        <v>58</v>
      </c>
      <c r="R1037" s="92" t="s">
        <v>146</v>
      </c>
      <c r="S1037" s="20">
        <v>51.088000000000001</v>
      </c>
    </row>
    <row r="1038" spans="1:19" x14ac:dyDescent="0.15">
      <c r="A1038" s="90">
        <v>44727</v>
      </c>
      <c r="B1038" s="90" t="str">
        <f t="shared" si="146"/>
        <v>juin</v>
      </c>
      <c r="C1038" s="90" t="str">
        <f t="shared" si="147"/>
        <v>2022</v>
      </c>
      <c r="D1038" s="90" t="str">
        <f t="shared" si="148"/>
        <v>juin2022</v>
      </c>
      <c r="E1038" s="91" t="s">
        <v>1006</v>
      </c>
      <c r="F1038" s="91">
        <v>300</v>
      </c>
      <c r="G1038" s="94">
        <f t="shared" si="149"/>
        <v>0.3</v>
      </c>
      <c r="H1038" s="92" t="s">
        <v>38</v>
      </c>
      <c r="I1038" s="96">
        <f t="shared" si="144"/>
        <v>1</v>
      </c>
      <c r="J1038" s="96">
        <f t="shared" si="145"/>
        <v>0</v>
      </c>
      <c r="K1038" s="92">
        <f>VLOOKUP(H1038,'Taux émission CO2e'!$A$5:$D$16,4,FALSE)</f>
        <v>0.24099999999999999</v>
      </c>
      <c r="L1038" s="93">
        <f t="shared" si="150"/>
        <v>2.4575492999999997</v>
      </c>
      <c r="M1038" s="92">
        <f>VLOOKUP(H1038,'Taux émission CO2e'!$A$20:$D$31,4,FALSE)</f>
        <v>0</v>
      </c>
      <c r="N1038" s="105">
        <f t="shared" si="151"/>
        <v>0</v>
      </c>
      <c r="O1038" s="93">
        <f t="shared" si="152"/>
        <v>2.4575492999999997</v>
      </c>
      <c r="P1038" s="92">
        <v>100</v>
      </c>
      <c r="Q1038" s="92" t="s">
        <v>67</v>
      </c>
      <c r="R1038" s="92" t="s">
        <v>55</v>
      </c>
      <c r="S1038" s="20">
        <v>33.991</v>
      </c>
    </row>
    <row r="1039" spans="1:19" x14ac:dyDescent="0.15">
      <c r="A1039" s="90">
        <v>44727</v>
      </c>
      <c r="B1039" s="90" t="str">
        <f t="shared" si="146"/>
        <v>juin</v>
      </c>
      <c r="C1039" s="90" t="str">
        <f t="shared" si="147"/>
        <v>2022</v>
      </c>
      <c r="D1039" s="90" t="str">
        <f t="shared" si="148"/>
        <v>juin2022</v>
      </c>
      <c r="E1039" s="91" t="s">
        <v>1007</v>
      </c>
      <c r="F1039" s="91">
        <v>152</v>
      </c>
      <c r="G1039" s="94">
        <f t="shared" si="149"/>
        <v>0.152</v>
      </c>
      <c r="H1039" s="92" t="s">
        <v>45</v>
      </c>
      <c r="I1039" s="96">
        <f t="shared" si="144"/>
        <v>0.3</v>
      </c>
      <c r="J1039" s="96">
        <f t="shared" si="145"/>
        <v>0.7</v>
      </c>
      <c r="K1039" s="92">
        <f>VLOOKUP(H1039,'Taux émission CO2e'!$A$5:$D$16,4,FALSE)</f>
        <v>0.16</v>
      </c>
      <c r="L1039" s="93">
        <f t="shared" si="150"/>
        <v>1.8282243840000001</v>
      </c>
      <c r="M1039" s="92">
        <f>VLOOKUP(H1039,'Taux émission CO2e'!$A$20:$D$31,4,FALSE)</f>
        <v>6.7400000000000002E-2</v>
      </c>
      <c r="N1039" s="105">
        <f t="shared" si="151"/>
        <v>1.7969922174399999</v>
      </c>
      <c r="O1039" s="93">
        <f t="shared" si="152"/>
        <v>3.62521660144</v>
      </c>
      <c r="P1039" s="92">
        <v>100</v>
      </c>
      <c r="Q1039" s="92" t="s">
        <v>58</v>
      </c>
      <c r="R1039" s="92" t="s">
        <v>79</v>
      </c>
      <c r="S1039" s="20">
        <v>250.57900000000001</v>
      </c>
    </row>
    <row r="1040" spans="1:19" x14ac:dyDescent="0.15">
      <c r="A1040" s="90">
        <v>44727</v>
      </c>
      <c r="B1040" s="90" t="str">
        <f t="shared" si="146"/>
        <v>juin</v>
      </c>
      <c r="C1040" s="90" t="str">
        <f t="shared" si="147"/>
        <v>2022</v>
      </c>
      <c r="D1040" s="90" t="str">
        <f t="shared" si="148"/>
        <v>juin2022</v>
      </c>
      <c r="E1040" s="91" t="s">
        <v>1008</v>
      </c>
      <c r="F1040" s="91">
        <v>47</v>
      </c>
      <c r="G1040" s="94">
        <f t="shared" si="149"/>
        <v>4.7E-2</v>
      </c>
      <c r="H1040" s="92" t="s">
        <v>45</v>
      </c>
      <c r="I1040" s="96">
        <f t="shared" si="144"/>
        <v>0.3</v>
      </c>
      <c r="J1040" s="96">
        <f t="shared" si="145"/>
        <v>0.7</v>
      </c>
      <c r="K1040" s="92">
        <f>VLOOKUP(H1040,'Taux émission CO2e'!$A$5:$D$16,4,FALSE)</f>
        <v>0.16</v>
      </c>
      <c r="L1040" s="93">
        <f t="shared" si="150"/>
        <v>0.57959121600000008</v>
      </c>
      <c r="M1040" s="92">
        <f>VLOOKUP(H1040,'Taux émission CO2e'!$A$20:$D$31,4,FALSE)</f>
        <v>6.7400000000000002E-2</v>
      </c>
      <c r="N1040" s="105">
        <f t="shared" si="151"/>
        <v>0.56968986606000005</v>
      </c>
      <c r="O1040" s="93">
        <f t="shared" si="152"/>
        <v>1.1492810820600001</v>
      </c>
      <c r="P1040" s="92">
        <v>100</v>
      </c>
      <c r="Q1040" s="92" t="s">
        <v>58</v>
      </c>
      <c r="R1040" s="92" t="s">
        <v>60</v>
      </c>
      <c r="S1040" s="20">
        <v>256.911</v>
      </c>
    </row>
    <row r="1041" spans="1:19" x14ac:dyDescent="0.15">
      <c r="A1041" s="90">
        <v>44727</v>
      </c>
      <c r="B1041" s="90" t="str">
        <f t="shared" si="146"/>
        <v>juin</v>
      </c>
      <c r="C1041" s="90" t="str">
        <f t="shared" si="147"/>
        <v>2022</v>
      </c>
      <c r="D1041" s="90" t="str">
        <f t="shared" si="148"/>
        <v>juin2022</v>
      </c>
      <c r="E1041" s="91" t="s">
        <v>1009</v>
      </c>
      <c r="F1041" s="91">
        <v>300</v>
      </c>
      <c r="G1041" s="94">
        <f t="shared" si="149"/>
        <v>0.3</v>
      </c>
      <c r="H1041" s="92" t="s">
        <v>45</v>
      </c>
      <c r="I1041" s="96">
        <f t="shared" si="144"/>
        <v>0.3</v>
      </c>
      <c r="J1041" s="96">
        <f t="shared" si="145"/>
        <v>0.7</v>
      </c>
      <c r="K1041" s="92">
        <f>VLOOKUP(H1041,'Taux émission CO2e'!$A$5:$D$16,4,FALSE)</f>
        <v>0.16</v>
      </c>
      <c r="L1041" s="93">
        <f t="shared" si="150"/>
        <v>0.67008959999999995</v>
      </c>
      <c r="M1041" s="92">
        <f>VLOOKUP(H1041,'Taux émission CO2e'!$A$20:$D$31,4,FALSE)</f>
        <v>6.7400000000000002E-2</v>
      </c>
      <c r="N1041" s="105">
        <f t="shared" si="151"/>
        <v>0.65864223599999994</v>
      </c>
      <c r="O1041" s="93">
        <f t="shared" si="152"/>
        <v>1.3287318359999998</v>
      </c>
      <c r="P1041" s="92">
        <v>120</v>
      </c>
      <c r="Q1041" s="92" t="s">
        <v>816</v>
      </c>
      <c r="R1041" s="92" t="s">
        <v>55</v>
      </c>
      <c r="S1041" s="20">
        <v>46.533999999999999</v>
      </c>
    </row>
    <row r="1042" spans="1:19" x14ac:dyDescent="0.15">
      <c r="A1042" s="90">
        <v>44727</v>
      </c>
      <c r="B1042" s="90" t="str">
        <f t="shared" si="146"/>
        <v>juin</v>
      </c>
      <c r="C1042" s="90" t="str">
        <f t="shared" si="147"/>
        <v>2022</v>
      </c>
      <c r="D1042" s="90" t="str">
        <f t="shared" si="148"/>
        <v>juin2022</v>
      </c>
      <c r="E1042" s="91" t="s">
        <v>1010</v>
      </c>
      <c r="F1042" s="91">
        <v>150</v>
      </c>
      <c r="G1042" s="94">
        <f t="shared" si="149"/>
        <v>0.15</v>
      </c>
      <c r="H1042" s="92" t="s">
        <v>45</v>
      </c>
      <c r="I1042" s="96">
        <f t="shared" si="144"/>
        <v>0.3</v>
      </c>
      <c r="J1042" s="96">
        <f t="shared" si="145"/>
        <v>0.7</v>
      </c>
      <c r="K1042" s="92">
        <f>VLOOKUP(H1042,'Taux émission CO2e'!$A$5:$D$16,4,FALSE)</f>
        <v>0.16</v>
      </c>
      <c r="L1042" s="93">
        <f t="shared" si="150"/>
        <v>2.0026439999999996</v>
      </c>
      <c r="M1042" s="92">
        <f>VLOOKUP(H1042,'Taux émission CO2e'!$A$20:$D$31,4,FALSE)</f>
        <v>6.7400000000000002E-2</v>
      </c>
      <c r="N1042" s="105">
        <f t="shared" si="151"/>
        <v>1.9684321649999998</v>
      </c>
      <c r="O1042" s="93">
        <f t="shared" si="152"/>
        <v>3.9710761649999995</v>
      </c>
      <c r="P1042" s="92">
        <v>158</v>
      </c>
      <c r="Q1042" s="92" t="s">
        <v>74</v>
      </c>
      <c r="R1042" s="92" t="s">
        <v>55</v>
      </c>
      <c r="S1042" s="20">
        <v>278.14499999999998</v>
      </c>
    </row>
    <row r="1043" spans="1:19" x14ac:dyDescent="0.15">
      <c r="A1043" s="90">
        <v>44727</v>
      </c>
      <c r="B1043" s="90" t="str">
        <f t="shared" si="146"/>
        <v>juin</v>
      </c>
      <c r="C1043" s="90" t="str">
        <f t="shared" si="147"/>
        <v>2022</v>
      </c>
      <c r="D1043" s="90" t="str">
        <f t="shared" si="148"/>
        <v>juin2022</v>
      </c>
      <c r="E1043" s="91" t="s">
        <v>1011</v>
      </c>
      <c r="F1043" s="91">
        <v>150</v>
      </c>
      <c r="G1043" s="94">
        <f t="shared" si="149"/>
        <v>0.15</v>
      </c>
      <c r="H1043" s="92" t="s">
        <v>45</v>
      </c>
      <c r="I1043" s="96">
        <f t="shared" si="144"/>
        <v>0.3</v>
      </c>
      <c r="J1043" s="96">
        <f t="shared" si="145"/>
        <v>0.7</v>
      </c>
      <c r="K1043" s="92">
        <f>VLOOKUP(H1043,'Taux émission CO2e'!$A$5:$D$16,4,FALSE)</f>
        <v>0.16</v>
      </c>
      <c r="L1043" s="93">
        <f t="shared" si="150"/>
        <v>3.7013975999999995</v>
      </c>
      <c r="M1043" s="92">
        <f>VLOOKUP(H1043,'Taux émission CO2e'!$A$20:$D$31,4,FALSE)</f>
        <v>6.7400000000000002E-2</v>
      </c>
      <c r="N1043" s="105">
        <f t="shared" si="151"/>
        <v>3.6381653909999998</v>
      </c>
      <c r="O1043" s="93">
        <f t="shared" si="152"/>
        <v>7.3395629909999993</v>
      </c>
      <c r="P1043" s="92">
        <v>165</v>
      </c>
      <c r="Q1043" s="92" t="s">
        <v>1012</v>
      </c>
      <c r="R1043" s="92" t="s">
        <v>55</v>
      </c>
      <c r="S1043" s="20">
        <v>514.08299999999997</v>
      </c>
    </row>
    <row r="1044" spans="1:19" x14ac:dyDescent="0.15">
      <c r="A1044" s="90">
        <v>44727</v>
      </c>
      <c r="B1044" s="90" t="str">
        <f t="shared" si="146"/>
        <v>juin</v>
      </c>
      <c r="C1044" s="90" t="str">
        <f t="shared" si="147"/>
        <v>2022</v>
      </c>
      <c r="D1044" s="90" t="str">
        <f t="shared" si="148"/>
        <v>juin2022</v>
      </c>
      <c r="E1044" s="91" t="s">
        <v>1013</v>
      </c>
      <c r="F1044" s="91">
        <v>300</v>
      </c>
      <c r="G1044" s="94">
        <f t="shared" si="149"/>
        <v>0.3</v>
      </c>
      <c r="H1044" s="92" t="s">
        <v>46</v>
      </c>
      <c r="I1044" s="96">
        <f t="shared" si="144"/>
        <v>0.3</v>
      </c>
      <c r="J1044" s="96">
        <f t="shared" si="145"/>
        <v>0.7</v>
      </c>
      <c r="K1044" s="92">
        <f>VLOOKUP(H1044,'Taux émission CO2e'!$A$5:$D$16,4,FALSE)</f>
        <v>0.16</v>
      </c>
      <c r="L1044" s="93">
        <f t="shared" si="150"/>
        <v>2.4943679999999997</v>
      </c>
      <c r="M1044" s="92">
        <f>VLOOKUP(H1044,'Taux émission CO2e'!$A$20:$D$31,4,FALSE)</f>
        <v>6.7400000000000002E-2</v>
      </c>
      <c r="N1044" s="105">
        <f t="shared" si="151"/>
        <v>2.4517558799999999</v>
      </c>
      <c r="O1044" s="93">
        <f t="shared" si="152"/>
        <v>4.94612388</v>
      </c>
      <c r="P1044" s="92">
        <v>200</v>
      </c>
      <c r="Q1044" s="92" t="s">
        <v>708</v>
      </c>
      <c r="R1044" s="92" t="s">
        <v>55</v>
      </c>
      <c r="S1044" s="20">
        <v>173.22</v>
      </c>
    </row>
    <row r="1045" spans="1:19" x14ac:dyDescent="0.15">
      <c r="A1045" s="90">
        <v>44727</v>
      </c>
      <c r="B1045" s="90" t="str">
        <f t="shared" si="146"/>
        <v>juin</v>
      </c>
      <c r="C1045" s="90" t="str">
        <f t="shared" si="147"/>
        <v>2022</v>
      </c>
      <c r="D1045" s="90" t="str">
        <f t="shared" si="148"/>
        <v>juin2022</v>
      </c>
      <c r="E1045" s="91" t="s">
        <v>1014</v>
      </c>
      <c r="F1045" s="91">
        <v>203</v>
      </c>
      <c r="G1045" s="94">
        <f t="shared" si="149"/>
        <v>0.20300000000000001</v>
      </c>
      <c r="H1045" s="92" t="s">
        <v>46</v>
      </c>
      <c r="I1045" s="96">
        <f t="shared" si="144"/>
        <v>0.3</v>
      </c>
      <c r="J1045" s="96">
        <f t="shared" si="145"/>
        <v>0.7</v>
      </c>
      <c r="K1045" s="92">
        <f>VLOOKUP(H1045,'Taux émission CO2e'!$A$5:$D$16,4,FALSE)</f>
        <v>0.16</v>
      </c>
      <c r="L1045" s="93">
        <f t="shared" si="150"/>
        <v>2.7263614560000002</v>
      </c>
      <c r="M1045" s="92">
        <f>VLOOKUP(H1045,'Taux émission CO2e'!$A$20:$D$31,4,FALSE)</f>
        <v>6.7400000000000002E-2</v>
      </c>
      <c r="N1045" s="105">
        <f t="shared" si="151"/>
        <v>2.6797861144600001</v>
      </c>
      <c r="O1045" s="93">
        <f t="shared" si="152"/>
        <v>5.4061475704599999</v>
      </c>
      <c r="P1045" s="92">
        <v>205</v>
      </c>
      <c r="Q1045" s="92" t="s">
        <v>58</v>
      </c>
      <c r="R1045" s="92" t="s">
        <v>70</v>
      </c>
      <c r="S1045" s="20">
        <v>279.79899999999998</v>
      </c>
    </row>
    <row r="1046" spans="1:19" x14ac:dyDescent="0.15">
      <c r="A1046" s="90">
        <v>44727</v>
      </c>
      <c r="B1046" s="90" t="str">
        <f t="shared" si="146"/>
        <v>juin</v>
      </c>
      <c r="C1046" s="90" t="str">
        <f t="shared" si="147"/>
        <v>2022</v>
      </c>
      <c r="D1046" s="90" t="str">
        <f t="shared" si="148"/>
        <v>juin2022</v>
      </c>
      <c r="E1046" s="91" t="s">
        <v>1015</v>
      </c>
      <c r="F1046" s="91">
        <v>203</v>
      </c>
      <c r="G1046" s="94">
        <f t="shared" si="149"/>
        <v>0.20300000000000001</v>
      </c>
      <c r="H1046" s="92" t="s">
        <v>46</v>
      </c>
      <c r="I1046" s="96">
        <f t="shared" si="144"/>
        <v>0.3</v>
      </c>
      <c r="J1046" s="96">
        <f t="shared" si="145"/>
        <v>0.7</v>
      </c>
      <c r="K1046" s="92">
        <f>VLOOKUP(H1046,'Taux émission CO2e'!$A$5:$D$16,4,FALSE)</f>
        <v>0.16</v>
      </c>
      <c r="L1046" s="93">
        <f t="shared" si="150"/>
        <v>4.347685104</v>
      </c>
      <c r="M1046" s="92">
        <f>VLOOKUP(H1046,'Taux émission CO2e'!$A$20:$D$31,4,FALSE)</f>
        <v>6.7400000000000002E-2</v>
      </c>
      <c r="N1046" s="105">
        <f t="shared" si="151"/>
        <v>4.2734121501400004</v>
      </c>
      <c r="O1046" s="93">
        <f t="shared" si="152"/>
        <v>8.6210972541400004</v>
      </c>
      <c r="P1046" s="92">
        <v>225</v>
      </c>
      <c r="Q1046" s="92" t="s">
        <v>58</v>
      </c>
      <c r="R1046" s="92" t="s">
        <v>529</v>
      </c>
      <c r="S1046" s="20">
        <v>446.19099999999997</v>
      </c>
    </row>
    <row r="1047" spans="1:19" x14ac:dyDescent="0.15">
      <c r="A1047" s="90">
        <v>44727</v>
      </c>
      <c r="B1047" s="90" t="str">
        <f t="shared" si="146"/>
        <v>juin</v>
      </c>
      <c r="C1047" s="90" t="str">
        <f t="shared" si="147"/>
        <v>2022</v>
      </c>
      <c r="D1047" s="90" t="str">
        <f t="shared" si="148"/>
        <v>juin2022</v>
      </c>
      <c r="E1047" s="91" t="s">
        <v>1016</v>
      </c>
      <c r="F1047" s="91">
        <v>401</v>
      </c>
      <c r="G1047" s="94">
        <f t="shared" si="149"/>
        <v>0.40100000000000002</v>
      </c>
      <c r="H1047" s="92" t="s">
        <v>45</v>
      </c>
      <c r="I1047" s="96">
        <f t="shared" si="144"/>
        <v>0.3</v>
      </c>
      <c r="J1047" s="96">
        <f t="shared" si="145"/>
        <v>0.7</v>
      </c>
      <c r="K1047" s="92">
        <f>VLOOKUP(H1047,'Taux émission CO2e'!$A$5:$D$16,4,FALSE)</f>
        <v>0.16</v>
      </c>
      <c r="L1047" s="93">
        <f t="shared" si="150"/>
        <v>4.8923604000000003</v>
      </c>
      <c r="M1047" s="92">
        <f>VLOOKUP(H1047,'Taux émission CO2e'!$A$20:$D$31,4,FALSE)</f>
        <v>6.7400000000000002E-2</v>
      </c>
      <c r="N1047" s="105">
        <f t="shared" si="151"/>
        <v>4.8087825765000005</v>
      </c>
      <c r="O1047" s="93">
        <f t="shared" si="152"/>
        <v>9.7011429765000017</v>
      </c>
      <c r="P1047" s="92">
        <v>234</v>
      </c>
      <c r="Q1047" s="92" t="s">
        <v>58</v>
      </c>
      <c r="R1047" s="92" t="s">
        <v>93</v>
      </c>
      <c r="S1047" s="20">
        <v>254.17500000000001</v>
      </c>
    </row>
    <row r="1048" spans="1:19" x14ac:dyDescent="0.15">
      <c r="A1048" s="90">
        <v>44727</v>
      </c>
      <c r="B1048" s="90" t="str">
        <f t="shared" si="146"/>
        <v>juin</v>
      </c>
      <c r="C1048" s="90" t="str">
        <f t="shared" si="147"/>
        <v>2022</v>
      </c>
      <c r="D1048" s="90" t="str">
        <f t="shared" si="148"/>
        <v>juin2022</v>
      </c>
      <c r="E1048" s="91" t="s">
        <v>1017</v>
      </c>
      <c r="F1048" s="91">
        <v>604</v>
      </c>
      <c r="G1048" s="94">
        <f t="shared" si="149"/>
        <v>0.60399999999999998</v>
      </c>
      <c r="H1048" s="92" t="s">
        <v>45</v>
      </c>
      <c r="I1048" s="96">
        <f t="shared" si="144"/>
        <v>0.3</v>
      </c>
      <c r="J1048" s="96">
        <f t="shared" si="145"/>
        <v>0.7</v>
      </c>
      <c r="K1048" s="92">
        <f>VLOOKUP(H1048,'Taux émission CO2e'!$A$5:$D$16,4,FALSE)</f>
        <v>0.16</v>
      </c>
      <c r="L1048" s="93">
        <f t="shared" si="150"/>
        <v>5.4673983360000005</v>
      </c>
      <c r="M1048" s="92">
        <f>VLOOKUP(H1048,'Taux émission CO2e'!$A$20:$D$31,4,FALSE)</f>
        <v>6.7400000000000002E-2</v>
      </c>
      <c r="N1048" s="105">
        <f t="shared" si="151"/>
        <v>5.3739969477600003</v>
      </c>
      <c r="O1048" s="93">
        <f t="shared" si="152"/>
        <v>10.841395283760001</v>
      </c>
      <c r="P1048" s="92">
        <v>250</v>
      </c>
      <c r="Q1048" s="92" t="s">
        <v>58</v>
      </c>
      <c r="R1048" s="92" t="s">
        <v>531</v>
      </c>
      <c r="S1048" s="20">
        <v>188.583</v>
      </c>
    </row>
    <row r="1049" spans="1:19" x14ac:dyDescent="0.15">
      <c r="A1049" s="90">
        <v>44727</v>
      </c>
      <c r="B1049" s="90" t="str">
        <f t="shared" si="146"/>
        <v>juin</v>
      </c>
      <c r="C1049" s="90" t="str">
        <f t="shared" si="147"/>
        <v>2022</v>
      </c>
      <c r="D1049" s="90" t="str">
        <f t="shared" si="148"/>
        <v>juin2022</v>
      </c>
      <c r="E1049" s="91" t="s">
        <v>1018</v>
      </c>
      <c r="F1049" s="91">
        <v>401</v>
      </c>
      <c r="G1049" s="94">
        <f t="shared" si="149"/>
        <v>0.40100000000000002</v>
      </c>
      <c r="H1049" s="92" t="s">
        <v>46</v>
      </c>
      <c r="I1049" s="96">
        <f t="shared" si="144"/>
        <v>0.3</v>
      </c>
      <c r="J1049" s="96">
        <f t="shared" si="145"/>
        <v>0.7</v>
      </c>
      <c r="K1049" s="92">
        <f>VLOOKUP(H1049,'Taux émission CO2e'!$A$5:$D$16,4,FALSE)</f>
        <v>0.16</v>
      </c>
      <c r="L1049" s="93">
        <f t="shared" si="150"/>
        <v>8.8253427360000014</v>
      </c>
      <c r="M1049" s="92">
        <f>VLOOKUP(H1049,'Taux émission CO2e'!$A$20:$D$31,4,FALSE)</f>
        <v>6.7400000000000002E-2</v>
      </c>
      <c r="N1049" s="105">
        <f t="shared" si="151"/>
        <v>8.6745764642600012</v>
      </c>
      <c r="O1049" s="93">
        <f t="shared" si="152"/>
        <v>17.499919200260003</v>
      </c>
      <c r="P1049" s="92">
        <v>280</v>
      </c>
      <c r="Q1049" s="92" t="s">
        <v>58</v>
      </c>
      <c r="R1049" s="92" t="s">
        <v>427</v>
      </c>
      <c r="S1049" s="20">
        <v>458.50700000000001</v>
      </c>
    </row>
    <row r="1050" spans="1:19" x14ac:dyDescent="0.15">
      <c r="A1050" s="90">
        <v>44727</v>
      </c>
      <c r="B1050" s="90" t="str">
        <f t="shared" si="146"/>
        <v>juin</v>
      </c>
      <c r="C1050" s="90" t="str">
        <f t="shared" si="147"/>
        <v>2022</v>
      </c>
      <c r="D1050" s="90" t="str">
        <f t="shared" si="148"/>
        <v>juin2022</v>
      </c>
      <c r="E1050" s="91" t="s">
        <v>1019</v>
      </c>
      <c r="F1050" s="91">
        <v>709</v>
      </c>
      <c r="G1050" s="94">
        <f t="shared" si="149"/>
        <v>0.70899999999999996</v>
      </c>
      <c r="H1050" s="92" t="s">
        <v>45</v>
      </c>
      <c r="I1050" s="96">
        <f t="shared" si="144"/>
        <v>0.3</v>
      </c>
      <c r="J1050" s="96">
        <f t="shared" si="145"/>
        <v>0.7</v>
      </c>
      <c r="K1050" s="92">
        <f>VLOOKUP(H1050,'Taux émission CO2e'!$A$5:$D$16,4,FALSE)</f>
        <v>0.16</v>
      </c>
      <c r="L1050" s="93">
        <f t="shared" si="150"/>
        <v>9.0581613119999993</v>
      </c>
      <c r="M1050" s="92">
        <f>VLOOKUP(H1050,'Taux émission CO2e'!$A$20:$D$31,4,FALSE)</f>
        <v>6.7400000000000002E-2</v>
      </c>
      <c r="N1050" s="105">
        <f t="shared" si="151"/>
        <v>8.9034177229200004</v>
      </c>
      <c r="O1050" s="93">
        <f t="shared" si="152"/>
        <v>17.96157903492</v>
      </c>
      <c r="P1050" s="92">
        <v>310</v>
      </c>
      <c r="Q1050" s="92" t="s">
        <v>58</v>
      </c>
      <c r="R1050" s="92" t="s">
        <v>53</v>
      </c>
      <c r="S1050" s="20">
        <v>266.166</v>
      </c>
    </row>
    <row r="1051" spans="1:19" x14ac:dyDescent="0.15">
      <c r="A1051" s="90">
        <v>44727</v>
      </c>
      <c r="B1051" s="90" t="str">
        <f t="shared" si="146"/>
        <v>juin</v>
      </c>
      <c r="C1051" s="90" t="str">
        <f t="shared" si="147"/>
        <v>2022</v>
      </c>
      <c r="D1051" s="90" t="str">
        <f t="shared" si="148"/>
        <v>juin2022</v>
      </c>
      <c r="E1051" s="91" t="s">
        <v>1020</v>
      </c>
      <c r="F1051" s="91">
        <v>406</v>
      </c>
      <c r="G1051" s="94">
        <f t="shared" si="149"/>
        <v>0.40600000000000003</v>
      </c>
      <c r="H1051" s="92" t="s">
        <v>46</v>
      </c>
      <c r="I1051" s="96">
        <f t="shared" si="144"/>
        <v>0.3</v>
      </c>
      <c r="J1051" s="96">
        <f t="shared" si="145"/>
        <v>0.7</v>
      </c>
      <c r="K1051" s="92">
        <f>VLOOKUP(H1051,'Taux émission CO2e'!$A$5:$D$16,4,FALSE)</f>
        <v>0.16</v>
      </c>
      <c r="L1051" s="93">
        <f t="shared" si="150"/>
        <v>10.54651584</v>
      </c>
      <c r="M1051" s="92">
        <f>VLOOKUP(H1051,'Taux émission CO2e'!$A$20:$D$31,4,FALSE)</f>
        <v>6.7400000000000002E-2</v>
      </c>
      <c r="N1051" s="105">
        <f t="shared" si="151"/>
        <v>10.3663461944</v>
      </c>
      <c r="O1051" s="93">
        <f t="shared" si="152"/>
        <v>20.9128620344</v>
      </c>
      <c r="P1051" s="92">
        <v>325</v>
      </c>
      <c r="Q1051" s="92" t="s">
        <v>58</v>
      </c>
      <c r="R1051" s="92" t="s">
        <v>65</v>
      </c>
      <c r="S1051" s="20">
        <v>541.17999999999995</v>
      </c>
    </row>
    <row r="1052" spans="1:19" x14ac:dyDescent="0.15">
      <c r="A1052" s="90">
        <v>44728</v>
      </c>
      <c r="B1052" s="90" t="str">
        <f t="shared" si="146"/>
        <v>juin</v>
      </c>
      <c r="C1052" s="90" t="str">
        <f t="shared" si="147"/>
        <v>2022</v>
      </c>
      <c r="D1052" s="90" t="str">
        <f t="shared" si="148"/>
        <v>juin2022</v>
      </c>
      <c r="E1052" s="91" t="s">
        <v>1021</v>
      </c>
      <c r="F1052" s="91">
        <v>150</v>
      </c>
      <c r="G1052" s="94">
        <f t="shared" si="149"/>
        <v>0.15</v>
      </c>
      <c r="H1052" s="92" t="s">
        <v>45</v>
      </c>
      <c r="I1052" s="96">
        <f t="shared" si="144"/>
        <v>0.3</v>
      </c>
      <c r="J1052" s="96">
        <f t="shared" si="145"/>
        <v>0.7</v>
      </c>
      <c r="K1052" s="92">
        <f>VLOOKUP(H1052,'Taux émission CO2e'!$A$5:$D$16,4,FALSE)</f>
        <v>0.16</v>
      </c>
      <c r="L1052" s="93">
        <f t="shared" si="150"/>
        <v>0.28478880000000001</v>
      </c>
      <c r="M1052" s="92">
        <f>VLOOKUP(H1052,'Taux émission CO2e'!$A$20:$D$31,4,FALSE)</f>
        <v>6.7400000000000002E-2</v>
      </c>
      <c r="N1052" s="105">
        <f t="shared" si="151"/>
        <v>0.27992365800000002</v>
      </c>
      <c r="O1052" s="93">
        <f t="shared" si="152"/>
        <v>0.56471245800000003</v>
      </c>
      <c r="P1052" s="92">
        <v>80</v>
      </c>
      <c r="Q1052" s="92" t="s">
        <v>58</v>
      </c>
      <c r="R1052" s="92" t="s">
        <v>1022</v>
      </c>
      <c r="S1052" s="20">
        <v>39.554000000000002</v>
      </c>
    </row>
    <row r="1053" spans="1:19" x14ac:dyDescent="0.15">
      <c r="A1053" s="90">
        <v>44728</v>
      </c>
      <c r="B1053" s="90" t="str">
        <f t="shared" si="146"/>
        <v>juin</v>
      </c>
      <c r="C1053" s="90" t="str">
        <f t="shared" si="147"/>
        <v>2022</v>
      </c>
      <c r="D1053" s="90" t="str">
        <f t="shared" si="148"/>
        <v>juin2022</v>
      </c>
      <c r="E1053" s="91" t="s">
        <v>1023</v>
      </c>
      <c r="F1053" s="91">
        <v>102</v>
      </c>
      <c r="G1053" s="94">
        <f t="shared" si="149"/>
        <v>0.10199999999999999</v>
      </c>
      <c r="H1053" s="92" t="s">
        <v>46</v>
      </c>
      <c r="I1053" s="96">
        <f t="shared" si="144"/>
        <v>0.3</v>
      </c>
      <c r="J1053" s="96">
        <f t="shared" si="145"/>
        <v>0.7</v>
      </c>
      <c r="K1053" s="92">
        <f>VLOOKUP(H1053,'Taux émission CO2e'!$A$5:$D$16,4,FALSE)</f>
        <v>0.16</v>
      </c>
      <c r="L1053" s="93">
        <f t="shared" si="150"/>
        <v>1.3698959040000001</v>
      </c>
      <c r="M1053" s="92">
        <f>VLOOKUP(H1053,'Taux émission CO2e'!$A$20:$D$31,4,FALSE)</f>
        <v>6.7400000000000002E-2</v>
      </c>
      <c r="N1053" s="105">
        <f t="shared" si="151"/>
        <v>1.34649351564</v>
      </c>
      <c r="O1053" s="93">
        <f t="shared" si="152"/>
        <v>2.71638941964</v>
      </c>
      <c r="P1053" s="92">
        <v>120</v>
      </c>
      <c r="Q1053" s="92" t="s">
        <v>58</v>
      </c>
      <c r="R1053" s="92" t="s">
        <v>70</v>
      </c>
      <c r="S1053" s="20">
        <v>279.79899999999998</v>
      </c>
    </row>
    <row r="1054" spans="1:19" x14ac:dyDescent="0.15">
      <c r="A1054" s="90">
        <v>44728</v>
      </c>
      <c r="B1054" s="90" t="str">
        <f t="shared" si="146"/>
        <v>juin</v>
      </c>
      <c r="C1054" s="90" t="str">
        <f t="shared" si="147"/>
        <v>2022</v>
      </c>
      <c r="D1054" s="90" t="str">
        <f t="shared" si="148"/>
        <v>juin2022</v>
      </c>
      <c r="E1054" s="91" t="s">
        <v>1024</v>
      </c>
      <c r="F1054" s="91">
        <v>150</v>
      </c>
      <c r="G1054" s="94">
        <f t="shared" si="149"/>
        <v>0.15</v>
      </c>
      <c r="H1054" s="92" t="s">
        <v>45</v>
      </c>
      <c r="I1054" s="96">
        <f t="shared" si="144"/>
        <v>0.3</v>
      </c>
      <c r="J1054" s="96">
        <f t="shared" si="145"/>
        <v>0.7</v>
      </c>
      <c r="K1054" s="92">
        <f>VLOOKUP(H1054,'Taux émission CO2e'!$A$5:$D$16,4,FALSE)</f>
        <v>0.16</v>
      </c>
      <c r="L1054" s="93">
        <f t="shared" si="150"/>
        <v>3.2002847999999999</v>
      </c>
      <c r="M1054" s="92">
        <f>VLOOKUP(H1054,'Taux émission CO2e'!$A$20:$D$31,4,FALSE)</f>
        <v>6.7400000000000002E-2</v>
      </c>
      <c r="N1054" s="105">
        <f t="shared" si="151"/>
        <v>3.145613268</v>
      </c>
      <c r="O1054" s="93">
        <f t="shared" si="152"/>
        <v>6.3458980680000003</v>
      </c>
      <c r="P1054" s="92">
        <v>130</v>
      </c>
      <c r="Q1054" s="92" t="s">
        <v>1025</v>
      </c>
      <c r="R1054" s="92" t="s">
        <v>55</v>
      </c>
      <c r="S1054" s="20">
        <v>444.48399999999998</v>
      </c>
    </row>
    <row r="1055" spans="1:19" x14ac:dyDescent="0.15">
      <c r="A1055" s="90">
        <v>44728</v>
      </c>
      <c r="B1055" s="90" t="str">
        <f t="shared" si="146"/>
        <v>juin</v>
      </c>
      <c r="C1055" s="90" t="str">
        <f t="shared" si="147"/>
        <v>2022</v>
      </c>
      <c r="D1055" s="90" t="str">
        <f t="shared" si="148"/>
        <v>juin2022</v>
      </c>
      <c r="E1055" s="91" t="s">
        <v>1026</v>
      </c>
      <c r="F1055" s="91">
        <v>150</v>
      </c>
      <c r="G1055" s="94">
        <f t="shared" si="149"/>
        <v>0.15</v>
      </c>
      <c r="H1055" s="92" t="s">
        <v>45</v>
      </c>
      <c r="I1055" s="96">
        <f t="shared" si="144"/>
        <v>0.3</v>
      </c>
      <c r="J1055" s="96">
        <f t="shared" si="145"/>
        <v>0.7</v>
      </c>
      <c r="K1055" s="92">
        <f>VLOOKUP(H1055,'Taux émission CO2e'!$A$5:$D$16,4,FALSE)</f>
        <v>0.16</v>
      </c>
      <c r="L1055" s="93">
        <f t="shared" si="150"/>
        <v>1.3450607999999999</v>
      </c>
      <c r="M1055" s="92">
        <f>VLOOKUP(H1055,'Taux émission CO2e'!$A$20:$D$31,4,FALSE)</f>
        <v>6.7400000000000002E-2</v>
      </c>
      <c r="N1055" s="105">
        <f t="shared" si="151"/>
        <v>1.3220826779999999</v>
      </c>
      <c r="O1055" s="93">
        <f t="shared" si="152"/>
        <v>2.6671434779999998</v>
      </c>
      <c r="P1055" s="92">
        <v>140</v>
      </c>
      <c r="Q1055" s="92" t="s">
        <v>688</v>
      </c>
      <c r="R1055" s="92" t="s">
        <v>55</v>
      </c>
      <c r="S1055" s="20">
        <v>186.81399999999999</v>
      </c>
    </row>
    <row r="1056" spans="1:19" x14ac:dyDescent="0.15">
      <c r="A1056" s="90">
        <v>44728</v>
      </c>
      <c r="B1056" s="90" t="str">
        <f t="shared" si="146"/>
        <v>juin</v>
      </c>
      <c r="C1056" s="90" t="str">
        <f t="shared" si="147"/>
        <v>2022</v>
      </c>
      <c r="D1056" s="90" t="str">
        <f t="shared" si="148"/>
        <v>juin2022</v>
      </c>
      <c r="E1056" s="91" t="s">
        <v>1027</v>
      </c>
      <c r="F1056" s="91">
        <v>150</v>
      </c>
      <c r="G1056" s="94">
        <f t="shared" si="149"/>
        <v>0.15</v>
      </c>
      <c r="H1056" s="92" t="s">
        <v>45</v>
      </c>
      <c r="I1056" s="96">
        <f t="shared" si="144"/>
        <v>0.3</v>
      </c>
      <c r="J1056" s="96">
        <f t="shared" si="145"/>
        <v>0.7</v>
      </c>
      <c r="K1056" s="92">
        <f>VLOOKUP(H1056,'Taux émission CO2e'!$A$5:$D$16,4,FALSE)</f>
        <v>0.16</v>
      </c>
      <c r="L1056" s="93">
        <f t="shared" si="150"/>
        <v>1.8138168000000001</v>
      </c>
      <c r="M1056" s="92">
        <f>VLOOKUP(H1056,'Taux émission CO2e'!$A$20:$D$31,4,FALSE)</f>
        <v>6.7400000000000002E-2</v>
      </c>
      <c r="N1056" s="105">
        <f t="shared" si="151"/>
        <v>1.782830763</v>
      </c>
      <c r="O1056" s="93">
        <f t="shared" si="152"/>
        <v>3.5966475630000003</v>
      </c>
      <c r="P1056" s="92">
        <v>158</v>
      </c>
      <c r="Q1056" s="92" t="s">
        <v>92</v>
      </c>
      <c r="R1056" s="92" t="s">
        <v>55</v>
      </c>
      <c r="S1056" s="20">
        <v>251.91900000000001</v>
      </c>
    </row>
    <row r="1057" spans="1:19" x14ac:dyDescent="0.15">
      <c r="A1057" s="90">
        <v>44728</v>
      </c>
      <c r="B1057" s="90" t="str">
        <f t="shared" si="146"/>
        <v>juin</v>
      </c>
      <c r="C1057" s="90" t="str">
        <f t="shared" si="147"/>
        <v>2022</v>
      </c>
      <c r="D1057" s="90" t="str">
        <f t="shared" si="148"/>
        <v>juin2022</v>
      </c>
      <c r="E1057" s="91" t="s">
        <v>1028</v>
      </c>
      <c r="F1057" s="91">
        <v>150</v>
      </c>
      <c r="G1057" s="94">
        <f t="shared" si="149"/>
        <v>0.15</v>
      </c>
      <c r="H1057" s="92" t="s">
        <v>45</v>
      </c>
      <c r="I1057" s="96">
        <f t="shared" si="144"/>
        <v>0.3</v>
      </c>
      <c r="J1057" s="96">
        <f t="shared" si="145"/>
        <v>0.7</v>
      </c>
      <c r="K1057" s="92">
        <f>VLOOKUP(H1057,'Taux émission CO2e'!$A$5:$D$16,4,FALSE)</f>
        <v>0.16</v>
      </c>
      <c r="L1057" s="93">
        <f t="shared" si="150"/>
        <v>2.2767263999999998</v>
      </c>
      <c r="M1057" s="92">
        <f>VLOOKUP(H1057,'Taux émission CO2e'!$A$20:$D$31,4,FALSE)</f>
        <v>6.7400000000000002E-2</v>
      </c>
      <c r="N1057" s="105">
        <f t="shared" si="151"/>
        <v>2.2378323239999998</v>
      </c>
      <c r="O1057" s="93">
        <f t="shared" si="152"/>
        <v>4.5145587239999996</v>
      </c>
      <c r="P1057" s="92">
        <v>158</v>
      </c>
      <c r="Q1057" s="92" t="s">
        <v>1029</v>
      </c>
      <c r="R1057" s="92" t="s">
        <v>55</v>
      </c>
      <c r="S1057" s="20">
        <v>316.21199999999999</v>
      </c>
    </row>
    <row r="1058" spans="1:19" x14ac:dyDescent="0.15">
      <c r="A1058" s="90">
        <v>44728</v>
      </c>
      <c r="B1058" s="90" t="str">
        <f t="shared" si="146"/>
        <v>juin</v>
      </c>
      <c r="C1058" s="90" t="str">
        <f t="shared" si="147"/>
        <v>2022</v>
      </c>
      <c r="D1058" s="90" t="str">
        <f t="shared" si="148"/>
        <v>juin2022</v>
      </c>
      <c r="E1058" s="91" t="s">
        <v>1030</v>
      </c>
      <c r="F1058" s="91">
        <v>150</v>
      </c>
      <c r="G1058" s="94">
        <f t="shared" si="149"/>
        <v>0.15</v>
      </c>
      <c r="H1058" s="92" t="s">
        <v>45</v>
      </c>
      <c r="I1058" s="96">
        <f t="shared" si="144"/>
        <v>0.3</v>
      </c>
      <c r="J1058" s="96">
        <f t="shared" si="145"/>
        <v>0.7</v>
      </c>
      <c r="K1058" s="92">
        <f>VLOOKUP(H1058,'Taux émission CO2e'!$A$5:$D$16,4,FALSE)</f>
        <v>0.16</v>
      </c>
      <c r="L1058" s="93">
        <f t="shared" si="150"/>
        <v>1.8302616</v>
      </c>
      <c r="M1058" s="92">
        <f>VLOOKUP(H1058,'Taux émission CO2e'!$A$20:$D$31,4,FALSE)</f>
        <v>6.7400000000000002E-2</v>
      </c>
      <c r="N1058" s="105">
        <f t="shared" si="151"/>
        <v>1.798994631</v>
      </c>
      <c r="O1058" s="93">
        <f t="shared" si="152"/>
        <v>3.6292562310000003</v>
      </c>
      <c r="P1058" s="92">
        <v>158</v>
      </c>
      <c r="Q1058" s="92" t="s">
        <v>871</v>
      </c>
      <c r="R1058" s="92" t="s">
        <v>55</v>
      </c>
      <c r="S1058" s="20">
        <v>254.203</v>
      </c>
    </row>
    <row r="1059" spans="1:19" x14ac:dyDescent="0.15">
      <c r="A1059" s="90">
        <v>44728</v>
      </c>
      <c r="B1059" s="90" t="str">
        <f t="shared" si="146"/>
        <v>juin</v>
      </c>
      <c r="C1059" s="90" t="str">
        <f t="shared" si="147"/>
        <v>2022</v>
      </c>
      <c r="D1059" s="90" t="str">
        <f t="shared" si="148"/>
        <v>juin2022</v>
      </c>
      <c r="E1059" s="91" t="s">
        <v>1031</v>
      </c>
      <c r="F1059" s="91">
        <v>150</v>
      </c>
      <c r="G1059" s="94">
        <f t="shared" si="149"/>
        <v>0.15</v>
      </c>
      <c r="H1059" s="92" t="s">
        <v>45</v>
      </c>
      <c r="I1059" s="96">
        <f t="shared" si="144"/>
        <v>0.3</v>
      </c>
      <c r="J1059" s="96">
        <f t="shared" si="145"/>
        <v>0.7</v>
      </c>
      <c r="K1059" s="92">
        <f>VLOOKUP(H1059,'Taux émission CO2e'!$A$5:$D$16,4,FALSE)</f>
        <v>0.16</v>
      </c>
      <c r="L1059" s="93">
        <f t="shared" si="150"/>
        <v>5.4150624000000001</v>
      </c>
      <c r="M1059" s="92">
        <f>VLOOKUP(H1059,'Taux émission CO2e'!$A$20:$D$31,4,FALSE)</f>
        <v>6.7400000000000002E-2</v>
      </c>
      <c r="N1059" s="105">
        <f t="shared" si="151"/>
        <v>5.3225550840000002</v>
      </c>
      <c r="O1059" s="93">
        <f t="shared" si="152"/>
        <v>10.737617484000001</v>
      </c>
      <c r="P1059" s="92">
        <v>165</v>
      </c>
      <c r="Q1059" s="92" t="s">
        <v>73</v>
      </c>
      <c r="R1059" s="92" t="s">
        <v>55</v>
      </c>
      <c r="S1059" s="20">
        <v>752.09199999999998</v>
      </c>
    </row>
    <row r="1060" spans="1:19" x14ac:dyDescent="0.15">
      <c r="A1060" s="90">
        <v>44728</v>
      </c>
      <c r="B1060" s="90" t="str">
        <f t="shared" si="146"/>
        <v>juin</v>
      </c>
      <c r="C1060" s="90" t="str">
        <f t="shared" si="147"/>
        <v>2022</v>
      </c>
      <c r="D1060" s="90" t="str">
        <f t="shared" si="148"/>
        <v>juin2022</v>
      </c>
      <c r="E1060" s="91" t="s">
        <v>1032</v>
      </c>
      <c r="F1060" s="91">
        <v>300</v>
      </c>
      <c r="G1060" s="94">
        <f t="shared" si="149"/>
        <v>0.3</v>
      </c>
      <c r="H1060" s="92" t="s">
        <v>45</v>
      </c>
      <c r="I1060" s="96">
        <f t="shared" si="144"/>
        <v>0.3</v>
      </c>
      <c r="J1060" s="96">
        <f t="shared" si="145"/>
        <v>0.7</v>
      </c>
      <c r="K1060" s="92">
        <f>VLOOKUP(H1060,'Taux émission CO2e'!$A$5:$D$16,4,FALSE)</f>
        <v>0.16</v>
      </c>
      <c r="L1060" s="93">
        <f t="shared" si="150"/>
        <v>7.7429951999999993</v>
      </c>
      <c r="M1060" s="92">
        <f>VLOOKUP(H1060,'Taux émission CO2e'!$A$20:$D$31,4,FALSE)</f>
        <v>6.7400000000000002E-2</v>
      </c>
      <c r="N1060" s="105">
        <f t="shared" si="151"/>
        <v>7.6107190319999996</v>
      </c>
      <c r="O1060" s="93">
        <f t="shared" si="152"/>
        <v>15.353714231999998</v>
      </c>
      <c r="P1060" s="92">
        <v>195</v>
      </c>
      <c r="Q1060" s="92" t="s">
        <v>612</v>
      </c>
      <c r="R1060" s="92" t="s">
        <v>55</v>
      </c>
      <c r="S1060" s="20">
        <v>537.70799999999997</v>
      </c>
    </row>
    <row r="1061" spans="1:19" x14ac:dyDescent="0.15">
      <c r="A1061" s="90">
        <v>44728</v>
      </c>
      <c r="B1061" s="90" t="str">
        <f t="shared" si="146"/>
        <v>juin</v>
      </c>
      <c r="C1061" s="90" t="str">
        <f t="shared" si="147"/>
        <v>2022</v>
      </c>
      <c r="D1061" s="90" t="str">
        <f t="shared" si="148"/>
        <v>juin2022</v>
      </c>
      <c r="E1061" s="91" t="s">
        <v>1033</v>
      </c>
      <c r="F1061" s="91">
        <v>150</v>
      </c>
      <c r="G1061" s="94">
        <f t="shared" si="149"/>
        <v>0.15</v>
      </c>
      <c r="H1061" s="92" t="s">
        <v>46</v>
      </c>
      <c r="I1061" s="96">
        <f t="shared" si="144"/>
        <v>0.3</v>
      </c>
      <c r="J1061" s="96">
        <f t="shared" si="145"/>
        <v>0.7</v>
      </c>
      <c r="K1061" s="92">
        <f>VLOOKUP(H1061,'Taux émission CO2e'!$A$5:$D$16,4,FALSE)</f>
        <v>0.16</v>
      </c>
      <c r="L1061" s="93">
        <f t="shared" si="150"/>
        <v>3.8989871999999997</v>
      </c>
      <c r="M1061" s="92">
        <f>VLOOKUP(H1061,'Taux émission CO2e'!$A$20:$D$31,4,FALSE)</f>
        <v>6.7400000000000002E-2</v>
      </c>
      <c r="N1061" s="105">
        <f t="shared" si="151"/>
        <v>3.8323795019999998</v>
      </c>
      <c r="O1061" s="93">
        <f t="shared" si="152"/>
        <v>7.731366701999999</v>
      </c>
      <c r="P1061" s="92">
        <v>239</v>
      </c>
      <c r="Q1061" s="92" t="s">
        <v>62</v>
      </c>
      <c r="R1061" s="92" t="s">
        <v>55</v>
      </c>
      <c r="S1061" s="20">
        <v>541.52599999999995</v>
      </c>
    </row>
    <row r="1062" spans="1:19" x14ac:dyDescent="0.15">
      <c r="A1062" s="90">
        <v>44729</v>
      </c>
      <c r="B1062" s="90" t="str">
        <f t="shared" si="146"/>
        <v>juin</v>
      </c>
      <c r="C1062" s="90" t="str">
        <f t="shared" si="147"/>
        <v>2022</v>
      </c>
      <c r="D1062" s="90" t="str">
        <f t="shared" si="148"/>
        <v>juin2022</v>
      </c>
      <c r="E1062" s="91" t="s">
        <v>1034</v>
      </c>
      <c r="F1062" s="91">
        <v>150</v>
      </c>
      <c r="G1062" s="94">
        <f t="shared" si="149"/>
        <v>0.15</v>
      </c>
      <c r="H1062" s="92" t="s">
        <v>45</v>
      </c>
      <c r="I1062" s="96">
        <f t="shared" si="144"/>
        <v>0.3</v>
      </c>
      <c r="J1062" s="96">
        <f t="shared" si="145"/>
        <v>0.7</v>
      </c>
      <c r="K1062" s="92">
        <f>VLOOKUP(H1062,'Taux émission CO2e'!$A$5:$D$16,4,FALSE)</f>
        <v>0.16</v>
      </c>
      <c r="L1062" s="93">
        <f t="shared" si="150"/>
        <v>2.8012535999999999</v>
      </c>
      <c r="M1062" s="92">
        <f>VLOOKUP(H1062,'Taux émission CO2e'!$A$20:$D$31,4,FALSE)</f>
        <v>6.7400000000000002E-2</v>
      </c>
      <c r="N1062" s="105">
        <f t="shared" si="151"/>
        <v>2.753398851</v>
      </c>
      <c r="O1062" s="93">
        <f t="shared" si="152"/>
        <v>5.5546524509999999</v>
      </c>
      <c r="P1062" s="92">
        <v>125</v>
      </c>
      <c r="Q1062" s="92" t="s">
        <v>842</v>
      </c>
      <c r="R1062" s="92" t="s">
        <v>55</v>
      </c>
      <c r="S1062" s="20">
        <v>389.06299999999999</v>
      </c>
    </row>
    <row r="1063" spans="1:19" x14ac:dyDescent="0.15">
      <c r="A1063" s="90">
        <v>44729</v>
      </c>
      <c r="B1063" s="90" t="str">
        <f t="shared" si="146"/>
        <v>juin</v>
      </c>
      <c r="C1063" s="90" t="str">
        <f t="shared" si="147"/>
        <v>2022</v>
      </c>
      <c r="D1063" s="90" t="str">
        <f t="shared" si="148"/>
        <v>juin2022</v>
      </c>
      <c r="E1063" s="91" t="s">
        <v>1035</v>
      </c>
      <c r="F1063" s="91">
        <v>150</v>
      </c>
      <c r="G1063" s="94">
        <f t="shared" si="149"/>
        <v>0.15</v>
      </c>
      <c r="H1063" s="92" t="s">
        <v>45</v>
      </c>
      <c r="I1063" s="96">
        <f t="shared" si="144"/>
        <v>0.3</v>
      </c>
      <c r="J1063" s="96">
        <f t="shared" si="145"/>
        <v>0.7</v>
      </c>
      <c r="K1063" s="92">
        <f>VLOOKUP(H1063,'Taux émission CO2e'!$A$5:$D$16,4,FALSE)</f>
        <v>0.16</v>
      </c>
      <c r="L1063" s="93">
        <f t="shared" si="150"/>
        <v>1.9215215999999999</v>
      </c>
      <c r="M1063" s="92">
        <f>VLOOKUP(H1063,'Taux émission CO2e'!$A$20:$D$31,4,FALSE)</f>
        <v>6.7400000000000002E-2</v>
      </c>
      <c r="N1063" s="105">
        <f t="shared" si="151"/>
        <v>1.888695606</v>
      </c>
      <c r="O1063" s="93">
        <f t="shared" si="152"/>
        <v>3.8102172059999999</v>
      </c>
      <c r="P1063" s="92">
        <v>158</v>
      </c>
      <c r="Q1063" s="92" t="s">
        <v>730</v>
      </c>
      <c r="R1063" s="92" t="s">
        <v>55</v>
      </c>
      <c r="S1063" s="20">
        <v>266.87799999999999</v>
      </c>
    </row>
    <row r="1064" spans="1:19" x14ac:dyDescent="0.15">
      <c r="A1064" s="90">
        <v>44729</v>
      </c>
      <c r="B1064" s="90" t="str">
        <f t="shared" si="146"/>
        <v>juin</v>
      </c>
      <c r="C1064" s="90" t="str">
        <f t="shared" si="147"/>
        <v>2022</v>
      </c>
      <c r="D1064" s="90" t="str">
        <f t="shared" si="148"/>
        <v>juin2022</v>
      </c>
      <c r="E1064" s="91" t="s">
        <v>1036</v>
      </c>
      <c r="F1064" s="91">
        <v>300</v>
      </c>
      <c r="G1064" s="94">
        <f t="shared" si="149"/>
        <v>0.3</v>
      </c>
      <c r="H1064" s="92" t="s">
        <v>46</v>
      </c>
      <c r="I1064" s="96">
        <f t="shared" si="144"/>
        <v>0.3</v>
      </c>
      <c r="J1064" s="96">
        <f t="shared" si="145"/>
        <v>0.7</v>
      </c>
      <c r="K1064" s="92">
        <f>VLOOKUP(H1064,'Taux émission CO2e'!$A$5:$D$16,4,FALSE)</f>
        <v>0.16</v>
      </c>
      <c r="L1064" s="93">
        <f t="shared" si="150"/>
        <v>2.4943679999999997</v>
      </c>
      <c r="M1064" s="92">
        <f>VLOOKUP(H1064,'Taux émission CO2e'!$A$20:$D$31,4,FALSE)</f>
        <v>6.7400000000000002E-2</v>
      </c>
      <c r="N1064" s="105">
        <f t="shared" si="151"/>
        <v>2.4517558799999999</v>
      </c>
      <c r="O1064" s="93">
        <f t="shared" si="152"/>
        <v>4.94612388</v>
      </c>
      <c r="P1064" s="92">
        <v>200</v>
      </c>
      <c r="Q1064" s="92" t="s">
        <v>708</v>
      </c>
      <c r="R1064" s="92" t="s">
        <v>55</v>
      </c>
      <c r="S1064" s="20">
        <v>173.22</v>
      </c>
    </row>
    <row r="1065" spans="1:19" x14ac:dyDescent="0.15">
      <c r="A1065" s="90">
        <v>44729</v>
      </c>
      <c r="B1065" s="90" t="str">
        <f t="shared" si="146"/>
        <v>juin</v>
      </c>
      <c r="C1065" s="90" t="str">
        <f t="shared" si="147"/>
        <v>2022</v>
      </c>
      <c r="D1065" s="90" t="str">
        <f t="shared" si="148"/>
        <v>juin2022</v>
      </c>
      <c r="E1065" s="91" t="s">
        <v>1037</v>
      </c>
      <c r="F1065" s="91">
        <v>400</v>
      </c>
      <c r="G1065" s="94">
        <f t="shared" si="149"/>
        <v>0.4</v>
      </c>
      <c r="H1065" s="92" t="s">
        <v>45</v>
      </c>
      <c r="I1065" s="96">
        <f t="shared" si="144"/>
        <v>0.3</v>
      </c>
      <c r="J1065" s="96">
        <f t="shared" si="145"/>
        <v>0.7</v>
      </c>
      <c r="K1065" s="92">
        <f>VLOOKUP(H1065,'Taux émission CO2e'!$A$5:$D$16,4,FALSE)</f>
        <v>0.16</v>
      </c>
      <c r="L1065" s="93">
        <f t="shared" si="150"/>
        <v>5.347142400000001</v>
      </c>
      <c r="M1065" s="92">
        <f>VLOOKUP(H1065,'Taux émission CO2e'!$A$20:$D$31,4,FALSE)</f>
        <v>6.7400000000000002E-2</v>
      </c>
      <c r="N1065" s="105">
        <f t="shared" si="151"/>
        <v>5.2557953839999998</v>
      </c>
      <c r="O1065" s="93">
        <f t="shared" si="152"/>
        <v>10.602937784000002</v>
      </c>
      <c r="P1065" s="92">
        <v>200</v>
      </c>
      <c r="Q1065" s="92" t="s">
        <v>90</v>
      </c>
      <c r="R1065" s="92" t="s">
        <v>55</v>
      </c>
      <c r="S1065" s="20">
        <v>278.49700000000001</v>
      </c>
    </row>
    <row r="1066" spans="1:19" x14ac:dyDescent="0.15">
      <c r="A1066" s="90">
        <v>44729</v>
      </c>
      <c r="B1066" s="90" t="str">
        <f t="shared" si="146"/>
        <v>juin</v>
      </c>
      <c r="C1066" s="90" t="str">
        <f t="shared" si="147"/>
        <v>2022</v>
      </c>
      <c r="D1066" s="90" t="str">
        <f t="shared" si="148"/>
        <v>juin2022</v>
      </c>
      <c r="E1066" s="91" t="s">
        <v>1038</v>
      </c>
      <c r="F1066" s="91">
        <v>31</v>
      </c>
      <c r="G1066" s="94">
        <f t="shared" si="149"/>
        <v>3.1E-2</v>
      </c>
      <c r="H1066" s="92" t="s">
        <v>46</v>
      </c>
      <c r="I1066" s="96">
        <f t="shared" si="144"/>
        <v>0.3</v>
      </c>
      <c r="J1066" s="96">
        <f t="shared" si="145"/>
        <v>0.7</v>
      </c>
      <c r="K1066" s="92">
        <f>VLOOKUP(H1066,'Taux émission CO2e'!$A$5:$D$16,4,FALSE)</f>
        <v>0.16</v>
      </c>
      <c r="L1066" s="93">
        <f t="shared" si="150"/>
        <v>1.1588841599999999</v>
      </c>
      <c r="M1066" s="92">
        <f>VLOOKUP(H1066,'Taux émission CO2e'!$A$20:$D$31,4,FALSE)</f>
        <v>6.7400000000000002E-2</v>
      </c>
      <c r="N1066" s="105">
        <f t="shared" si="151"/>
        <v>1.1390865556000001</v>
      </c>
      <c r="O1066" s="93">
        <f t="shared" si="152"/>
        <v>2.2979707156</v>
      </c>
      <c r="P1066" s="92">
        <v>200</v>
      </c>
      <c r="Q1066" s="92" t="s">
        <v>58</v>
      </c>
      <c r="R1066" s="92" t="s">
        <v>750</v>
      </c>
      <c r="S1066" s="20">
        <v>778.82</v>
      </c>
    </row>
    <row r="1067" spans="1:19" x14ac:dyDescent="0.15">
      <c r="A1067" s="90">
        <v>44729</v>
      </c>
      <c r="B1067" s="90" t="str">
        <f t="shared" si="146"/>
        <v>juin</v>
      </c>
      <c r="C1067" s="90" t="str">
        <f t="shared" si="147"/>
        <v>2022</v>
      </c>
      <c r="D1067" s="90" t="str">
        <f t="shared" si="148"/>
        <v>juin2022</v>
      </c>
      <c r="E1067" s="91" t="s">
        <v>1039</v>
      </c>
      <c r="F1067" s="91">
        <v>300</v>
      </c>
      <c r="G1067" s="94">
        <f t="shared" si="149"/>
        <v>0.3</v>
      </c>
      <c r="H1067" s="92" t="s">
        <v>46</v>
      </c>
      <c r="I1067" s="96">
        <f t="shared" si="144"/>
        <v>0.3</v>
      </c>
      <c r="J1067" s="96">
        <f t="shared" si="145"/>
        <v>0.7</v>
      </c>
      <c r="K1067" s="92">
        <f>VLOOKUP(H1067,'Taux émission CO2e'!$A$5:$D$16,4,FALSE)</f>
        <v>0.16</v>
      </c>
      <c r="L1067" s="93">
        <f t="shared" si="150"/>
        <v>6.5673648</v>
      </c>
      <c r="M1067" s="92">
        <f>VLOOKUP(H1067,'Taux émission CO2e'!$A$20:$D$31,4,FALSE)</f>
        <v>6.7400000000000002E-2</v>
      </c>
      <c r="N1067" s="105">
        <f t="shared" si="151"/>
        <v>6.4551723179999998</v>
      </c>
      <c r="O1067" s="93">
        <f t="shared" si="152"/>
        <v>13.022537117999999</v>
      </c>
      <c r="P1067" s="92">
        <v>210</v>
      </c>
      <c r="Q1067" s="92" t="s">
        <v>570</v>
      </c>
      <c r="R1067" s="92" t="s">
        <v>55</v>
      </c>
      <c r="S1067" s="20">
        <v>456.06700000000001</v>
      </c>
    </row>
    <row r="1068" spans="1:19" x14ac:dyDescent="0.15">
      <c r="A1068" s="90">
        <v>44729</v>
      </c>
      <c r="B1068" s="90" t="str">
        <f t="shared" si="146"/>
        <v>juin</v>
      </c>
      <c r="C1068" s="90" t="str">
        <f t="shared" si="147"/>
        <v>2022</v>
      </c>
      <c r="D1068" s="90" t="str">
        <f t="shared" si="148"/>
        <v>juin2022</v>
      </c>
      <c r="E1068" s="91" t="s">
        <v>1040</v>
      </c>
      <c r="F1068" s="91">
        <v>300</v>
      </c>
      <c r="G1068" s="94">
        <f t="shared" si="149"/>
        <v>0.3</v>
      </c>
      <c r="H1068" s="92" t="s">
        <v>46</v>
      </c>
      <c r="I1068" s="96">
        <f t="shared" si="144"/>
        <v>0.3</v>
      </c>
      <c r="J1068" s="96">
        <f t="shared" si="145"/>
        <v>0.7</v>
      </c>
      <c r="K1068" s="92">
        <f>VLOOKUP(H1068,'Taux émission CO2e'!$A$5:$D$16,4,FALSE)</f>
        <v>0.16</v>
      </c>
      <c r="L1068" s="93">
        <f t="shared" si="150"/>
        <v>3.7158191999999999</v>
      </c>
      <c r="M1068" s="92">
        <f>VLOOKUP(H1068,'Taux émission CO2e'!$A$20:$D$31,4,FALSE)</f>
        <v>6.7400000000000002E-2</v>
      </c>
      <c r="N1068" s="105">
        <f t="shared" si="151"/>
        <v>3.6523406220000001</v>
      </c>
      <c r="O1068" s="93">
        <f t="shared" si="152"/>
        <v>7.368159822</v>
      </c>
      <c r="P1068" s="92">
        <v>260</v>
      </c>
      <c r="Q1068" s="92" t="s">
        <v>102</v>
      </c>
      <c r="R1068" s="92" t="s">
        <v>55</v>
      </c>
      <c r="S1068" s="20">
        <v>258.04300000000001</v>
      </c>
    </row>
    <row r="1069" spans="1:19" x14ac:dyDescent="0.15">
      <c r="A1069" s="90">
        <v>44729</v>
      </c>
      <c r="B1069" s="90" t="str">
        <f t="shared" si="146"/>
        <v>juin</v>
      </c>
      <c r="C1069" s="90" t="str">
        <f t="shared" si="147"/>
        <v>2022</v>
      </c>
      <c r="D1069" s="90" t="str">
        <f t="shared" si="148"/>
        <v>juin2022</v>
      </c>
      <c r="E1069" s="91" t="s">
        <v>1041</v>
      </c>
      <c r="F1069" s="92">
        <v>1000</v>
      </c>
      <c r="G1069" s="94">
        <f t="shared" si="149"/>
        <v>1</v>
      </c>
      <c r="H1069" s="92" t="s">
        <v>46</v>
      </c>
      <c r="I1069" s="96">
        <f t="shared" si="144"/>
        <v>0.3</v>
      </c>
      <c r="J1069" s="96">
        <f t="shared" si="145"/>
        <v>0.7</v>
      </c>
      <c r="K1069" s="92">
        <f>VLOOKUP(H1069,'Taux émission CO2e'!$A$5:$D$16,4,FALSE)</f>
        <v>0.16</v>
      </c>
      <c r="L1069" s="93">
        <f t="shared" si="150"/>
        <v>35.524704</v>
      </c>
      <c r="M1069" s="92">
        <f>VLOOKUP(H1069,'Taux émission CO2e'!$A$20:$D$31,4,FALSE)</f>
        <v>6.7400000000000002E-2</v>
      </c>
      <c r="N1069" s="105">
        <f t="shared" si="151"/>
        <v>34.917823639999995</v>
      </c>
      <c r="O1069" s="93">
        <f t="shared" si="152"/>
        <v>70.442527639999994</v>
      </c>
      <c r="P1069" s="92">
        <v>470</v>
      </c>
      <c r="Q1069" s="92" t="s">
        <v>473</v>
      </c>
      <c r="R1069" s="92" t="s">
        <v>55</v>
      </c>
      <c r="S1069" s="20">
        <v>740.09799999999996</v>
      </c>
    </row>
    <row r="1070" spans="1:19" x14ac:dyDescent="0.15">
      <c r="A1070" s="90">
        <v>44732</v>
      </c>
      <c r="B1070" s="90" t="str">
        <f t="shared" si="146"/>
        <v>juin</v>
      </c>
      <c r="C1070" s="90" t="str">
        <f t="shared" si="147"/>
        <v>2022</v>
      </c>
      <c r="D1070" s="90" t="str">
        <f t="shared" si="148"/>
        <v>juin2022</v>
      </c>
      <c r="E1070" s="91" t="s">
        <v>1042</v>
      </c>
      <c r="F1070" s="91">
        <v>121</v>
      </c>
      <c r="G1070" s="94">
        <f t="shared" si="149"/>
        <v>0.121</v>
      </c>
      <c r="H1070" s="92" t="s">
        <v>46</v>
      </c>
      <c r="I1070" s="96">
        <f t="shared" si="144"/>
        <v>0.3</v>
      </c>
      <c r="J1070" s="96">
        <f t="shared" si="145"/>
        <v>0.7</v>
      </c>
      <c r="K1070" s="92">
        <f>VLOOKUP(H1070,'Taux émission CO2e'!$A$5:$D$16,4,FALSE)</f>
        <v>0.16</v>
      </c>
      <c r="L1070" s="93">
        <f t="shared" si="150"/>
        <v>1.545892128</v>
      </c>
      <c r="M1070" s="92">
        <f>VLOOKUP(H1070,'Taux émission CO2e'!$A$20:$D$31,4,FALSE)</f>
        <v>6.7400000000000002E-2</v>
      </c>
      <c r="N1070" s="105">
        <f t="shared" si="151"/>
        <v>1.51948313748</v>
      </c>
      <c r="O1070" s="93">
        <f t="shared" si="152"/>
        <v>3.0653752654800002</v>
      </c>
      <c r="P1070" s="92">
        <v>100</v>
      </c>
      <c r="Q1070" s="92" t="s">
        <v>58</v>
      </c>
      <c r="R1070" s="92" t="s">
        <v>53</v>
      </c>
      <c r="S1070" s="20">
        <v>266.166</v>
      </c>
    </row>
    <row r="1071" spans="1:19" x14ac:dyDescent="0.15">
      <c r="A1071" s="90">
        <v>44732</v>
      </c>
      <c r="B1071" s="90" t="str">
        <f t="shared" si="146"/>
        <v>juin</v>
      </c>
      <c r="C1071" s="90" t="str">
        <f t="shared" si="147"/>
        <v>2022</v>
      </c>
      <c r="D1071" s="90" t="str">
        <f t="shared" si="148"/>
        <v>juin2022</v>
      </c>
      <c r="E1071" s="91" t="s">
        <v>1043</v>
      </c>
      <c r="F1071" s="91">
        <v>278</v>
      </c>
      <c r="G1071" s="94">
        <f t="shared" si="149"/>
        <v>0.27800000000000002</v>
      </c>
      <c r="H1071" s="92" t="s">
        <v>46</v>
      </c>
      <c r="I1071" s="96">
        <f t="shared" si="144"/>
        <v>0.3</v>
      </c>
      <c r="J1071" s="96">
        <f t="shared" si="145"/>
        <v>0.7</v>
      </c>
      <c r="K1071" s="92">
        <f>VLOOKUP(H1071,'Taux émission CO2e'!$A$5:$D$16,4,FALSE)</f>
        <v>0.16</v>
      </c>
      <c r="L1071" s="93">
        <f t="shared" si="150"/>
        <v>5.2046403840000011</v>
      </c>
      <c r="M1071" s="92">
        <f>VLOOKUP(H1071,'Taux émission CO2e'!$A$20:$D$31,4,FALSE)</f>
        <v>6.7400000000000002E-2</v>
      </c>
      <c r="N1071" s="105">
        <f t="shared" si="151"/>
        <v>5.1157277774400001</v>
      </c>
      <c r="O1071" s="93">
        <f t="shared" si="152"/>
        <v>10.320368161440001</v>
      </c>
      <c r="P1071" s="92">
        <v>210</v>
      </c>
      <c r="Q1071" s="92" t="s">
        <v>58</v>
      </c>
      <c r="R1071" s="92" t="s">
        <v>629</v>
      </c>
      <c r="S1071" s="20">
        <v>390.036</v>
      </c>
    </row>
    <row r="1072" spans="1:19" x14ac:dyDescent="0.15">
      <c r="A1072" s="90">
        <v>44732</v>
      </c>
      <c r="B1072" s="90" t="str">
        <f t="shared" si="146"/>
        <v>juin</v>
      </c>
      <c r="C1072" s="90" t="str">
        <f t="shared" si="147"/>
        <v>2022</v>
      </c>
      <c r="D1072" s="90" t="str">
        <f t="shared" si="148"/>
        <v>juin2022</v>
      </c>
      <c r="E1072" s="91" t="s">
        <v>1044</v>
      </c>
      <c r="F1072" s="91">
        <v>450</v>
      </c>
      <c r="G1072" s="94">
        <f t="shared" si="149"/>
        <v>0.45</v>
      </c>
      <c r="H1072" s="92" t="s">
        <v>46</v>
      </c>
      <c r="I1072" s="96">
        <f t="shared" si="144"/>
        <v>0.3</v>
      </c>
      <c r="J1072" s="96">
        <f t="shared" si="145"/>
        <v>0.7</v>
      </c>
      <c r="K1072" s="92">
        <f>VLOOKUP(H1072,'Taux émission CO2e'!$A$5:$D$16,4,FALSE)</f>
        <v>0.16</v>
      </c>
      <c r="L1072" s="93">
        <f t="shared" si="150"/>
        <v>8.2206576000000009</v>
      </c>
      <c r="M1072" s="92">
        <f>VLOOKUP(H1072,'Taux émission CO2e'!$A$20:$D$31,4,FALSE)</f>
        <v>6.7400000000000002E-2</v>
      </c>
      <c r="N1072" s="105">
        <f t="shared" si="151"/>
        <v>8.080221366</v>
      </c>
      <c r="O1072" s="93">
        <f t="shared" si="152"/>
        <v>16.300878965999999</v>
      </c>
      <c r="P1072" s="92">
        <v>300</v>
      </c>
      <c r="Q1072" s="92" t="s">
        <v>91</v>
      </c>
      <c r="R1072" s="92" t="s">
        <v>55</v>
      </c>
      <c r="S1072" s="20">
        <v>380.58600000000001</v>
      </c>
    </row>
    <row r="1073" spans="1:19" x14ac:dyDescent="0.15">
      <c r="A1073" s="90">
        <v>44732</v>
      </c>
      <c r="B1073" s="90" t="str">
        <f t="shared" si="146"/>
        <v>juin</v>
      </c>
      <c r="C1073" s="90" t="str">
        <f t="shared" si="147"/>
        <v>2022</v>
      </c>
      <c r="D1073" s="90" t="str">
        <f t="shared" si="148"/>
        <v>juin2022</v>
      </c>
      <c r="E1073" s="91" t="s">
        <v>1045</v>
      </c>
      <c r="F1073" s="91">
        <v>450</v>
      </c>
      <c r="G1073" s="94">
        <f t="shared" si="149"/>
        <v>0.45</v>
      </c>
      <c r="H1073" s="92" t="s">
        <v>45</v>
      </c>
      <c r="I1073" s="96">
        <f t="shared" si="144"/>
        <v>0.3</v>
      </c>
      <c r="J1073" s="96">
        <f t="shared" si="145"/>
        <v>0.7</v>
      </c>
      <c r="K1073" s="92">
        <f>VLOOKUP(H1073,'Taux émission CO2e'!$A$5:$D$16,4,FALSE)</f>
        <v>0.16</v>
      </c>
      <c r="L1073" s="93">
        <f t="shared" si="150"/>
        <v>16.570375200000001</v>
      </c>
      <c r="M1073" s="92">
        <f>VLOOKUP(H1073,'Taux émission CO2e'!$A$20:$D$31,4,FALSE)</f>
        <v>6.7400000000000002E-2</v>
      </c>
      <c r="N1073" s="105">
        <f t="shared" si="151"/>
        <v>16.287297957</v>
      </c>
      <c r="O1073" s="93">
        <f t="shared" si="152"/>
        <v>32.857673157000001</v>
      </c>
      <c r="P1073" s="92">
        <v>400</v>
      </c>
      <c r="Q1073" s="92" t="s">
        <v>635</v>
      </c>
      <c r="R1073" s="92" t="s">
        <v>55</v>
      </c>
      <c r="S1073" s="20">
        <v>767.14700000000005</v>
      </c>
    </row>
    <row r="1074" spans="1:19" x14ac:dyDescent="0.15">
      <c r="A1074" s="90">
        <v>44733</v>
      </c>
      <c r="B1074" s="90" t="str">
        <f t="shared" si="146"/>
        <v>juin</v>
      </c>
      <c r="C1074" s="90" t="str">
        <f t="shared" si="147"/>
        <v>2022</v>
      </c>
      <c r="D1074" s="90" t="str">
        <f t="shared" si="148"/>
        <v>juin2022</v>
      </c>
      <c r="E1074" s="91" t="s">
        <v>1046</v>
      </c>
      <c r="F1074" s="91">
        <v>450</v>
      </c>
      <c r="G1074" s="94">
        <f t="shared" si="149"/>
        <v>0.45</v>
      </c>
      <c r="H1074" s="92" t="s">
        <v>46</v>
      </c>
      <c r="I1074" s="96">
        <f t="shared" si="144"/>
        <v>0.3</v>
      </c>
      <c r="J1074" s="96">
        <f t="shared" si="145"/>
        <v>0.7</v>
      </c>
      <c r="K1074" s="92">
        <f>VLOOKUP(H1074,'Taux émission CO2e'!$A$5:$D$16,4,FALSE)</f>
        <v>0.16</v>
      </c>
      <c r="L1074" s="93">
        <f t="shared" si="150"/>
        <v>15.9861168</v>
      </c>
      <c r="M1074" s="92">
        <f>VLOOKUP(H1074,'Taux émission CO2e'!$A$20:$D$31,4,FALSE)</f>
        <v>6.7400000000000002E-2</v>
      </c>
      <c r="N1074" s="105">
        <f t="shared" si="151"/>
        <v>15.713020638</v>
      </c>
      <c r="O1074" s="93">
        <f t="shared" si="152"/>
        <v>31.699137438000001</v>
      </c>
      <c r="P1074" s="92">
        <v>280</v>
      </c>
      <c r="Q1074" s="92" t="s">
        <v>473</v>
      </c>
      <c r="R1074" s="92" t="s">
        <v>55</v>
      </c>
      <c r="S1074" s="20">
        <v>740.09799999999996</v>
      </c>
    </row>
    <row r="1075" spans="1:19" x14ac:dyDescent="0.15">
      <c r="A1075" s="90">
        <v>44734</v>
      </c>
      <c r="B1075" s="90" t="str">
        <f t="shared" si="146"/>
        <v>juin</v>
      </c>
      <c r="C1075" s="90" t="str">
        <f t="shared" si="147"/>
        <v>2022</v>
      </c>
      <c r="D1075" s="90" t="str">
        <f t="shared" si="148"/>
        <v>juin2022</v>
      </c>
      <c r="E1075" s="91" t="s">
        <v>1047</v>
      </c>
      <c r="F1075" s="91">
        <v>300</v>
      </c>
      <c r="G1075" s="94">
        <f t="shared" si="149"/>
        <v>0.3</v>
      </c>
      <c r="H1075" s="92" t="s">
        <v>38</v>
      </c>
      <c r="I1075" s="96">
        <f t="shared" si="144"/>
        <v>1</v>
      </c>
      <c r="J1075" s="96">
        <f t="shared" si="145"/>
        <v>0</v>
      </c>
      <c r="K1075" s="92">
        <f>VLOOKUP(H1075,'Taux émission CO2e'!$A$5:$D$16,4,FALSE)</f>
        <v>0.24099999999999999</v>
      </c>
      <c r="L1075" s="93">
        <f t="shared" si="150"/>
        <v>2.4575492999999997</v>
      </c>
      <c r="M1075" s="92">
        <f>VLOOKUP(H1075,'Taux émission CO2e'!$A$20:$D$31,4,FALSE)</f>
        <v>0</v>
      </c>
      <c r="N1075" s="105">
        <f t="shared" si="151"/>
        <v>0</v>
      </c>
      <c r="O1075" s="93">
        <f t="shared" si="152"/>
        <v>2.4575492999999997</v>
      </c>
      <c r="P1075" s="92">
        <v>100</v>
      </c>
      <c r="Q1075" s="92" t="s">
        <v>67</v>
      </c>
      <c r="R1075" s="92" t="s">
        <v>55</v>
      </c>
      <c r="S1075" s="20">
        <v>33.991</v>
      </c>
    </row>
    <row r="1076" spans="1:19" x14ac:dyDescent="0.15">
      <c r="A1076" s="90">
        <v>44734</v>
      </c>
      <c r="B1076" s="90" t="str">
        <f t="shared" si="146"/>
        <v>juin</v>
      </c>
      <c r="C1076" s="90" t="str">
        <f t="shared" si="147"/>
        <v>2022</v>
      </c>
      <c r="D1076" s="90" t="str">
        <f t="shared" si="148"/>
        <v>juin2022</v>
      </c>
      <c r="E1076" s="91" t="s">
        <v>1048</v>
      </c>
      <c r="F1076" s="91">
        <v>101</v>
      </c>
      <c r="G1076" s="94">
        <f t="shared" si="149"/>
        <v>0.10100000000000001</v>
      </c>
      <c r="H1076" s="92" t="s">
        <v>46</v>
      </c>
      <c r="I1076" s="96">
        <f t="shared" si="144"/>
        <v>0.3</v>
      </c>
      <c r="J1076" s="96">
        <f t="shared" si="145"/>
        <v>0.7</v>
      </c>
      <c r="K1076" s="92">
        <f>VLOOKUP(H1076,'Taux émission CO2e'!$A$5:$D$16,4,FALSE)</f>
        <v>0.16</v>
      </c>
      <c r="L1076" s="93">
        <f t="shared" si="150"/>
        <v>1.2061678560000002</v>
      </c>
      <c r="M1076" s="92">
        <f>VLOOKUP(H1076,'Taux émission CO2e'!$A$20:$D$31,4,FALSE)</f>
        <v>6.7400000000000002E-2</v>
      </c>
      <c r="N1076" s="105">
        <f t="shared" si="151"/>
        <v>1.18556248846</v>
      </c>
      <c r="O1076" s="93">
        <f t="shared" si="152"/>
        <v>2.39173034446</v>
      </c>
      <c r="P1076" s="92">
        <v>100</v>
      </c>
      <c r="Q1076" s="92" t="s">
        <v>58</v>
      </c>
      <c r="R1076" s="92" t="s">
        <v>82</v>
      </c>
      <c r="S1076" s="20">
        <v>248.797</v>
      </c>
    </row>
    <row r="1077" spans="1:19" x14ac:dyDescent="0.15">
      <c r="A1077" s="90">
        <v>44734</v>
      </c>
      <c r="B1077" s="90" t="str">
        <f t="shared" si="146"/>
        <v>juin</v>
      </c>
      <c r="C1077" s="90" t="str">
        <f t="shared" si="147"/>
        <v>2022</v>
      </c>
      <c r="D1077" s="90" t="str">
        <f t="shared" si="148"/>
        <v>juin2022</v>
      </c>
      <c r="E1077" s="91" t="s">
        <v>1049</v>
      </c>
      <c r="F1077" s="91">
        <v>413</v>
      </c>
      <c r="G1077" s="94">
        <f t="shared" si="149"/>
        <v>0.41299999999999998</v>
      </c>
      <c r="H1077" s="92" t="s">
        <v>38</v>
      </c>
      <c r="I1077" s="96">
        <f t="shared" si="144"/>
        <v>1</v>
      </c>
      <c r="J1077" s="96">
        <f t="shared" si="145"/>
        <v>0</v>
      </c>
      <c r="K1077" s="92">
        <f>VLOOKUP(H1077,'Taux émission CO2e'!$A$5:$D$16,4,FALSE)</f>
        <v>0.24099999999999999</v>
      </c>
      <c r="L1077" s="93">
        <f t="shared" si="150"/>
        <v>3.3926818379999997</v>
      </c>
      <c r="M1077" s="92">
        <f>VLOOKUP(H1077,'Taux émission CO2e'!$A$20:$D$31,4,FALSE)</f>
        <v>0</v>
      </c>
      <c r="N1077" s="105">
        <f t="shared" si="151"/>
        <v>0</v>
      </c>
      <c r="O1077" s="93">
        <f t="shared" si="152"/>
        <v>3.3926818379999997</v>
      </c>
      <c r="P1077" s="92">
        <v>140</v>
      </c>
      <c r="Q1077" s="92" t="s">
        <v>58</v>
      </c>
      <c r="R1077" s="92" t="s">
        <v>98</v>
      </c>
      <c r="S1077" s="20">
        <v>34.085999999999999</v>
      </c>
    </row>
    <row r="1078" spans="1:19" x14ac:dyDescent="0.15">
      <c r="A1078" s="90">
        <v>44734</v>
      </c>
      <c r="B1078" s="90" t="str">
        <f t="shared" si="146"/>
        <v>juin</v>
      </c>
      <c r="C1078" s="90" t="str">
        <f t="shared" si="147"/>
        <v>2022</v>
      </c>
      <c r="D1078" s="90" t="str">
        <f t="shared" si="148"/>
        <v>juin2022</v>
      </c>
      <c r="E1078" s="91" t="s">
        <v>1050</v>
      </c>
      <c r="F1078" s="91">
        <v>150</v>
      </c>
      <c r="G1078" s="94">
        <f t="shared" si="149"/>
        <v>0.15</v>
      </c>
      <c r="H1078" s="92" t="s">
        <v>45</v>
      </c>
      <c r="I1078" s="96">
        <f t="shared" si="144"/>
        <v>0.3</v>
      </c>
      <c r="J1078" s="96">
        <f t="shared" si="145"/>
        <v>0.7</v>
      </c>
      <c r="K1078" s="92">
        <f>VLOOKUP(H1078,'Taux émission CO2e'!$A$5:$D$16,4,FALSE)</f>
        <v>0.16</v>
      </c>
      <c r="L1078" s="93">
        <f t="shared" si="150"/>
        <v>2.0026439999999996</v>
      </c>
      <c r="M1078" s="92">
        <f>VLOOKUP(H1078,'Taux émission CO2e'!$A$20:$D$31,4,FALSE)</f>
        <v>6.7400000000000002E-2</v>
      </c>
      <c r="N1078" s="105">
        <f t="shared" si="151"/>
        <v>1.9684321649999998</v>
      </c>
      <c r="O1078" s="93">
        <f t="shared" si="152"/>
        <v>3.9710761649999995</v>
      </c>
      <c r="P1078" s="92">
        <v>158</v>
      </c>
      <c r="Q1078" s="92" t="s">
        <v>74</v>
      </c>
      <c r="R1078" s="92" t="s">
        <v>55</v>
      </c>
      <c r="S1078" s="20">
        <v>278.14499999999998</v>
      </c>
    </row>
    <row r="1079" spans="1:19" x14ac:dyDescent="0.15">
      <c r="A1079" s="90">
        <v>44734</v>
      </c>
      <c r="B1079" s="90" t="str">
        <f t="shared" si="146"/>
        <v>juin</v>
      </c>
      <c r="C1079" s="90" t="str">
        <f t="shared" si="147"/>
        <v>2022</v>
      </c>
      <c r="D1079" s="90" t="str">
        <f t="shared" si="148"/>
        <v>juin2022</v>
      </c>
      <c r="E1079" s="91" t="s">
        <v>1051</v>
      </c>
      <c r="F1079" s="91">
        <v>800</v>
      </c>
      <c r="G1079" s="94">
        <f t="shared" si="149"/>
        <v>0.8</v>
      </c>
      <c r="H1079" s="92" t="s">
        <v>45</v>
      </c>
      <c r="I1079" s="96">
        <f t="shared" si="144"/>
        <v>0.3</v>
      </c>
      <c r="J1079" s="96">
        <f t="shared" si="145"/>
        <v>0.7</v>
      </c>
      <c r="K1079" s="92">
        <f>VLOOKUP(H1079,'Taux émission CO2e'!$A$5:$D$16,4,FALSE)</f>
        <v>0.16</v>
      </c>
      <c r="L1079" s="93">
        <f t="shared" si="150"/>
        <v>9.8653824000000014</v>
      </c>
      <c r="M1079" s="92">
        <f>VLOOKUP(H1079,'Taux émission CO2e'!$A$20:$D$31,4,FALSE)</f>
        <v>6.7400000000000002E-2</v>
      </c>
      <c r="N1079" s="105">
        <f t="shared" si="151"/>
        <v>9.6968487840000002</v>
      </c>
      <c r="O1079" s="93">
        <f t="shared" si="152"/>
        <v>19.562231184000002</v>
      </c>
      <c r="P1079" s="92">
        <v>399</v>
      </c>
      <c r="Q1079" s="92" t="s">
        <v>58</v>
      </c>
      <c r="R1079" s="92" t="s">
        <v>60</v>
      </c>
      <c r="S1079" s="20">
        <v>256.911</v>
      </c>
    </row>
    <row r="1080" spans="1:19" x14ac:dyDescent="0.15">
      <c r="A1080" s="90">
        <v>44734</v>
      </c>
      <c r="B1080" s="90" t="str">
        <f t="shared" si="146"/>
        <v>juin</v>
      </c>
      <c r="C1080" s="90" t="str">
        <f t="shared" si="147"/>
        <v>2022</v>
      </c>
      <c r="D1080" s="90" t="str">
        <f t="shared" si="148"/>
        <v>juin2022</v>
      </c>
      <c r="E1080" s="91" t="s">
        <v>1052</v>
      </c>
      <c r="F1080" s="91">
        <v>450</v>
      </c>
      <c r="G1080" s="94">
        <f t="shared" si="149"/>
        <v>0.45</v>
      </c>
      <c r="H1080" s="92" t="s">
        <v>45</v>
      </c>
      <c r="I1080" s="96">
        <f t="shared" si="144"/>
        <v>0.3</v>
      </c>
      <c r="J1080" s="96">
        <f t="shared" si="145"/>
        <v>0.7</v>
      </c>
      <c r="K1080" s="92">
        <f>VLOOKUP(H1080,'Taux émission CO2e'!$A$5:$D$16,4,FALSE)</f>
        <v>0.16</v>
      </c>
      <c r="L1080" s="93">
        <f t="shared" si="150"/>
        <v>16.570375200000001</v>
      </c>
      <c r="M1080" s="92">
        <f>VLOOKUP(H1080,'Taux émission CO2e'!$A$20:$D$31,4,FALSE)</f>
        <v>6.7400000000000002E-2</v>
      </c>
      <c r="N1080" s="105">
        <f t="shared" si="151"/>
        <v>16.287297957</v>
      </c>
      <c r="O1080" s="93">
        <f t="shared" si="152"/>
        <v>32.857673157000001</v>
      </c>
      <c r="P1080" s="92">
        <v>400</v>
      </c>
      <c r="Q1080" s="92" t="s">
        <v>635</v>
      </c>
      <c r="R1080" s="92" t="s">
        <v>55</v>
      </c>
      <c r="S1080" s="20">
        <v>767.14700000000005</v>
      </c>
    </row>
    <row r="1081" spans="1:19" x14ac:dyDescent="0.15">
      <c r="A1081" s="90">
        <v>44735</v>
      </c>
      <c r="B1081" s="90" t="str">
        <f t="shared" si="146"/>
        <v>juin</v>
      </c>
      <c r="C1081" s="90" t="str">
        <f t="shared" si="147"/>
        <v>2022</v>
      </c>
      <c r="D1081" s="90" t="str">
        <f t="shared" si="148"/>
        <v>juin2022</v>
      </c>
      <c r="E1081" s="91" t="s">
        <v>1053</v>
      </c>
      <c r="F1081" s="91">
        <v>102</v>
      </c>
      <c r="G1081" s="94">
        <f t="shared" si="149"/>
        <v>0.10199999999999999</v>
      </c>
      <c r="H1081" s="92" t="s">
        <v>46</v>
      </c>
      <c r="I1081" s="96">
        <f t="shared" si="144"/>
        <v>0.3</v>
      </c>
      <c r="J1081" s="96">
        <f t="shared" si="145"/>
        <v>0.7</v>
      </c>
      <c r="K1081" s="92">
        <f>VLOOKUP(H1081,'Taux émission CO2e'!$A$5:$D$16,4,FALSE)</f>
        <v>0.16</v>
      </c>
      <c r="L1081" s="93">
        <f t="shared" si="150"/>
        <v>1.203427008</v>
      </c>
      <c r="M1081" s="92">
        <f>VLOOKUP(H1081,'Taux émission CO2e'!$A$20:$D$31,4,FALSE)</f>
        <v>6.7400000000000002E-2</v>
      </c>
      <c r="N1081" s="105">
        <f t="shared" si="151"/>
        <v>1.1828684632799999</v>
      </c>
      <c r="O1081" s="93">
        <f t="shared" si="152"/>
        <v>2.38629547128</v>
      </c>
      <c r="P1081" s="92">
        <v>100</v>
      </c>
      <c r="Q1081" s="92" t="s">
        <v>58</v>
      </c>
      <c r="R1081" s="92" t="s">
        <v>105</v>
      </c>
      <c r="S1081" s="20">
        <v>245.798</v>
      </c>
    </row>
    <row r="1082" spans="1:19" x14ac:dyDescent="0.15">
      <c r="A1082" s="90">
        <v>44735</v>
      </c>
      <c r="B1082" s="90" t="str">
        <f t="shared" si="146"/>
        <v>juin</v>
      </c>
      <c r="C1082" s="90" t="str">
        <f t="shared" si="147"/>
        <v>2022</v>
      </c>
      <c r="D1082" s="90" t="str">
        <f t="shared" si="148"/>
        <v>juin2022</v>
      </c>
      <c r="E1082" s="91" t="s">
        <v>1054</v>
      </c>
      <c r="F1082" s="91">
        <v>150</v>
      </c>
      <c r="G1082" s="94">
        <f t="shared" si="149"/>
        <v>0.15</v>
      </c>
      <c r="H1082" s="92" t="s">
        <v>46</v>
      </c>
      <c r="I1082" s="96">
        <f t="shared" si="144"/>
        <v>0.3</v>
      </c>
      <c r="J1082" s="96">
        <f t="shared" si="145"/>
        <v>0.7</v>
      </c>
      <c r="K1082" s="92">
        <f>VLOOKUP(H1082,'Taux émission CO2e'!$A$5:$D$16,4,FALSE)</f>
        <v>0.16</v>
      </c>
      <c r="L1082" s="93">
        <f t="shared" si="150"/>
        <v>1.3450607999999999</v>
      </c>
      <c r="M1082" s="92">
        <f>VLOOKUP(H1082,'Taux émission CO2e'!$A$20:$D$31,4,FALSE)</f>
        <v>6.7400000000000002E-2</v>
      </c>
      <c r="N1082" s="105">
        <f t="shared" si="151"/>
        <v>1.3220826779999999</v>
      </c>
      <c r="O1082" s="93">
        <f t="shared" si="152"/>
        <v>2.6671434779999998</v>
      </c>
      <c r="P1082" s="92">
        <v>140</v>
      </c>
      <c r="Q1082" s="92" t="s">
        <v>688</v>
      </c>
      <c r="R1082" s="92" t="s">
        <v>55</v>
      </c>
      <c r="S1082" s="20">
        <v>186.81399999999999</v>
      </c>
    </row>
    <row r="1083" spans="1:19" x14ac:dyDescent="0.15">
      <c r="A1083" s="90">
        <v>44735</v>
      </c>
      <c r="B1083" s="90" t="str">
        <f t="shared" si="146"/>
        <v>juin</v>
      </c>
      <c r="C1083" s="90" t="str">
        <f t="shared" si="147"/>
        <v>2022</v>
      </c>
      <c r="D1083" s="90" t="str">
        <f t="shared" si="148"/>
        <v>juin2022</v>
      </c>
      <c r="E1083" s="91" t="s">
        <v>1055</v>
      </c>
      <c r="F1083" s="91">
        <v>150</v>
      </c>
      <c r="G1083" s="94">
        <f t="shared" si="149"/>
        <v>0.15</v>
      </c>
      <c r="H1083" s="92" t="s">
        <v>45</v>
      </c>
      <c r="I1083" s="96">
        <f t="shared" si="144"/>
        <v>0.3</v>
      </c>
      <c r="J1083" s="96">
        <f t="shared" si="145"/>
        <v>0.7</v>
      </c>
      <c r="K1083" s="92">
        <f>VLOOKUP(H1083,'Taux émission CO2e'!$A$5:$D$16,4,FALSE)</f>
        <v>0.16</v>
      </c>
      <c r="L1083" s="93">
        <f t="shared" si="150"/>
        <v>2.2767263999999998</v>
      </c>
      <c r="M1083" s="92">
        <f>VLOOKUP(H1083,'Taux émission CO2e'!$A$20:$D$31,4,FALSE)</f>
        <v>6.7400000000000002E-2</v>
      </c>
      <c r="N1083" s="105">
        <f t="shared" si="151"/>
        <v>2.2378323239999998</v>
      </c>
      <c r="O1083" s="93">
        <f t="shared" si="152"/>
        <v>4.5145587239999996</v>
      </c>
      <c r="P1083" s="92">
        <v>158</v>
      </c>
      <c r="Q1083" s="92" t="s">
        <v>1029</v>
      </c>
      <c r="R1083" s="92" t="s">
        <v>55</v>
      </c>
      <c r="S1083" s="20">
        <v>316.21199999999999</v>
      </c>
    </row>
    <row r="1084" spans="1:19" x14ac:dyDescent="0.15">
      <c r="A1084" s="90">
        <v>44735</v>
      </c>
      <c r="B1084" s="90" t="str">
        <f t="shared" si="146"/>
        <v>juin</v>
      </c>
      <c r="C1084" s="90" t="str">
        <f t="shared" si="147"/>
        <v>2022</v>
      </c>
      <c r="D1084" s="90" t="str">
        <f t="shared" si="148"/>
        <v>juin2022</v>
      </c>
      <c r="E1084" s="91" t="s">
        <v>1056</v>
      </c>
      <c r="F1084" s="91">
        <v>300</v>
      </c>
      <c r="G1084" s="94">
        <f t="shared" si="149"/>
        <v>0.3</v>
      </c>
      <c r="H1084" s="92" t="s">
        <v>45</v>
      </c>
      <c r="I1084" s="96">
        <f t="shared" si="144"/>
        <v>0.3</v>
      </c>
      <c r="J1084" s="96">
        <f t="shared" si="145"/>
        <v>0.7</v>
      </c>
      <c r="K1084" s="92">
        <f>VLOOKUP(H1084,'Taux émission CO2e'!$A$5:$D$16,4,FALSE)</f>
        <v>0.16</v>
      </c>
      <c r="L1084" s="93">
        <f t="shared" si="150"/>
        <v>7.7429951999999993</v>
      </c>
      <c r="M1084" s="92">
        <f>VLOOKUP(H1084,'Taux émission CO2e'!$A$20:$D$31,4,FALSE)</f>
        <v>6.7400000000000002E-2</v>
      </c>
      <c r="N1084" s="105">
        <f t="shared" si="151"/>
        <v>7.6107190319999996</v>
      </c>
      <c r="O1084" s="93">
        <f t="shared" si="152"/>
        <v>15.353714231999998</v>
      </c>
      <c r="P1084" s="92">
        <v>195</v>
      </c>
      <c r="Q1084" s="92" t="s">
        <v>612</v>
      </c>
      <c r="R1084" s="92" t="s">
        <v>55</v>
      </c>
      <c r="S1084" s="20">
        <v>537.70799999999997</v>
      </c>
    </row>
    <row r="1085" spans="1:19" x14ac:dyDescent="0.15">
      <c r="A1085" s="90">
        <v>44735</v>
      </c>
      <c r="B1085" s="90" t="str">
        <f t="shared" si="146"/>
        <v>juin</v>
      </c>
      <c r="C1085" s="90" t="str">
        <f t="shared" si="147"/>
        <v>2022</v>
      </c>
      <c r="D1085" s="90" t="str">
        <f t="shared" si="148"/>
        <v>juin2022</v>
      </c>
      <c r="E1085" s="91" t="s">
        <v>1057</v>
      </c>
      <c r="F1085" s="91">
        <v>220</v>
      </c>
      <c r="G1085" s="94">
        <f t="shared" si="149"/>
        <v>0.22</v>
      </c>
      <c r="H1085" s="92" t="s">
        <v>46</v>
      </c>
      <c r="I1085" s="96">
        <f t="shared" si="144"/>
        <v>0.3</v>
      </c>
      <c r="J1085" s="96">
        <f t="shared" si="145"/>
        <v>0.7</v>
      </c>
      <c r="K1085" s="92">
        <f>VLOOKUP(H1085,'Taux émission CO2e'!$A$5:$D$16,4,FALSE)</f>
        <v>0.16</v>
      </c>
      <c r="L1085" s="93">
        <f t="shared" si="150"/>
        <v>3.3451651199999999</v>
      </c>
      <c r="M1085" s="92">
        <f>VLOOKUP(H1085,'Taux émission CO2e'!$A$20:$D$31,4,FALSE)</f>
        <v>6.7400000000000002E-2</v>
      </c>
      <c r="N1085" s="105">
        <f t="shared" si="151"/>
        <v>3.2880185491999998</v>
      </c>
      <c r="O1085" s="93">
        <f t="shared" si="152"/>
        <v>6.6331836691999992</v>
      </c>
      <c r="P1085" s="92">
        <v>230</v>
      </c>
      <c r="Q1085" s="92" t="s">
        <v>58</v>
      </c>
      <c r="R1085" s="92" t="s">
        <v>632</v>
      </c>
      <c r="S1085" s="20">
        <v>316.77699999999999</v>
      </c>
    </row>
    <row r="1086" spans="1:19" x14ac:dyDescent="0.15">
      <c r="A1086" s="90">
        <v>44735</v>
      </c>
      <c r="B1086" s="90" t="str">
        <f t="shared" si="146"/>
        <v>juin</v>
      </c>
      <c r="C1086" s="90" t="str">
        <f t="shared" si="147"/>
        <v>2022</v>
      </c>
      <c r="D1086" s="90" t="str">
        <f t="shared" si="148"/>
        <v>juin2022</v>
      </c>
      <c r="E1086" s="91" t="s">
        <v>1058</v>
      </c>
      <c r="F1086" s="91">
        <v>300</v>
      </c>
      <c r="G1086" s="94">
        <f t="shared" si="149"/>
        <v>0.3</v>
      </c>
      <c r="H1086" s="92" t="s">
        <v>46</v>
      </c>
      <c r="I1086" s="96">
        <f t="shared" si="144"/>
        <v>0.3</v>
      </c>
      <c r="J1086" s="96">
        <f t="shared" si="145"/>
        <v>0.7</v>
      </c>
      <c r="K1086" s="92">
        <f>VLOOKUP(H1086,'Taux émission CO2e'!$A$5:$D$16,4,FALSE)</f>
        <v>0.16</v>
      </c>
      <c r="L1086" s="93">
        <f t="shared" si="150"/>
        <v>7.7979743999999993</v>
      </c>
      <c r="M1086" s="92">
        <f>VLOOKUP(H1086,'Taux émission CO2e'!$A$20:$D$31,4,FALSE)</f>
        <v>6.7400000000000002E-2</v>
      </c>
      <c r="N1086" s="105">
        <f t="shared" si="151"/>
        <v>7.6647590039999995</v>
      </c>
      <c r="O1086" s="93">
        <f t="shared" si="152"/>
        <v>15.462733403999998</v>
      </c>
      <c r="P1086" s="92">
        <v>239</v>
      </c>
      <c r="Q1086" s="92" t="s">
        <v>62</v>
      </c>
      <c r="R1086" s="92" t="s">
        <v>55</v>
      </c>
      <c r="S1086" s="20">
        <v>541.52599999999995</v>
      </c>
    </row>
    <row r="1087" spans="1:19" x14ac:dyDescent="0.15">
      <c r="A1087" s="90">
        <v>44735</v>
      </c>
      <c r="B1087" s="90" t="str">
        <f t="shared" si="146"/>
        <v>juin</v>
      </c>
      <c r="C1087" s="90" t="str">
        <f t="shared" si="147"/>
        <v>2022</v>
      </c>
      <c r="D1087" s="90" t="str">
        <f t="shared" si="148"/>
        <v>juin2022</v>
      </c>
      <c r="E1087" s="91" t="s">
        <v>1059</v>
      </c>
      <c r="F1087" s="91">
        <v>194</v>
      </c>
      <c r="G1087" s="94">
        <f t="shared" si="149"/>
        <v>0.19400000000000001</v>
      </c>
      <c r="H1087" s="92" t="s">
        <v>46</v>
      </c>
      <c r="I1087" s="96">
        <f t="shared" si="144"/>
        <v>0.3</v>
      </c>
      <c r="J1087" s="96">
        <f t="shared" si="145"/>
        <v>0.7</v>
      </c>
      <c r="K1087" s="92">
        <f>VLOOKUP(H1087,'Taux émission CO2e'!$A$5:$D$16,4,FALSE)</f>
        <v>0.16</v>
      </c>
      <c r="L1087" s="93">
        <f t="shared" si="150"/>
        <v>7.0057621440000002</v>
      </c>
      <c r="M1087" s="92">
        <f>VLOOKUP(H1087,'Taux émission CO2e'!$A$20:$D$31,4,FALSE)</f>
        <v>6.7400000000000002E-2</v>
      </c>
      <c r="N1087" s="105">
        <f t="shared" si="151"/>
        <v>6.8860803740399996</v>
      </c>
      <c r="O1087" s="93">
        <f t="shared" si="152"/>
        <v>13.891842518040001</v>
      </c>
      <c r="P1087" s="92">
        <v>250</v>
      </c>
      <c r="Q1087" s="92" t="s">
        <v>58</v>
      </c>
      <c r="R1087" s="92" t="s">
        <v>85</v>
      </c>
      <c r="S1087" s="20">
        <v>752.33699999999999</v>
      </c>
    </row>
    <row r="1088" spans="1:19" x14ac:dyDescent="0.15">
      <c r="A1088" s="90">
        <v>44735</v>
      </c>
      <c r="B1088" s="90" t="str">
        <f t="shared" si="146"/>
        <v>juin</v>
      </c>
      <c r="C1088" s="90" t="str">
        <f t="shared" si="147"/>
        <v>2022</v>
      </c>
      <c r="D1088" s="90" t="str">
        <f t="shared" si="148"/>
        <v>juin2022</v>
      </c>
      <c r="E1088" s="91" t="s">
        <v>1060</v>
      </c>
      <c r="F1088" s="91">
        <v>406</v>
      </c>
      <c r="G1088" s="94">
        <f t="shared" si="149"/>
        <v>0.40600000000000003</v>
      </c>
      <c r="H1088" s="92" t="s">
        <v>46</v>
      </c>
      <c r="I1088" s="96">
        <f t="shared" si="144"/>
        <v>0.3</v>
      </c>
      <c r="J1088" s="96">
        <f t="shared" si="145"/>
        <v>0.7</v>
      </c>
      <c r="K1088" s="92">
        <f>VLOOKUP(H1088,'Taux émission CO2e'!$A$5:$D$16,4,FALSE)</f>
        <v>0.16</v>
      </c>
      <c r="L1088" s="93">
        <f t="shared" si="150"/>
        <v>16.319504544000001</v>
      </c>
      <c r="M1088" s="92">
        <f>VLOOKUP(H1088,'Taux émission CO2e'!$A$20:$D$31,4,FALSE)</f>
        <v>6.7400000000000002E-2</v>
      </c>
      <c r="N1088" s="105">
        <f t="shared" si="151"/>
        <v>16.040713008040001</v>
      </c>
      <c r="O1088" s="93">
        <f t="shared" si="152"/>
        <v>32.360217552039998</v>
      </c>
      <c r="P1088" s="92">
        <v>470</v>
      </c>
      <c r="Q1088" s="92" t="s">
        <v>58</v>
      </c>
      <c r="R1088" s="92" t="s">
        <v>61</v>
      </c>
      <c r="S1088" s="20">
        <v>837.41300000000001</v>
      </c>
    </row>
    <row r="1089" spans="1:19" x14ac:dyDescent="0.15">
      <c r="A1089" s="90">
        <v>44735</v>
      </c>
      <c r="B1089" s="90" t="str">
        <f t="shared" si="146"/>
        <v>juin</v>
      </c>
      <c r="C1089" s="90" t="str">
        <f t="shared" si="147"/>
        <v>2022</v>
      </c>
      <c r="D1089" s="90" t="str">
        <f t="shared" si="148"/>
        <v>juin2022</v>
      </c>
      <c r="E1089" s="91" t="s">
        <v>1061</v>
      </c>
      <c r="F1089" s="91">
        <v>1115</v>
      </c>
      <c r="G1089" s="94">
        <f t="shared" si="149"/>
        <v>1.115</v>
      </c>
      <c r="H1089" s="92" t="s">
        <v>46</v>
      </c>
      <c r="I1089" s="96">
        <f t="shared" si="144"/>
        <v>0.3</v>
      </c>
      <c r="J1089" s="96">
        <f t="shared" si="145"/>
        <v>0.7</v>
      </c>
      <c r="K1089" s="92">
        <f>VLOOKUP(H1089,'Taux émission CO2e'!$A$5:$D$16,4,FALSE)</f>
        <v>0.16</v>
      </c>
      <c r="L1089" s="93">
        <f t="shared" si="150"/>
        <v>39.628616399999999</v>
      </c>
      <c r="M1089" s="92">
        <f>VLOOKUP(H1089,'Taux émission CO2e'!$A$20:$D$31,4,FALSE)</f>
        <v>6.7400000000000002E-2</v>
      </c>
      <c r="N1089" s="105">
        <f t="shared" si="151"/>
        <v>38.951627536499998</v>
      </c>
      <c r="O1089" s="93">
        <f t="shared" si="152"/>
        <v>78.580243936499997</v>
      </c>
      <c r="P1089" s="92">
        <v>615</v>
      </c>
      <c r="Q1089" s="92" t="s">
        <v>58</v>
      </c>
      <c r="R1089" s="92" t="s">
        <v>59</v>
      </c>
      <c r="S1089" s="20">
        <v>740.44500000000005</v>
      </c>
    </row>
    <row r="1090" spans="1:19" x14ac:dyDescent="0.15">
      <c r="A1090" s="90">
        <v>44736</v>
      </c>
      <c r="B1090" s="90" t="str">
        <f t="shared" si="146"/>
        <v>juin</v>
      </c>
      <c r="C1090" s="90" t="str">
        <f t="shared" si="147"/>
        <v>2022</v>
      </c>
      <c r="D1090" s="90" t="str">
        <f t="shared" si="148"/>
        <v>juin2022</v>
      </c>
      <c r="E1090" s="91" t="s">
        <v>1062</v>
      </c>
      <c r="F1090" s="91">
        <v>150</v>
      </c>
      <c r="G1090" s="94">
        <f t="shared" si="149"/>
        <v>0.15</v>
      </c>
      <c r="H1090" s="92" t="s">
        <v>45</v>
      </c>
      <c r="I1090" s="96">
        <f t="shared" ref="I1090:I1153" si="153">VLOOKUP(H1090,Segment1,2,FALSE)</f>
        <v>0.3</v>
      </c>
      <c r="J1090" s="96">
        <f t="shared" ref="J1090:J1153" si="154">VLOOKUP(H1090,Segment2,2,FALSE)</f>
        <v>0.7</v>
      </c>
      <c r="K1090" s="92">
        <f>VLOOKUP(H1090,'Taux émission CO2e'!$A$5:$D$16,4,FALSE)</f>
        <v>0.16</v>
      </c>
      <c r="L1090" s="93">
        <f t="shared" si="150"/>
        <v>0.4008024</v>
      </c>
      <c r="M1090" s="92">
        <f>VLOOKUP(H1090,'Taux émission CO2e'!$A$20:$D$31,4,FALSE)</f>
        <v>6.7400000000000002E-2</v>
      </c>
      <c r="N1090" s="105">
        <f t="shared" si="151"/>
        <v>0.393955359</v>
      </c>
      <c r="O1090" s="93">
        <f t="shared" si="152"/>
        <v>0.79475775900000001</v>
      </c>
      <c r="P1090" s="92">
        <v>80</v>
      </c>
      <c r="Q1090" s="92" t="s">
        <v>1004</v>
      </c>
      <c r="R1090" s="92" t="s">
        <v>55</v>
      </c>
      <c r="S1090" s="20">
        <v>55.667000000000002</v>
      </c>
    </row>
    <row r="1091" spans="1:19" x14ac:dyDescent="0.15">
      <c r="A1091" s="90">
        <v>44736</v>
      </c>
      <c r="B1091" s="90" t="str">
        <f t="shared" ref="B1091:B1154" si="155">TEXT(A1091,"mmmm")</f>
        <v>juin</v>
      </c>
      <c r="C1091" s="90" t="str">
        <f t="shared" ref="C1091:C1154" si="156">TEXT(A1091,"aaaa")</f>
        <v>2022</v>
      </c>
      <c r="D1091" s="90" t="str">
        <f t="shared" ref="D1091:D1154" si="157">B1091&amp;C1091</f>
        <v>juin2022</v>
      </c>
      <c r="E1091" s="91" t="s">
        <v>1063</v>
      </c>
      <c r="F1091" s="91">
        <v>30</v>
      </c>
      <c r="G1091" s="94">
        <f t="shared" ref="G1091:G1154" si="158">F1091/1000</f>
        <v>0.03</v>
      </c>
      <c r="H1091" s="92" t="s">
        <v>45</v>
      </c>
      <c r="I1091" s="96">
        <f t="shared" si="153"/>
        <v>0.3</v>
      </c>
      <c r="J1091" s="96">
        <f t="shared" si="154"/>
        <v>0.7</v>
      </c>
      <c r="K1091" s="92">
        <f>VLOOKUP(H1091,'Taux émission CO2e'!$A$5:$D$16,4,FALSE)</f>
        <v>0.16</v>
      </c>
      <c r="L1091" s="93">
        <f t="shared" ref="L1091:L1154" si="159">IFERROR(I1091*K1091*G1091*S1091,"0")</f>
        <v>0.38327903999999996</v>
      </c>
      <c r="M1091" s="92">
        <f>VLOOKUP(H1091,'Taux émission CO2e'!$A$20:$D$31,4,FALSE)</f>
        <v>6.7400000000000002E-2</v>
      </c>
      <c r="N1091" s="105">
        <f t="shared" ref="N1091:N1154" si="160">IFERROR(J1091*M1091*G1091*S1091,"0")</f>
        <v>0.37673135639999999</v>
      </c>
      <c r="O1091" s="93">
        <f t="shared" ref="O1091:O1154" si="161">L1091+N1091</f>
        <v>0.76001039640000001</v>
      </c>
      <c r="P1091" s="92">
        <v>100</v>
      </c>
      <c r="Q1091" s="92" t="s">
        <v>58</v>
      </c>
      <c r="R1091" s="92" t="s">
        <v>53</v>
      </c>
      <c r="S1091" s="20">
        <v>266.166</v>
      </c>
    </row>
    <row r="1092" spans="1:19" x14ac:dyDescent="0.15">
      <c r="A1092" s="90">
        <v>44736</v>
      </c>
      <c r="B1092" s="90" t="str">
        <f t="shared" si="155"/>
        <v>juin</v>
      </c>
      <c r="C1092" s="90" t="str">
        <f t="shared" si="156"/>
        <v>2022</v>
      </c>
      <c r="D1092" s="90" t="str">
        <f t="shared" si="157"/>
        <v>juin2022</v>
      </c>
      <c r="E1092" s="91" t="s">
        <v>1064</v>
      </c>
      <c r="F1092" s="91">
        <v>150</v>
      </c>
      <c r="G1092" s="94">
        <f t="shared" si="158"/>
        <v>0.15</v>
      </c>
      <c r="H1092" s="92" t="s">
        <v>45</v>
      </c>
      <c r="I1092" s="96">
        <f t="shared" si="153"/>
        <v>0.3</v>
      </c>
      <c r="J1092" s="96">
        <f t="shared" si="154"/>
        <v>0.7</v>
      </c>
      <c r="K1092" s="92">
        <f>VLOOKUP(H1092,'Taux émission CO2e'!$A$5:$D$16,4,FALSE)</f>
        <v>0.16</v>
      </c>
      <c r="L1092" s="93">
        <f t="shared" si="159"/>
        <v>2.8012535999999999</v>
      </c>
      <c r="M1092" s="92">
        <f>VLOOKUP(H1092,'Taux émission CO2e'!$A$20:$D$31,4,FALSE)</f>
        <v>6.7400000000000002E-2</v>
      </c>
      <c r="N1092" s="105">
        <f t="shared" si="160"/>
        <v>2.753398851</v>
      </c>
      <c r="O1092" s="93">
        <f t="shared" si="161"/>
        <v>5.5546524509999999</v>
      </c>
      <c r="P1092" s="92">
        <v>125</v>
      </c>
      <c r="Q1092" s="92" t="s">
        <v>842</v>
      </c>
      <c r="R1092" s="92" t="s">
        <v>55</v>
      </c>
      <c r="S1092" s="20">
        <v>389.06299999999999</v>
      </c>
    </row>
    <row r="1093" spans="1:19" x14ac:dyDescent="0.15">
      <c r="A1093" s="90">
        <v>44736</v>
      </c>
      <c r="B1093" s="90" t="str">
        <f t="shared" si="155"/>
        <v>juin</v>
      </c>
      <c r="C1093" s="90" t="str">
        <f t="shared" si="156"/>
        <v>2022</v>
      </c>
      <c r="D1093" s="90" t="str">
        <f t="shared" si="157"/>
        <v>juin2022</v>
      </c>
      <c r="E1093" s="91" t="s">
        <v>1065</v>
      </c>
      <c r="F1093" s="91">
        <v>300</v>
      </c>
      <c r="G1093" s="94">
        <f t="shared" si="158"/>
        <v>0.3</v>
      </c>
      <c r="H1093" s="92" t="s">
        <v>46</v>
      </c>
      <c r="I1093" s="96">
        <f t="shared" si="153"/>
        <v>0.3</v>
      </c>
      <c r="J1093" s="96">
        <f t="shared" si="154"/>
        <v>0.7</v>
      </c>
      <c r="K1093" s="92">
        <f>VLOOKUP(H1093,'Taux émission CO2e'!$A$5:$D$16,4,FALSE)</f>
        <v>0.16</v>
      </c>
      <c r="L1093" s="93">
        <f t="shared" si="159"/>
        <v>2.4943679999999997</v>
      </c>
      <c r="M1093" s="92">
        <f>VLOOKUP(H1093,'Taux émission CO2e'!$A$20:$D$31,4,FALSE)</f>
        <v>6.7400000000000002E-2</v>
      </c>
      <c r="N1093" s="105">
        <f t="shared" si="160"/>
        <v>2.4517558799999999</v>
      </c>
      <c r="O1093" s="93">
        <f t="shared" si="161"/>
        <v>4.94612388</v>
      </c>
      <c r="P1093" s="92">
        <v>200</v>
      </c>
      <c r="Q1093" s="92" t="s">
        <v>708</v>
      </c>
      <c r="R1093" s="92" t="s">
        <v>55</v>
      </c>
      <c r="S1093" s="20">
        <v>173.22</v>
      </c>
    </row>
    <row r="1094" spans="1:19" x14ac:dyDescent="0.15">
      <c r="A1094" s="90">
        <v>44736</v>
      </c>
      <c r="B1094" s="90" t="str">
        <f t="shared" si="155"/>
        <v>juin</v>
      </c>
      <c r="C1094" s="90" t="str">
        <f t="shared" si="156"/>
        <v>2022</v>
      </c>
      <c r="D1094" s="90" t="str">
        <f t="shared" si="157"/>
        <v>juin2022</v>
      </c>
      <c r="E1094" s="91" t="s">
        <v>1066</v>
      </c>
      <c r="F1094" s="91">
        <v>400</v>
      </c>
      <c r="G1094" s="94">
        <f t="shared" si="158"/>
        <v>0.4</v>
      </c>
      <c r="H1094" s="92" t="s">
        <v>45</v>
      </c>
      <c r="I1094" s="96">
        <f t="shared" si="153"/>
        <v>0.3</v>
      </c>
      <c r="J1094" s="96">
        <f t="shared" si="154"/>
        <v>0.7</v>
      </c>
      <c r="K1094" s="92">
        <f>VLOOKUP(H1094,'Taux émission CO2e'!$A$5:$D$16,4,FALSE)</f>
        <v>0.16</v>
      </c>
      <c r="L1094" s="93">
        <f t="shared" si="159"/>
        <v>5.347142400000001</v>
      </c>
      <c r="M1094" s="92">
        <f>VLOOKUP(H1094,'Taux émission CO2e'!$A$20:$D$31,4,FALSE)</f>
        <v>6.7400000000000002E-2</v>
      </c>
      <c r="N1094" s="105">
        <f t="shared" si="160"/>
        <v>5.2557953839999998</v>
      </c>
      <c r="O1094" s="93">
        <f t="shared" si="161"/>
        <v>10.602937784000002</v>
      </c>
      <c r="P1094" s="92">
        <v>200</v>
      </c>
      <c r="Q1094" s="92" t="s">
        <v>90</v>
      </c>
      <c r="R1094" s="92" t="s">
        <v>55</v>
      </c>
      <c r="S1094" s="20">
        <v>278.49700000000001</v>
      </c>
    </row>
    <row r="1095" spans="1:19" x14ac:dyDescent="0.15">
      <c r="A1095" s="90">
        <v>44736</v>
      </c>
      <c r="B1095" s="90" t="str">
        <f t="shared" si="155"/>
        <v>juin</v>
      </c>
      <c r="C1095" s="90" t="str">
        <f t="shared" si="156"/>
        <v>2022</v>
      </c>
      <c r="D1095" s="90" t="str">
        <f t="shared" si="157"/>
        <v>juin2022</v>
      </c>
      <c r="E1095" s="91" t="s">
        <v>1067</v>
      </c>
      <c r="F1095" s="91">
        <v>300</v>
      </c>
      <c r="G1095" s="94">
        <f t="shared" si="158"/>
        <v>0.3</v>
      </c>
      <c r="H1095" s="92" t="s">
        <v>46</v>
      </c>
      <c r="I1095" s="96">
        <f t="shared" si="153"/>
        <v>0.3</v>
      </c>
      <c r="J1095" s="96">
        <f t="shared" si="154"/>
        <v>0.7</v>
      </c>
      <c r="K1095" s="92">
        <f>VLOOKUP(H1095,'Taux émission CO2e'!$A$5:$D$16,4,FALSE)</f>
        <v>0.16</v>
      </c>
      <c r="L1095" s="93">
        <f t="shared" si="159"/>
        <v>3.7158191999999999</v>
      </c>
      <c r="M1095" s="92">
        <f>VLOOKUP(H1095,'Taux émission CO2e'!$A$20:$D$31,4,FALSE)</f>
        <v>6.7400000000000002E-2</v>
      </c>
      <c r="N1095" s="105">
        <f t="shared" si="160"/>
        <v>3.6523406220000001</v>
      </c>
      <c r="O1095" s="93">
        <f t="shared" si="161"/>
        <v>7.368159822</v>
      </c>
      <c r="P1095" s="92">
        <v>270</v>
      </c>
      <c r="Q1095" s="92" t="s">
        <v>102</v>
      </c>
      <c r="R1095" s="92" t="s">
        <v>55</v>
      </c>
      <c r="S1095" s="20">
        <v>258.04300000000001</v>
      </c>
    </row>
    <row r="1096" spans="1:19" x14ac:dyDescent="0.15">
      <c r="A1096" s="90">
        <v>44736</v>
      </c>
      <c r="B1096" s="90" t="str">
        <f t="shared" si="155"/>
        <v>juin</v>
      </c>
      <c r="C1096" s="90" t="str">
        <f t="shared" si="156"/>
        <v>2022</v>
      </c>
      <c r="D1096" s="90" t="str">
        <f t="shared" si="157"/>
        <v>juin2022</v>
      </c>
      <c r="E1096" s="91" t="s">
        <v>1068</v>
      </c>
      <c r="F1096" s="91">
        <v>203</v>
      </c>
      <c r="G1096" s="94">
        <f t="shared" si="158"/>
        <v>0.20300000000000001</v>
      </c>
      <c r="H1096" s="92" t="s">
        <v>46</v>
      </c>
      <c r="I1096" s="96">
        <f t="shared" si="153"/>
        <v>0.3</v>
      </c>
      <c r="J1096" s="96">
        <f t="shared" si="154"/>
        <v>0.7</v>
      </c>
      <c r="K1096" s="92">
        <f>VLOOKUP(H1096,'Taux émission CO2e'!$A$5:$D$16,4,FALSE)</f>
        <v>0.16</v>
      </c>
      <c r="L1096" s="93">
        <f t="shared" si="159"/>
        <v>6.967037952000001</v>
      </c>
      <c r="M1096" s="92">
        <f>VLOOKUP(H1096,'Taux émission CO2e'!$A$20:$D$31,4,FALSE)</f>
        <v>6.7400000000000002E-2</v>
      </c>
      <c r="N1096" s="105">
        <f t="shared" si="160"/>
        <v>6.8480177203200006</v>
      </c>
      <c r="O1096" s="93">
        <f t="shared" si="161"/>
        <v>13.815055672320002</v>
      </c>
      <c r="P1096" s="92">
        <v>270</v>
      </c>
      <c r="Q1096" s="92" t="s">
        <v>58</v>
      </c>
      <c r="R1096" s="92" t="s">
        <v>544</v>
      </c>
      <c r="S1096" s="20">
        <v>715.00800000000004</v>
      </c>
    </row>
    <row r="1097" spans="1:19" x14ac:dyDescent="0.15">
      <c r="A1097" s="90">
        <v>44736</v>
      </c>
      <c r="B1097" s="90" t="str">
        <f t="shared" si="155"/>
        <v>juin</v>
      </c>
      <c r="C1097" s="90" t="str">
        <f t="shared" si="156"/>
        <v>2022</v>
      </c>
      <c r="D1097" s="90" t="str">
        <f t="shared" si="157"/>
        <v>juin2022</v>
      </c>
      <c r="E1097" s="91" t="s">
        <v>1069</v>
      </c>
      <c r="F1097" s="91">
        <v>550</v>
      </c>
      <c r="G1097" s="94">
        <f t="shared" si="158"/>
        <v>0.55000000000000004</v>
      </c>
      <c r="H1097" s="92" t="s">
        <v>46</v>
      </c>
      <c r="I1097" s="96">
        <f t="shared" si="153"/>
        <v>0.3</v>
      </c>
      <c r="J1097" s="96">
        <f t="shared" si="154"/>
        <v>0.7</v>
      </c>
      <c r="K1097" s="92">
        <f>VLOOKUP(H1097,'Taux émission CO2e'!$A$5:$D$16,4,FALSE)</f>
        <v>0.16</v>
      </c>
      <c r="L1097" s="93">
        <f t="shared" si="159"/>
        <v>13.617067200000001</v>
      </c>
      <c r="M1097" s="92">
        <f>VLOOKUP(H1097,'Taux émission CO2e'!$A$20:$D$31,4,FALSE)</f>
        <v>6.7400000000000002E-2</v>
      </c>
      <c r="N1097" s="105">
        <f t="shared" si="160"/>
        <v>13.384442302000002</v>
      </c>
      <c r="O1097" s="93">
        <f t="shared" si="161"/>
        <v>27.001509502000005</v>
      </c>
      <c r="P1097" s="92">
        <v>450</v>
      </c>
      <c r="Q1097" s="92" t="s">
        <v>58</v>
      </c>
      <c r="R1097" s="92" t="s">
        <v>57</v>
      </c>
      <c r="S1097" s="20">
        <v>515.798</v>
      </c>
    </row>
    <row r="1098" spans="1:19" x14ac:dyDescent="0.15">
      <c r="A1098" s="90">
        <v>44739</v>
      </c>
      <c r="B1098" s="90" t="str">
        <f t="shared" si="155"/>
        <v>juin</v>
      </c>
      <c r="C1098" s="90" t="str">
        <f t="shared" si="156"/>
        <v>2022</v>
      </c>
      <c r="D1098" s="90" t="str">
        <f t="shared" si="157"/>
        <v>juin2022</v>
      </c>
      <c r="E1098" s="91" t="s">
        <v>1070</v>
      </c>
      <c r="F1098" s="91">
        <v>102</v>
      </c>
      <c r="G1098" s="94">
        <f t="shared" si="158"/>
        <v>0.10199999999999999</v>
      </c>
      <c r="H1098" s="92" t="s">
        <v>46</v>
      </c>
      <c r="I1098" s="96">
        <f t="shared" si="153"/>
        <v>0.3</v>
      </c>
      <c r="J1098" s="96">
        <f t="shared" si="154"/>
        <v>0.7</v>
      </c>
      <c r="K1098" s="92">
        <f>VLOOKUP(H1098,'Taux émission CO2e'!$A$5:$D$16,4,FALSE)</f>
        <v>0.16</v>
      </c>
      <c r="L1098" s="93">
        <f t="shared" si="159"/>
        <v>2.0254164480000001</v>
      </c>
      <c r="M1098" s="92">
        <f>VLOOKUP(H1098,'Taux émission CO2e'!$A$20:$D$31,4,FALSE)</f>
        <v>6.7400000000000002E-2</v>
      </c>
      <c r="N1098" s="105">
        <f t="shared" si="160"/>
        <v>1.9908155836799999</v>
      </c>
      <c r="O1098" s="93">
        <f t="shared" si="161"/>
        <v>4.0162320316799995</v>
      </c>
      <c r="P1098" s="92">
        <v>126.6</v>
      </c>
      <c r="Q1098" s="92" t="s">
        <v>58</v>
      </c>
      <c r="R1098" s="92" t="s">
        <v>81</v>
      </c>
      <c r="S1098" s="20">
        <v>413.68799999999999</v>
      </c>
    </row>
    <row r="1099" spans="1:19" x14ac:dyDescent="0.15">
      <c r="A1099" s="90">
        <v>44739</v>
      </c>
      <c r="B1099" s="90" t="str">
        <f t="shared" si="155"/>
        <v>juin</v>
      </c>
      <c r="C1099" s="90" t="str">
        <f t="shared" si="156"/>
        <v>2022</v>
      </c>
      <c r="D1099" s="90" t="str">
        <f t="shared" si="157"/>
        <v>juin2022</v>
      </c>
      <c r="E1099" s="91" t="s">
        <v>1071</v>
      </c>
      <c r="F1099" s="91">
        <v>52</v>
      </c>
      <c r="G1099" s="94">
        <f t="shared" si="158"/>
        <v>5.1999999999999998E-2</v>
      </c>
      <c r="H1099" s="92" t="s">
        <v>46</v>
      </c>
      <c r="I1099" s="96">
        <f t="shared" si="153"/>
        <v>0.3</v>
      </c>
      <c r="J1099" s="96">
        <f t="shared" si="154"/>
        <v>0.7</v>
      </c>
      <c r="K1099" s="92">
        <f>VLOOKUP(H1099,'Taux émission CO2e'!$A$5:$D$16,4,FALSE)</f>
        <v>0.16</v>
      </c>
      <c r="L1099" s="93">
        <f t="shared" si="159"/>
        <v>1.436088576</v>
      </c>
      <c r="M1099" s="92">
        <f>VLOOKUP(H1099,'Taux émission CO2e'!$A$20:$D$31,4,FALSE)</f>
        <v>6.7400000000000002E-2</v>
      </c>
      <c r="N1099" s="105">
        <f t="shared" si="160"/>
        <v>1.41155539616</v>
      </c>
      <c r="O1099" s="93">
        <f t="shared" si="161"/>
        <v>2.8476439721600002</v>
      </c>
      <c r="P1099" s="92">
        <v>155</v>
      </c>
      <c r="Q1099" s="92" t="s">
        <v>58</v>
      </c>
      <c r="R1099" s="92" t="s">
        <v>495</v>
      </c>
      <c r="S1099" s="20">
        <v>575.35599999999999</v>
      </c>
    </row>
    <row r="1100" spans="1:19" x14ac:dyDescent="0.15">
      <c r="A1100" s="90">
        <v>44739</v>
      </c>
      <c r="B1100" s="90" t="str">
        <f t="shared" si="155"/>
        <v>juin</v>
      </c>
      <c r="C1100" s="90" t="str">
        <f t="shared" si="156"/>
        <v>2022</v>
      </c>
      <c r="D1100" s="90" t="str">
        <f t="shared" si="157"/>
        <v>juin2022</v>
      </c>
      <c r="E1100" s="91" t="s">
        <v>1072</v>
      </c>
      <c r="F1100" s="91">
        <v>150</v>
      </c>
      <c r="G1100" s="94">
        <f t="shared" si="158"/>
        <v>0.15</v>
      </c>
      <c r="H1100" s="92" t="s">
        <v>45</v>
      </c>
      <c r="I1100" s="96">
        <f t="shared" si="153"/>
        <v>0.3</v>
      </c>
      <c r="J1100" s="96">
        <f t="shared" si="154"/>
        <v>0.7</v>
      </c>
      <c r="K1100" s="92">
        <f>VLOOKUP(H1100,'Taux émission CO2e'!$A$5:$D$16,4,FALSE)</f>
        <v>0.16</v>
      </c>
      <c r="L1100" s="93">
        <f t="shared" si="159"/>
        <v>1.8302616</v>
      </c>
      <c r="M1100" s="92">
        <f>VLOOKUP(H1100,'Taux émission CO2e'!$A$20:$D$31,4,FALSE)</f>
        <v>6.7400000000000002E-2</v>
      </c>
      <c r="N1100" s="105">
        <f t="shared" si="160"/>
        <v>1.798994631</v>
      </c>
      <c r="O1100" s="93">
        <f t="shared" si="161"/>
        <v>3.6292562310000003</v>
      </c>
      <c r="P1100" s="92">
        <v>158</v>
      </c>
      <c r="Q1100" s="92" t="s">
        <v>871</v>
      </c>
      <c r="R1100" s="92" t="s">
        <v>55</v>
      </c>
      <c r="S1100" s="20">
        <v>254.203</v>
      </c>
    </row>
    <row r="1101" spans="1:19" x14ac:dyDescent="0.15">
      <c r="A1101" s="90">
        <v>44739</v>
      </c>
      <c r="B1101" s="90" t="str">
        <f t="shared" si="155"/>
        <v>juin</v>
      </c>
      <c r="C1101" s="90" t="str">
        <f t="shared" si="156"/>
        <v>2022</v>
      </c>
      <c r="D1101" s="90" t="str">
        <f t="shared" si="157"/>
        <v>juin2022</v>
      </c>
      <c r="E1101" s="91" t="s">
        <v>1073</v>
      </c>
      <c r="F1101" s="91">
        <v>227</v>
      </c>
      <c r="G1101" s="94">
        <f t="shared" si="158"/>
        <v>0.22700000000000001</v>
      </c>
      <c r="H1101" s="92" t="s">
        <v>46</v>
      </c>
      <c r="I1101" s="96">
        <f t="shared" si="153"/>
        <v>0.3</v>
      </c>
      <c r="J1101" s="96">
        <f t="shared" si="154"/>
        <v>0.7</v>
      </c>
      <c r="K1101" s="92">
        <f>VLOOKUP(H1101,'Taux émission CO2e'!$A$5:$D$16,4,FALSE)</f>
        <v>0.16</v>
      </c>
      <c r="L1101" s="93">
        <f t="shared" si="159"/>
        <v>3.9238239360000002</v>
      </c>
      <c r="M1101" s="92">
        <f>VLOOKUP(H1101,'Taux émission CO2e'!$A$20:$D$31,4,FALSE)</f>
        <v>6.7400000000000002E-2</v>
      </c>
      <c r="N1101" s="105">
        <f t="shared" si="160"/>
        <v>3.8567919437599998</v>
      </c>
      <c r="O1101" s="93">
        <f t="shared" si="161"/>
        <v>7.78061587976</v>
      </c>
      <c r="P1101" s="92">
        <v>250</v>
      </c>
      <c r="Q1101" s="92" t="s">
        <v>58</v>
      </c>
      <c r="R1101" s="92" t="s">
        <v>881</v>
      </c>
      <c r="S1101" s="20">
        <v>360.11599999999999</v>
      </c>
    </row>
    <row r="1102" spans="1:19" x14ac:dyDescent="0.15">
      <c r="A1102" s="90">
        <v>44739</v>
      </c>
      <c r="B1102" s="90" t="str">
        <f t="shared" si="155"/>
        <v>juin</v>
      </c>
      <c r="C1102" s="90" t="str">
        <f t="shared" si="156"/>
        <v>2022</v>
      </c>
      <c r="D1102" s="90" t="str">
        <f t="shared" si="157"/>
        <v>juin2022</v>
      </c>
      <c r="E1102" s="91" t="s">
        <v>1074</v>
      </c>
      <c r="F1102" s="91">
        <v>300</v>
      </c>
      <c r="G1102" s="94">
        <f t="shared" si="158"/>
        <v>0.3</v>
      </c>
      <c r="H1102" s="92" t="s">
        <v>45</v>
      </c>
      <c r="I1102" s="96">
        <f t="shared" si="153"/>
        <v>0.3</v>
      </c>
      <c r="J1102" s="96">
        <f t="shared" si="154"/>
        <v>0.7</v>
      </c>
      <c r="K1102" s="92">
        <f>VLOOKUP(H1102,'Taux émission CO2e'!$A$5:$D$16,4,FALSE)</f>
        <v>0.16</v>
      </c>
      <c r="L1102" s="93">
        <f t="shared" si="159"/>
        <v>11.0469168</v>
      </c>
      <c r="M1102" s="92">
        <f>VLOOKUP(H1102,'Taux émission CO2e'!$A$20:$D$31,4,FALSE)</f>
        <v>6.7400000000000002E-2</v>
      </c>
      <c r="N1102" s="105">
        <f t="shared" si="160"/>
        <v>10.858198638000001</v>
      </c>
      <c r="O1102" s="93">
        <f t="shared" si="161"/>
        <v>21.905115438000003</v>
      </c>
      <c r="P1102" s="92">
        <v>250</v>
      </c>
      <c r="Q1102" s="92" t="s">
        <v>635</v>
      </c>
      <c r="R1102" s="92" t="s">
        <v>55</v>
      </c>
      <c r="S1102" s="20">
        <v>767.14700000000005</v>
      </c>
    </row>
    <row r="1103" spans="1:19" x14ac:dyDescent="0.15">
      <c r="A1103" s="90">
        <v>44739</v>
      </c>
      <c r="B1103" s="90" t="str">
        <f t="shared" si="155"/>
        <v>juin</v>
      </c>
      <c r="C1103" s="90" t="str">
        <f t="shared" si="156"/>
        <v>2022</v>
      </c>
      <c r="D1103" s="90" t="str">
        <f t="shared" si="157"/>
        <v>juin2022</v>
      </c>
      <c r="E1103" s="91" t="s">
        <v>1075</v>
      </c>
      <c r="F1103" s="91">
        <v>201</v>
      </c>
      <c r="G1103" s="94">
        <f t="shared" si="158"/>
        <v>0.20100000000000001</v>
      </c>
      <c r="H1103" s="92" t="s">
        <v>46</v>
      </c>
      <c r="I1103" s="96">
        <f t="shared" si="153"/>
        <v>0.3</v>
      </c>
      <c r="J1103" s="96">
        <f t="shared" si="154"/>
        <v>0.7</v>
      </c>
      <c r="K1103" s="92">
        <f>VLOOKUP(H1103,'Taux émission CO2e'!$A$5:$D$16,4,FALSE)</f>
        <v>0.16</v>
      </c>
      <c r="L1103" s="93">
        <f t="shared" si="159"/>
        <v>3.6706298400000001</v>
      </c>
      <c r="M1103" s="92">
        <f>VLOOKUP(H1103,'Taux émission CO2e'!$A$20:$D$31,4,FALSE)</f>
        <v>6.7400000000000002E-2</v>
      </c>
      <c r="N1103" s="105">
        <f t="shared" si="160"/>
        <v>3.6079232469</v>
      </c>
      <c r="O1103" s="93">
        <f t="shared" si="161"/>
        <v>7.2785530869000006</v>
      </c>
      <c r="P1103" s="92">
        <v>261</v>
      </c>
      <c r="Q1103" s="92" t="s">
        <v>58</v>
      </c>
      <c r="R1103" s="92" t="s">
        <v>83</v>
      </c>
      <c r="S1103" s="20">
        <v>380.45499999999998</v>
      </c>
    </row>
    <row r="1104" spans="1:19" x14ac:dyDescent="0.15">
      <c r="A1104" s="90">
        <v>44739</v>
      </c>
      <c r="B1104" s="90" t="str">
        <f t="shared" si="155"/>
        <v>juin</v>
      </c>
      <c r="C1104" s="90" t="str">
        <f t="shared" si="156"/>
        <v>2022</v>
      </c>
      <c r="D1104" s="90" t="str">
        <f t="shared" si="157"/>
        <v>juin2022</v>
      </c>
      <c r="E1104" s="91" t="s">
        <v>1076</v>
      </c>
      <c r="F1104" s="91">
        <v>450</v>
      </c>
      <c r="G1104" s="94">
        <f t="shared" si="158"/>
        <v>0.45</v>
      </c>
      <c r="H1104" s="92" t="s">
        <v>46</v>
      </c>
      <c r="I1104" s="96">
        <f t="shared" si="153"/>
        <v>0.3</v>
      </c>
      <c r="J1104" s="96">
        <f t="shared" si="154"/>
        <v>0.7</v>
      </c>
      <c r="K1104" s="92">
        <f>VLOOKUP(H1104,'Taux émission CO2e'!$A$5:$D$16,4,FALSE)</f>
        <v>0.16</v>
      </c>
      <c r="L1104" s="93">
        <f t="shared" si="159"/>
        <v>9.8510472</v>
      </c>
      <c r="M1104" s="92">
        <f>VLOOKUP(H1104,'Taux émission CO2e'!$A$20:$D$31,4,FALSE)</f>
        <v>6.7400000000000002E-2</v>
      </c>
      <c r="N1104" s="105">
        <f t="shared" si="160"/>
        <v>9.6827584770000001</v>
      </c>
      <c r="O1104" s="93">
        <f t="shared" si="161"/>
        <v>19.533805677</v>
      </c>
      <c r="P1104" s="92">
        <v>280</v>
      </c>
      <c r="Q1104" s="92" t="s">
        <v>570</v>
      </c>
      <c r="R1104" s="92" t="s">
        <v>55</v>
      </c>
      <c r="S1104" s="20">
        <v>456.06700000000001</v>
      </c>
    </row>
    <row r="1105" spans="1:19" x14ac:dyDescent="0.15">
      <c r="A1105" s="90">
        <v>44739</v>
      </c>
      <c r="B1105" s="90" t="str">
        <f t="shared" si="155"/>
        <v>juin</v>
      </c>
      <c r="C1105" s="90" t="str">
        <f t="shared" si="156"/>
        <v>2022</v>
      </c>
      <c r="D1105" s="90" t="str">
        <f t="shared" si="157"/>
        <v>juin2022</v>
      </c>
      <c r="E1105" s="91" t="s">
        <v>1077</v>
      </c>
      <c r="F1105" s="91">
        <v>450</v>
      </c>
      <c r="G1105" s="94">
        <f t="shared" si="158"/>
        <v>0.45</v>
      </c>
      <c r="H1105" s="92" t="s">
        <v>46</v>
      </c>
      <c r="I1105" s="96">
        <f t="shared" si="153"/>
        <v>0.3</v>
      </c>
      <c r="J1105" s="96">
        <f t="shared" si="154"/>
        <v>0.7</v>
      </c>
      <c r="K1105" s="92">
        <f>VLOOKUP(H1105,'Taux émission CO2e'!$A$5:$D$16,4,FALSE)</f>
        <v>0.16</v>
      </c>
      <c r="L1105" s="93">
        <f t="shared" si="159"/>
        <v>8.2206576000000009</v>
      </c>
      <c r="M1105" s="92">
        <f>VLOOKUP(H1105,'Taux émission CO2e'!$A$20:$D$31,4,FALSE)</f>
        <v>6.7400000000000002E-2</v>
      </c>
      <c r="N1105" s="105">
        <f t="shared" si="160"/>
        <v>8.080221366</v>
      </c>
      <c r="O1105" s="93">
        <f t="shared" si="161"/>
        <v>16.300878965999999</v>
      </c>
      <c r="P1105" s="92">
        <v>300</v>
      </c>
      <c r="Q1105" s="92" t="s">
        <v>91</v>
      </c>
      <c r="R1105" s="92" t="s">
        <v>55</v>
      </c>
      <c r="S1105" s="20">
        <v>380.58600000000001</v>
      </c>
    </row>
    <row r="1106" spans="1:19" x14ac:dyDescent="0.15">
      <c r="A1106" s="90">
        <v>44739</v>
      </c>
      <c r="B1106" s="90" t="str">
        <f t="shared" si="155"/>
        <v>juin</v>
      </c>
      <c r="C1106" s="90" t="str">
        <f t="shared" si="156"/>
        <v>2022</v>
      </c>
      <c r="D1106" s="90" t="str">
        <f t="shared" si="157"/>
        <v>juin2022</v>
      </c>
      <c r="E1106" s="91" t="s">
        <v>1078</v>
      </c>
      <c r="F1106" s="91">
        <v>264</v>
      </c>
      <c r="G1106" s="94">
        <f t="shared" si="158"/>
        <v>0.26400000000000001</v>
      </c>
      <c r="H1106" s="92" t="s">
        <v>46</v>
      </c>
      <c r="I1106" s="96">
        <f t="shared" si="153"/>
        <v>0.3</v>
      </c>
      <c r="J1106" s="96">
        <f t="shared" si="154"/>
        <v>0.7</v>
      </c>
      <c r="K1106" s="92">
        <f>VLOOKUP(H1106,'Taux émission CO2e'!$A$5:$D$16,4,FALSE)</f>
        <v>0.16</v>
      </c>
      <c r="L1106" s="93">
        <f t="shared" si="159"/>
        <v>6.8303854080000006</v>
      </c>
      <c r="M1106" s="92">
        <f>VLOOKUP(H1106,'Taux émission CO2e'!$A$20:$D$31,4,FALSE)</f>
        <v>6.7400000000000002E-2</v>
      </c>
      <c r="N1106" s="105">
        <f t="shared" si="160"/>
        <v>6.7136996572800012</v>
      </c>
      <c r="O1106" s="93">
        <f t="shared" si="161"/>
        <v>13.544085065280001</v>
      </c>
      <c r="P1106" s="92">
        <v>320</v>
      </c>
      <c r="Q1106" s="92" t="s">
        <v>58</v>
      </c>
      <c r="R1106" s="92" t="s">
        <v>405</v>
      </c>
      <c r="S1106" s="20">
        <v>539.01400000000001</v>
      </c>
    </row>
    <row r="1107" spans="1:19" x14ac:dyDescent="0.15">
      <c r="A1107" s="90">
        <v>44739</v>
      </c>
      <c r="B1107" s="90" t="str">
        <f t="shared" si="155"/>
        <v>juin</v>
      </c>
      <c r="C1107" s="90" t="str">
        <f t="shared" si="156"/>
        <v>2022</v>
      </c>
      <c r="D1107" s="90" t="str">
        <f t="shared" si="157"/>
        <v>juin2022</v>
      </c>
      <c r="E1107" s="91" t="s">
        <v>1079</v>
      </c>
      <c r="F1107" s="91">
        <v>750</v>
      </c>
      <c r="G1107" s="94">
        <f t="shared" si="158"/>
        <v>0.75</v>
      </c>
      <c r="H1107" s="92" t="s">
        <v>45</v>
      </c>
      <c r="I1107" s="96">
        <f t="shared" si="153"/>
        <v>0.3</v>
      </c>
      <c r="J1107" s="96">
        <f t="shared" si="154"/>
        <v>0.7</v>
      </c>
      <c r="K1107" s="92">
        <f>VLOOKUP(H1107,'Taux émission CO2e'!$A$5:$D$16,4,FALSE)</f>
        <v>0.16</v>
      </c>
      <c r="L1107" s="93">
        <f t="shared" si="159"/>
        <v>18.593064000000005</v>
      </c>
      <c r="M1107" s="92">
        <f>VLOOKUP(H1107,'Taux émission CO2e'!$A$20:$D$31,4,FALSE)</f>
        <v>6.7400000000000002E-2</v>
      </c>
      <c r="N1107" s="105">
        <f t="shared" si="160"/>
        <v>18.27543249</v>
      </c>
      <c r="O1107" s="93">
        <f t="shared" si="161"/>
        <v>36.868496490000005</v>
      </c>
      <c r="P1107" s="92">
        <v>450</v>
      </c>
      <c r="Q1107" s="92" t="s">
        <v>52</v>
      </c>
      <c r="R1107" s="92" t="s">
        <v>55</v>
      </c>
      <c r="S1107" s="20">
        <v>516.47400000000005</v>
      </c>
    </row>
    <row r="1108" spans="1:19" x14ac:dyDescent="0.15">
      <c r="A1108" s="90">
        <v>44739</v>
      </c>
      <c r="B1108" s="90" t="str">
        <f t="shared" si="155"/>
        <v>juin</v>
      </c>
      <c r="C1108" s="90" t="str">
        <f t="shared" si="156"/>
        <v>2022</v>
      </c>
      <c r="D1108" s="90" t="str">
        <f t="shared" si="157"/>
        <v>juin2022</v>
      </c>
      <c r="E1108" s="91" t="s">
        <v>1080</v>
      </c>
      <c r="F1108" s="91">
        <v>750</v>
      </c>
      <c r="G1108" s="94">
        <f t="shared" si="158"/>
        <v>0.75</v>
      </c>
      <c r="H1108" s="92" t="s">
        <v>46</v>
      </c>
      <c r="I1108" s="96">
        <f t="shared" si="153"/>
        <v>0.3</v>
      </c>
      <c r="J1108" s="96">
        <f t="shared" si="154"/>
        <v>0.7</v>
      </c>
      <c r="K1108" s="92">
        <f>VLOOKUP(H1108,'Taux émission CO2e'!$A$5:$D$16,4,FALSE)</f>
        <v>0.16</v>
      </c>
      <c r="L1108" s="93">
        <f t="shared" si="159"/>
        <v>26.643528</v>
      </c>
      <c r="M1108" s="92">
        <f>VLOOKUP(H1108,'Taux émission CO2e'!$A$20:$D$31,4,FALSE)</f>
        <v>6.7400000000000002E-2</v>
      </c>
      <c r="N1108" s="105">
        <f t="shared" si="160"/>
        <v>26.18836773</v>
      </c>
      <c r="O1108" s="93">
        <f t="shared" si="161"/>
        <v>52.831895729999999</v>
      </c>
      <c r="P1108" s="92">
        <v>470</v>
      </c>
      <c r="Q1108" s="92" t="s">
        <v>473</v>
      </c>
      <c r="R1108" s="92" t="s">
        <v>55</v>
      </c>
      <c r="S1108" s="20">
        <v>740.09799999999996</v>
      </c>
    </row>
    <row r="1109" spans="1:19" x14ac:dyDescent="0.15">
      <c r="A1109" s="90">
        <v>44740</v>
      </c>
      <c r="B1109" s="90" t="str">
        <f t="shared" si="155"/>
        <v>juin</v>
      </c>
      <c r="C1109" s="90" t="str">
        <f t="shared" si="156"/>
        <v>2022</v>
      </c>
      <c r="D1109" s="90" t="str">
        <f t="shared" si="157"/>
        <v>juin2022</v>
      </c>
      <c r="E1109" s="91" t="s">
        <v>1081</v>
      </c>
      <c r="F1109" s="91">
        <v>151</v>
      </c>
      <c r="G1109" s="94">
        <f t="shared" si="158"/>
        <v>0.151</v>
      </c>
      <c r="H1109" s="92" t="s">
        <v>38</v>
      </c>
      <c r="I1109" s="96">
        <f t="shared" si="153"/>
        <v>1</v>
      </c>
      <c r="J1109" s="96">
        <f t="shared" si="154"/>
        <v>0</v>
      </c>
      <c r="K1109" s="92">
        <f>VLOOKUP(H1109,'Taux émission CO2e'!$A$5:$D$16,4,FALSE)</f>
        <v>0.24099999999999999</v>
      </c>
      <c r="L1109" s="93">
        <f t="shared" si="159"/>
        <v>1.2404236259999999</v>
      </c>
      <c r="M1109" s="92">
        <f>VLOOKUP(H1109,'Taux émission CO2e'!$A$20:$D$31,4,FALSE)</f>
        <v>0</v>
      </c>
      <c r="N1109" s="105">
        <f t="shared" si="160"/>
        <v>0</v>
      </c>
      <c r="O1109" s="93">
        <f t="shared" si="161"/>
        <v>1.2404236259999999</v>
      </c>
      <c r="P1109" s="92">
        <v>80</v>
      </c>
      <c r="Q1109" s="92" t="s">
        <v>58</v>
      </c>
      <c r="R1109" s="92" t="s">
        <v>98</v>
      </c>
      <c r="S1109" s="20">
        <v>34.085999999999999</v>
      </c>
    </row>
    <row r="1110" spans="1:19" x14ac:dyDescent="0.15">
      <c r="A1110" s="90">
        <v>44740</v>
      </c>
      <c r="B1110" s="90" t="str">
        <f t="shared" si="155"/>
        <v>juin</v>
      </c>
      <c r="C1110" s="90" t="str">
        <f t="shared" si="156"/>
        <v>2022</v>
      </c>
      <c r="D1110" s="90" t="str">
        <f t="shared" si="157"/>
        <v>juin2022</v>
      </c>
      <c r="E1110" s="91" t="s">
        <v>1082</v>
      </c>
      <c r="F1110" s="91">
        <v>150</v>
      </c>
      <c r="G1110" s="94">
        <f t="shared" si="158"/>
        <v>0.15</v>
      </c>
      <c r="H1110" s="92" t="s">
        <v>45</v>
      </c>
      <c r="I1110" s="96">
        <f t="shared" si="153"/>
        <v>0.3</v>
      </c>
      <c r="J1110" s="96">
        <f t="shared" si="154"/>
        <v>0.7</v>
      </c>
      <c r="K1110" s="92">
        <f>VLOOKUP(H1110,'Taux émission CO2e'!$A$5:$D$16,4,FALSE)</f>
        <v>0.16</v>
      </c>
      <c r="L1110" s="93">
        <f t="shared" si="159"/>
        <v>0.33504479999999998</v>
      </c>
      <c r="M1110" s="92">
        <f>VLOOKUP(H1110,'Taux émission CO2e'!$A$20:$D$31,4,FALSE)</f>
        <v>6.7400000000000002E-2</v>
      </c>
      <c r="N1110" s="105">
        <f t="shared" si="160"/>
        <v>0.32932111799999997</v>
      </c>
      <c r="O1110" s="93">
        <f t="shared" si="161"/>
        <v>0.66436591799999989</v>
      </c>
      <c r="P1110" s="92">
        <v>90</v>
      </c>
      <c r="Q1110" s="92" t="s">
        <v>816</v>
      </c>
      <c r="R1110" s="92" t="s">
        <v>55</v>
      </c>
      <c r="S1110" s="20">
        <v>46.533999999999999</v>
      </c>
    </row>
    <row r="1111" spans="1:19" x14ac:dyDescent="0.15">
      <c r="A1111" s="90">
        <v>44740</v>
      </c>
      <c r="B1111" s="90" t="str">
        <f t="shared" si="155"/>
        <v>juin</v>
      </c>
      <c r="C1111" s="90" t="str">
        <f t="shared" si="156"/>
        <v>2022</v>
      </c>
      <c r="D1111" s="90" t="str">
        <f t="shared" si="157"/>
        <v>juin2022</v>
      </c>
      <c r="E1111" s="91" t="s">
        <v>1083</v>
      </c>
      <c r="F1111" s="91">
        <v>300</v>
      </c>
      <c r="G1111" s="94">
        <f t="shared" si="158"/>
        <v>0.3</v>
      </c>
      <c r="H1111" s="92" t="s">
        <v>38</v>
      </c>
      <c r="I1111" s="96">
        <f t="shared" si="153"/>
        <v>1</v>
      </c>
      <c r="J1111" s="96">
        <f t="shared" si="154"/>
        <v>0</v>
      </c>
      <c r="K1111" s="92">
        <f>VLOOKUP(H1111,'Taux émission CO2e'!$A$5:$D$16,4,FALSE)</f>
        <v>0.24099999999999999</v>
      </c>
      <c r="L1111" s="93">
        <f t="shared" si="159"/>
        <v>2.4575492999999997</v>
      </c>
      <c r="M1111" s="92">
        <f>VLOOKUP(H1111,'Taux émission CO2e'!$A$20:$D$31,4,FALSE)</f>
        <v>0</v>
      </c>
      <c r="N1111" s="105">
        <f t="shared" si="160"/>
        <v>0</v>
      </c>
      <c r="O1111" s="93">
        <f t="shared" si="161"/>
        <v>2.4575492999999997</v>
      </c>
      <c r="P1111" s="92">
        <v>100</v>
      </c>
      <c r="Q1111" s="92" t="s">
        <v>67</v>
      </c>
      <c r="R1111" s="92" t="s">
        <v>55</v>
      </c>
      <c r="S1111" s="20">
        <v>33.991</v>
      </c>
    </row>
    <row r="1112" spans="1:19" x14ac:dyDescent="0.15">
      <c r="A1112" s="90">
        <v>44740</v>
      </c>
      <c r="B1112" s="90" t="str">
        <f t="shared" si="155"/>
        <v>juin</v>
      </c>
      <c r="C1112" s="90" t="str">
        <f t="shared" si="156"/>
        <v>2022</v>
      </c>
      <c r="D1112" s="90" t="str">
        <f t="shared" si="157"/>
        <v>juin2022</v>
      </c>
      <c r="E1112" s="91" t="s">
        <v>1084</v>
      </c>
      <c r="F1112" s="91">
        <v>152</v>
      </c>
      <c r="G1112" s="94">
        <f t="shared" si="158"/>
        <v>0.152</v>
      </c>
      <c r="H1112" s="92" t="s">
        <v>45</v>
      </c>
      <c r="I1112" s="96">
        <f t="shared" si="153"/>
        <v>0.3</v>
      </c>
      <c r="J1112" s="96">
        <f t="shared" si="154"/>
        <v>0.7</v>
      </c>
      <c r="K1112" s="92">
        <f>VLOOKUP(H1112,'Taux émission CO2e'!$A$5:$D$16,4,FALSE)</f>
        <v>0.16</v>
      </c>
      <c r="L1112" s="93">
        <f t="shared" si="159"/>
        <v>1.8282243840000001</v>
      </c>
      <c r="M1112" s="92">
        <f>VLOOKUP(H1112,'Taux émission CO2e'!$A$20:$D$31,4,FALSE)</f>
        <v>6.7400000000000002E-2</v>
      </c>
      <c r="N1112" s="105">
        <f t="shared" si="160"/>
        <v>1.7969922174399999</v>
      </c>
      <c r="O1112" s="93">
        <f t="shared" si="161"/>
        <v>3.62521660144</v>
      </c>
      <c r="P1112" s="92">
        <v>100</v>
      </c>
      <c r="Q1112" s="92" t="s">
        <v>58</v>
      </c>
      <c r="R1112" s="92" t="s">
        <v>79</v>
      </c>
      <c r="S1112" s="20">
        <v>250.57900000000001</v>
      </c>
    </row>
    <row r="1113" spans="1:19" x14ac:dyDescent="0.15">
      <c r="A1113" s="90">
        <v>44740</v>
      </c>
      <c r="B1113" s="90" t="str">
        <f t="shared" si="155"/>
        <v>juin</v>
      </c>
      <c r="C1113" s="90" t="str">
        <f t="shared" si="156"/>
        <v>2022</v>
      </c>
      <c r="D1113" s="90" t="str">
        <f t="shared" si="157"/>
        <v>juin2022</v>
      </c>
      <c r="E1113" s="91" t="s">
        <v>1085</v>
      </c>
      <c r="F1113" s="91">
        <v>187</v>
      </c>
      <c r="G1113" s="94">
        <f t="shared" si="158"/>
        <v>0.187</v>
      </c>
      <c r="H1113" s="92" t="s">
        <v>46</v>
      </c>
      <c r="I1113" s="96">
        <f t="shared" si="153"/>
        <v>0.3</v>
      </c>
      <c r="J1113" s="96">
        <f t="shared" si="154"/>
        <v>0.7</v>
      </c>
      <c r="K1113" s="92">
        <f>VLOOKUP(H1113,'Taux émission CO2e'!$A$5:$D$16,4,FALSE)</f>
        <v>0.16</v>
      </c>
      <c r="L1113" s="93">
        <f t="shared" si="159"/>
        <v>1.5023131199999999</v>
      </c>
      <c r="M1113" s="92">
        <f>VLOOKUP(H1113,'Taux émission CO2e'!$A$20:$D$31,4,FALSE)</f>
        <v>6.7400000000000002E-2</v>
      </c>
      <c r="N1113" s="105">
        <f t="shared" si="160"/>
        <v>1.4766486042</v>
      </c>
      <c r="O1113" s="93">
        <f t="shared" si="161"/>
        <v>2.9789617241999999</v>
      </c>
      <c r="P1113" s="92">
        <v>108</v>
      </c>
      <c r="Q1113" s="92" t="s">
        <v>58</v>
      </c>
      <c r="R1113" s="92" t="s">
        <v>112</v>
      </c>
      <c r="S1113" s="20">
        <v>167.37</v>
      </c>
    </row>
    <row r="1114" spans="1:19" x14ac:dyDescent="0.15">
      <c r="A1114" s="90">
        <v>44740</v>
      </c>
      <c r="B1114" s="90" t="str">
        <f t="shared" si="155"/>
        <v>juin</v>
      </c>
      <c r="C1114" s="90" t="str">
        <f t="shared" si="156"/>
        <v>2022</v>
      </c>
      <c r="D1114" s="90" t="str">
        <f t="shared" si="157"/>
        <v>juin2022</v>
      </c>
      <c r="E1114" s="91" t="s">
        <v>1086</v>
      </c>
      <c r="F1114" s="91">
        <v>150</v>
      </c>
      <c r="G1114" s="94">
        <f t="shared" si="158"/>
        <v>0.15</v>
      </c>
      <c r="H1114" s="92" t="s">
        <v>45</v>
      </c>
      <c r="I1114" s="96">
        <f t="shared" si="153"/>
        <v>0.3</v>
      </c>
      <c r="J1114" s="96">
        <f t="shared" si="154"/>
        <v>0.7</v>
      </c>
      <c r="K1114" s="92">
        <f>VLOOKUP(H1114,'Taux émission CO2e'!$A$5:$D$16,4,FALSE)</f>
        <v>0.16</v>
      </c>
      <c r="L1114" s="93">
        <f t="shared" si="159"/>
        <v>5.4150624000000001</v>
      </c>
      <c r="M1114" s="92">
        <f>VLOOKUP(H1114,'Taux émission CO2e'!$A$20:$D$31,4,FALSE)</f>
        <v>6.7400000000000002E-2</v>
      </c>
      <c r="N1114" s="105">
        <f t="shared" si="160"/>
        <v>5.3225550840000002</v>
      </c>
      <c r="O1114" s="93">
        <f t="shared" si="161"/>
        <v>10.737617484000001</v>
      </c>
      <c r="P1114" s="92">
        <v>165</v>
      </c>
      <c r="Q1114" s="92" t="s">
        <v>73</v>
      </c>
      <c r="R1114" s="92" t="s">
        <v>55</v>
      </c>
      <c r="S1114" s="20">
        <v>752.09199999999998</v>
      </c>
    </row>
    <row r="1115" spans="1:19" x14ac:dyDescent="0.15">
      <c r="A1115" s="90">
        <v>44740</v>
      </c>
      <c r="B1115" s="90" t="str">
        <f t="shared" si="155"/>
        <v>juin</v>
      </c>
      <c r="C1115" s="90" t="str">
        <f t="shared" si="156"/>
        <v>2022</v>
      </c>
      <c r="D1115" s="90" t="str">
        <f t="shared" si="157"/>
        <v>juin2022</v>
      </c>
      <c r="E1115" s="91" t="s">
        <v>1087</v>
      </c>
      <c r="F1115" s="91">
        <v>604</v>
      </c>
      <c r="G1115" s="94">
        <f t="shared" si="158"/>
        <v>0.60399999999999998</v>
      </c>
      <c r="H1115" s="92" t="s">
        <v>45</v>
      </c>
      <c r="I1115" s="96">
        <f t="shared" si="153"/>
        <v>0.3</v>
      </c>
      <c r="J1115" s="96">
        <f t="shared" si="154"/>
        <v>0.7</v>
      </c>
      <c r="K1115" s="92">
        <f>VLOOKUP(H1115,'Taux émission CO2e'!$A$5:$D$16,4,FALSE)</f>
        <v>0.16</v>
      </c>
      <c r="L1115" s="93">
        <f t="shared" si="159"/>
        <v>5.4673983360000005</v>
      </c>
      <c r="M1115" s="92">
        <f>VLOOKUP(H1115,'Taux émission CO2e'!$A$20:$D$31,4,FALSE)</f>
        <v>6.7400000000000002E-2</v>
      </c>
      <c r="N1115" s="105">
        <f t="shared" si="160"/>
        <v>5.3739969477600003</v>
      </c>
      <c r="O1115" s="93">
        <f t="shared" si="161"/>
        <v>10.841395283760001</v>
      </c>
      <c r="P1115" s="92">
        <v>250</v>
      </c>
      <c r="Q1115" s="92" t="s">
        <v>58</v>
      </c>
      <c r="R1115" s="92" t="s">
        <v>531</v>
      </c>
      <c r="S1115" s="20">
        <v>188.583</v>
      </c>
    </row>
    <row r="1116" spans="1:19" x14ac:dyDescent="0.15">
      <c r="A1116" s="90">
        <v>44740</v>
      </c>
      <c r="B1116" s="90" t="str">
        <f t="shared" si="155"/>
        <v>juin</v>
      </c>
      <c r="C1116" s="90" t="str">
        <f t="shared" si="156"/>
        <v>2022</v>
      </c>
      <c r="D1116" s="90" t="str">
        <f t="shared" si="157"/>
        <v>juin2022</v>
      </c>
      <c r="E1116" s="91" t="s">
        <v>1088</v>
      </c>
      <c r="F1116" s="91">
        <v>406</v>
      </c>
      <c r="G1116" s="94">
        <f t="shared" si="158"/>
        <v>0.40600000000000003</v>
      </c>
      <c r="H1116" s="92" t="s">
        <v>46</v>
      </c>
      <c r="I1116" s="96">
        <f t="shared" si="153"/>
        <v>0.3</v>
      </c>
      <c r="J1116" s="96">
        <f t="shared" si="154"/>
        <v>0.7</v>
      </c>
      <c r="K1116" s="92">
        <f>VLOOKUP(H1116,'Taux émission CO2e'!$A$5:$D$16,4,FALSE)</f>
        <v>0.16</v>
      </c>
      <c r="L1116" s="93">
        <f t="shared" si="159"/>
        <v>10.54651584</v>
      </c>
      <c r="M1116" s="92">
        <f>VLOOKUP(H1116,'Taux émission CO2e'!$A$20:$D$31,4,FALSE)</f>
        <v>6.7400000000000002E-2</v>
      </c>
      <c r="N1116" s="105">
        <f t="shared" si="160"/>
        <v>10.3663461944</v>
      </c>
      <c r="O1116" s="93">
        <f t="shared" si="161"/>
        <v>20.9128620344</v>
      </c>
      <c r="P1116" s="92">
        <v>350</v>
      </c>
      <c r="Q1116" s="92" t="s">
        <v>58</v>
      </c>
      <c r="R1116" s="92" t="s">
        <v>65</v>
      </c>
      <c r="S1116" s="20">
        <v>541.17999999999995</v>
      </c>
    </row>
    <row r="1117" spans="1:19" x14ac:dyDescent="0.15">
      <c r="A1117" s="90">
        <v>44741</v>
      </c>
      <c r="B1117" s="90" t="str">
        <f t="shared" si="155"/>
        <v>juin</v>
      </c>
      <c r="C1117" s="90" t="str">
        <f t="shared" si="156"/>
        <v>2022</v>
      </c>
      <c r="D1117" s="90" t="str">
        <f t="shared" si="157"/>
        <v>juin2022</v>
      </c>
      <c r="E1117" s="91" t="s">
        <v>1089</v>
      </c>
      <c r="F1117" s="91">
        <v>150</v>
      </c>
      <c r="G1117" s="94">
        <f t="shared" si="158"/>
        <v>0.15</v>
      </c>
      <c r="H1117" s="92" t="s">
        <v>45</v>
      </c>
      <c r="I1117" s="96">
        <f t="shared" si="153"/>
        <v>0.3</v>
      </c>
      <c r="J1117" s="96">
        <f t="shared" si="154"/>
        <v>0.7</v>
      </c>
      <c r="K1117" s="92">
        <f>VLOOKUP(H1117,'Taux émission CO2e'!$A$5:$D$16,4,FALSE)</f>
        <v>0.16</v>
      </c>
      <c r="L1117" s="93">
        <f t="shared" si="159"/>
        <v>1.9215215999999999</v>
      </c>
      <c r="M1117" s="92">
        <f>VLOOKUP(H1117,'Taux émission CO2e'!$A$20:$D$31,4,FALSE)</f>
        <v>6.7400000000000002E-2</v>
      </c>
      <c r="N1117" s="105">
        <f t="shared" si="160"/>
        <v>1.888695606</v>
      </c>
      <c r="O1117" s="93">
        <f t="shared" si="161"/>
        <v>3.8102172059999999</v>
      </c>
      <c r="P1117" s="92">
        <v>158</v>
      </c>
      <c r="Q1117" s="92" t="s">
        <v>730</v>
      </c>
      <c r="R1117" s="92" t="s">
        <v>55</v>
      </c>
      <c r="S1117" s="20">
        <v>266.87799999999999</v>
      </c>
    </row>
    <row r="1118" spans="1:19" x14ac:dyDescent="0.15">
      <c r="A1118" s="90">
        <v>44741</v>
      </c>
      <c r="B1118" s="90" t="str">
        <f t="shared" si="155"/>
        <v>juin</v>
      </c>
      <c r="C1118" s="90" t="str">
        <f t="shared" si="156"/>
        <v>2022</v>
      </c>
      <c r="D1118" s="90" t="str">
        <f t="shared" si="157"/>
        <v>juin2022</v>
      </c>
      <c r="E1118" s="91" t="s">
        <v>1090</v>
      </c>
      <c r="F1118" s="91">
        <v>150</v>
      </c>
      <c r="G1118" s="94">
        <f t="shared" si="158"/>
        <v>0.15</v>
      </c>
      <c r="H1118" s="92" t="s">
        <v>45</v>
      </c>
      <c r="I1118" s="96">
        <f t="shared" si="153"/>
        <v>0.3</v>
      </c>
      <c r="J1118" s="96">
        <f t="shared" si="154"/>
        <v>0.7</v>
      </c>
      <c r="K1118" s="92">
        <f>VLOOKUP(H1118,'Taux émission CO2e'!$A$5:$D$16,4,FALSE)</f>
        <v>0.16</v>
      </c>
      <c r="L1118" s="93">
        <f t="shared" si="159"/>
        <v>1.8138168000000001</v>
      </c>
      <c r="M1118" s="92">
        <f>VLOOKUP(H1118,'Taux émission CO2e'!$A$20:$D$31,4,FALSE)</f>
        <v>6.7400000000000002E-2</v>
      </c>
      <c r="N1118" s="105">
        <f t="shared" si="160"/>
        <v>1.782830763</v>
      </c>
      <c r="O1118" s="93">
        <f t="shared" si="161"/>
        <v>3.5966475630000003</v>
      </c>
      <c r="P1118" s="92">
        <v>158</v>
      </c>
      <c r="Q1118" s="92" t="s">
        <v>92</v>
      </c>
      <c r="R1118" s="92" t="s">
        <v>55</v>
      </c>
      <c r="S1118" s="20">
        <v>251.91900000000001</v>
      </c>
    </row>
    <row r="1119" spans="1:19" x14ac:dyDescent="0.15">
      <c r="A1119" s="90">
        <v>44741</v>
      </c>
      <c r="B1119" s="90" t="str">
        <f t="shared" si="155"/>
        <v>juin</v>
      </c>
      <c r="C1119" s="90" t="str">
        <f t="shared" si="156"/>
        <v>2022</v>
      </c>
      <c r="D1119" s="90" t="str">
        <f t="shared" si="157"/>
        <v>juin2022</v>
      </c>
      <c r="E1119" s="91" t="s">
        <v>1091</v>
      </c>
      <c r="F1119" s="91">
        <v>300</v>
      </c>
      <c r="G1119" s="94">
        <f t="shared" si="158"/>
        <v>0.3</v>
      </c>
      <c r="H1119" s="92" t="s">
        <v>45</v>
      </c>
      <c r="I1119" s="96">
        <f t="shared" si="153"/>
        <v>0.3</v>
      </c>
      <c r="J1119" s="96">
        <f t="shared" si="154"/>
        <v>0.7</v>
      </c>
      <c r="K1119" s="92">
        <f>VLOOKUP(H1119,'Taux émission CO2e'!$A$5:$D$16,4,FALSE)</f>
        <v>0.16</v>
      </c>
      <c r="L1119" s="93">
        <f t="shared" si="159"/>
        <v>4.0052879999999993</v>
      </c>
      <c r="M1119" s="92">
        <f>VLOOKUP(H1119,'Taux émission CO2e'!$A$20:$D$31,4,FALSE)</f>
        <v>6.7400000000000002E-2</v>
      </c>
      <c r="N1119" s="105">
        <f t="shared" si="160"/>
        <v>3.9368643299999997</v>
      </c>
      <c r="O1119" s="93">
        <f t="shared" si="161"/>
        <v>7.942152329999999</v>
      </c>
      <c r="P1119" s="92">
        <v>188</v>
      </c>
      <c r="Q1119" s="92" t="s">
        <v>74</v>
      </c>
      <c r="R1119" s="92" t="s">
        <v>55</v>
      </c>
      <c r="S1119" s="20">
        <v>278.14499999999998</v>
      </c>
    </row>
    <row r="1120" spans="1:19" x14ac:dyDescent="0.15">
      <c r="A1120" s="90">
        <v>44741</v>
      </c>
      <c r="B1120" s="90" t="str">
        <f t="shared" si="155"/>
        <v>juin</v>
      </c>
      <c r="C1120" s="90" t="str">
        <f t="shared" si="156"/>
        <v>2022</v>
      </c>
      <c r="D1120" s="90" t="str">
        <f t="shared" si="157"/>
        <v>juin2022</v>
      </c>
      <c r="E1120" s="91" t="s">
        <v>1092</v>
      </c>
      <c r="F1120" s="91">
        <v>300</v>
      </c>
      <c r="G1120" s="94">
        <f t="shared" si="158"/>
        <v>0.3</v>
      </c>
      <c r="H1120" s="92" t="s">
        <v>46</v>
      </c>
      <c r="I1120" s="96">
        <f t="shared" si="153"/>
        <v>0.3</v>
      </c>
      <c r="J1120" s="96">
        <f t="shared" si="154"/>
        <v>0.7</v>
      </c>
      <c r="K1120" s="92">
        <f>VLOOKUP(H1120,'Taux émission CO2e'!$A$5:$D$16,4,FALSE)</f>
        <v>0.16</v>
      </c>
      <c r="L1120" s="93">
        <f t="shared" si="159"/>
        <v>2.4943679999999997</v>
      </c>
      <c r="M1120" s="92">
        <f>VLOOKUP(H1120,'Taux émission CO2e'!$A$20:$D$31,4,FALSE)</f>
        <v>6.7400000000000002E-2</v>
      </c>
      <c r="N1120" s="105">
        <f t="shared" si="160"/>
        <v>2.4517558799999999</v>
      </c>
      <c r="O1120" s="93">
        <f t="shared" si="161"/>
        <v>4.94612388</v>
      </c>
      <c r="P1120" s="92">
        <v>200</v>
      </c>
      <c r="Q1120" s="92" t="s">
        <v>708</v>
      </c>
      <c r="R1120" s="92" t="s">
        <v>55</v>
      </c>
      <c r="S1120" s="20">
        <v>173.22</v>
      </c>
    </row>
    <row r="1121" spans="1:19" x14ac:dyDescent="0.15">
      <c r="A1121" s="90">
        <v>44741</v>
      </c>
      <c r="B1121" s="90" t="str">
        <f t="shared" si="155"/>
        <v>juin</v>
      </c>
      <c r="C1121" s="90" t="str">
        <f t="shared" si="156"/>
        <v>2022</v>
      </c>
      <c r="D1121" s="90" t="str">
        <f t="shared" si="157"/>
        <v>juin2022</v>
      </c>
      <c r="E1121" s="91" t="s">
        <v>1093</v>
      </c>
      <c r="F1121" s="91">
        <v>378</v>
      </c>
      <c r="G1121" s="94">
        <f t="shared" si="158"/>
        <v>0.378</v>
      </c>
      <c r="H1121" s="92" t="s">
        <v>45</v>
      </c>
      <c r="I1121" s="96">
        <f t="shared" si="153"/>
        <v>0.3</v>
      </c>
      <c r="J1121" s="96">
        <f t="shared" si="154"/>
        <v>0.7</v>
      </c>
      <c r="K1121" s="92">
        <f>VLOOKUP(H1121,'Taux émission CO2e'!$A$5:$D$16,4,FALSE)</f>
        <v>0.16</v>
      </c>
      <c r="L1121" s="93">
        <f t="shared" si="159"/>
        <v>5.0929845120000001</v>
      </c>
      <c r="M1121" s="92">
        <f>VLOOKUP(H1121,'Taux émission CO2e'!$A$20:$D$31,4,FALSE)</f>
        <v>6.7400000000000002E-2</v>
      </c>
      <c r="N1121" s="105">
        <f t="shared" si="160"/>
        <v>5.0059793599199995</v>
      </c>
      <c r="O1121" s="93">
        <f t="shared" si="161"/>
        <v>10.098963871919999</v>
      </c>
      <c r="P1121" s="92">
        <v>234</v>
      </c>
      <c r="Q1121" s="92" t="s">
        <v>58</v>
      </c>
      <c r="R1121" s="92" t="s">
        <v>80</v>
      </c>
      <c r="S1121" s="20">
        <v>280.69799999999998</v>
      </c>
    </row>
    <row r="1122" spans="1:19" x14ac:dyDescent="0.15">
      <c r="A1122" s="90">
        <v>44741</v>
      </c>
      <c r="B1122" s="90" t="str">
        <f t="shared" si="155"/>
        <v>juin</v>
      </c>
      <c r="C1122" s="90" t="str">
        <f t="shared" si="156"/>
        <v>2022</v>
      </c>
      <c r="D1122" s="90" t="str">
        <f t="shared" si="157"/>
        <v>juin2022</v>
      </c>
      <c r="E1122" s="91" t="s">
        <v>1094</v>
      </c>
      <c r="F1122" s="91">
        <v>1620</v>
      </c>
      <c r="G1122" s="94">
        <f t="shared" si="158"/>
        <v>1.62</v>
      </c>
      <c r="H1122" s="92" t="s">
        <v>43</v>
      </c>
      <c r="I1122" s="96">
        <f t="shared" si="153"/>
        <v>1</v>
      </c>
      <c r="J1122" s="96">
        <f t="shared" si="154"/>
        <v>0</v>
      </c>
      <c r="K1122" s="92">
        <f>VLOOKUP(H1122,'Taux émission CO2e'!$A$5:$D$16,4,FALSE)</f>
        <v>0.16</v>
      </c>
      <c r="L1122" s="93">
        <f t="shared" si="159"/>
        <v>68.990227200000007</v>
      </c>
      <c r="M1122" s="92">
        <f>VLOOKUP(H1122,'Taux émission CO2e'!$A$20:$D$31,4,FALSE)</f>
        <v>0</v>
      </c>
      <c r="N1122" s="105">
        <f t="shared" si="160"/>
        <v>0</v>
      </c>
      <c r="O1122" s="93">
        <f t="shared" si="161"/>
        <v>68.990227200000007</v>
      </c>
      <c r="P1122" s="92">
        <v>550</v>
      </c>
      <c r="Q1122" s="92" t="s">
        <v>58</v>
      </c>
      <c r="R1122" s="92" t="s">
        <v>53</v>
      </c>
      <c r="S1122" s="20">
        <v>266.166</v>
      </c>
    </row>
    <row r="1123" spans="1:19" x14ac:dyDescent="0.15">
      <c r="A1123" s="90">
        <v>44742</v>
      </c>
      <c r="B1123" s="90" t="str">
        <f t="shared" si="155"/>
        <v>juin</v>
      </c>
      <c r="C1123" s="90" t="str">
        <f t="shared" si="156"/>
        <v>2022</v>
      </c>
      <c r="D1123" s="90" t="str">
        <f t="shared" si="157"/>
        <v>juin2022</v>
      </c>
      <c r="E1123" s="91" t="s">
        <v>1095</v>
      </c>
      <c r="F1123" s="91">
        <v>150</v>
      </c>
      <c r="G1123" s="94">
        <f t="shared" si="158"/>
        <v>0.15</v>
      </c>
      <c r="H1123" s="92" t="s">
        <v>45</v>
      </c>
      <c r="I1123" s="96">
        <f t="shared" si="153"/>
        <v>0.3</v>
      </c>
      <c r="J1123" s="96">
        <f t="shared" si="154"/>
        <v>0.7</v>
      </c>
      <c r="K1123" s="92">
        <f>VLOOKUP(H1123,'Taux émission CO2e'!$A$5:$D$16,4,FALSE)</f>
        <v>0.16</v>
      </c>
      <c r="L1123" s="93">
        <f t="shared" si="159"/>
        <v>3.2002847999999999</v>
      </c>
      <c r="M1123" s="92">
        <f>VLOOKUP(H1123,'Taux émission CO2e'!$A$20:$D$31,4,FALSE)</f>
        <v>6.7400000000000002E-2</v>
      </c>
      <c r="N1123" s="105">
        <f t="shared" si="160"/>
        <v>3.145613268</v>
      </c>
      <c r="O1123" s="93">
        <f t="shared" si="161"/>
        <v>6.3458980680000003</v>
      </c>
      <c r="P1123" s="92">
        <v>130</v>
      </c>
      <c r="Q1123" s="92" t="s">
        <v>1025</v>
      </c>
      <c r="R1123" s="92" t="s">
        <v>55</v>
      </c>
      <c r="S1123" s="20">
        <v>444.48399999999998</v>
      </c>
    </row>
    <row r="1124" spans="1:19" x14ac:dyDescent="0.15">
      <c r="A1124" s="90">
        <v>44742</v>
      </c>
      <c r="B1124" s="90" t="str">
        <f t="shared" si="155"/>
        <v>juin</v>
      </c>
      <c r="C1124" s="90" t="str">
        <f t="shared" si="156"/>
        <v>2022</v>
      </c>
      <c r="D1124" s="90" t="str">
        <f t="shared" si="157"/>
        <v>juin2022</v>
      </c>
      <c r="E1124" s="91" t="s">
        <v>1096</v>
      </c>
      <c r="F1124" s="91">
        <v>150</v>
      </c>
      <c r="G1124" s="94">
        <f t="shared" si="158"/>
        <v>0.15</v>
      </c>
      <c r="H1124" s="92" t="s">
        <v>45</v>
      </c>
      <c r="I1124" s="96">
        <f t="shared" si="153"/>
        <v>0.3</v>
      </c>
      <c r="J1124" s="96">
        <f t="shared" si="154"/>
        <v>0.7</v>
      </c>
      <c r="K1124" s="92">
        <f>VLOOKUP(H1124,'Taux émission CO2e'!$A$5:$D$16,4,FALSE)</f>
        <v>0.16</v>
      </c>
      <c r="L1124" s="93">
        <f t="shared" si="159"/>
        <v>2.9440008</v>
      </c>
      <c r="M1124" s="92">
        <f>VLOOKUP(H1124,'Taux émission CO2e'!$A$20:$D$31,4,FALSE)</f>
        <v>6.7400000000000002E-2</v>
      </c>
      <c r="N1124" s="105">
        <f t="shared" si="160"/>
        <v>2.8937074530000002</v>
      </c>
      <c r="O1124" s="93">
        <f t="shared" si="161"/>
        <v>5.8377082530000006</v>
      </c>
      <c r="P1124" s="92">
        <v>130</v>
      </c>
      <c r="Q1124" s="92" t="s">
        <v>1097</v>
      </c>
      <c r="R1124" s="92" t="s">
        <v>55</v>
      </c>
      <c r="S1124" s="20">
        <v>408.88900000000001</v>
      </c>
    </row>
    <row r="1125" spans="1:19" x14ac:dyDescent="0.15">
      <c r="A1125" s="90">
        <v>44742</v>
      </c>
      <c r="B1125" s="90" t="str">
        <f t="shared" si="155"/>
        <v>juin</v>
      </c>
      <c r="C1125" s="90" t="str">
        <f t="shared" si="156"/>
        <v>2022</v>
      </c>
      <c r="D1125" s="90" t="str">
        <f t="shared" si="157"/>
        <v>juin2022</v>
      </c>
      <c r="E1125" s="91" t="s">
        <v>1098</v>
      </c>
      <c r="F1125" s="91">
        <v>150</v>
      </c>
      <c r="G1125" s="94">
        <f t="shared" si="158"/>
        <v>0.15</v>
      </c>
      <c r="H1125" s="92" t="s">
        <v>45</v>
      </c>
      <c r="I1125" s="96">
        <f t="shared" si="153"/>
        <v>0.3</v>
      </c>
      <c r="J1125" s="96">
        <f t="shared" si="154"/>
        <v>0.7</v>
      </c>
      <c r="K1125" s="92">
        <f>VLOOKUP(H1125,'Taux émission CO2e'!$A$5:$D$16,4,FALSE)</f>
        <v>0.16</v>
      </c>
      <c r="L1125" s="93">
        <f t="shared" si="159"/>
        <v>1.3450607999999999</v>
      </c>
      <c r="M1125" s="92">
        <f>VLOOKUP(H1125,'Taux émission CO2e'!$A$20:$D$31,4,FALSE)</f>
        <v>6.7400000000000002E-2</v>
      </c>
      <c r="N1125" s="105">
        <f t="shared" si="160"/>
        <v>1.3220826779999999</v>
      </c>
      <c r="O1125" s="93">
        <f t="shared" si="161"/>
        <v>2.6671434779999998</v>
      </c>
      <c r="P1125" s="92">
        <v>140</v>
      </c>
      <c r="Q1125" s="92" t="s">
        <v>688</v>
      </c>
      <c r="R1125" s="92" t="s">
        <v>55</v>
      </c>
      <c r="S1125" s="20">
        <v>186.81399999999999</v>
      </c>
    </row>
    <row r="1126" spans="1:19" x14ac:dyDescent="0.15">
      <c r="A1126" s="90">
        <v>44742</v>
      </c>
      <c r="B1126" s="90" t="str">
        <f t="shared" si="155"/>
        <v>juin</v>
      </c>
      <c r="C1126" s="90" t="str">
        <f t="shared" si="156"/>
        <v>2022</v>
      </c>
      <c r="D1126" s="90" t="str">
        <f t="shared" si="157"/>
        <v>juin2022</v>
      </c>
      <c r="E1126" s="91" t="s">
        <v>1099</v>
      </c>
      <c r="F1126" s="91">
        <v>150</v>
      </c>
      <c r="G1126" s="94">
        <f t="shared" si="158"/>
        <v>0.15</v>
      </c>
      <c r="H1126" s="92" t="s">
        <v>45</v>
      </c>
      <c r="I1126" s="96">
        <f t="shared" si="153"/>
        <v>0.3</v>
      </c>
      <c r="J1126" s="96">
        <f t="shared" si="154"/>
        <v>0.7</v>
      </c>
      <c r="K1126" s="92">
        <f>VLOOKUP(H1126,'Taux émission CO2e'!$A$5:$D$16,4,FALSE)</f>
        <v>0.16</v>
      </c>
      <c r="L1126" s="93">
        <f t="shared" si="159"/>
        <v>1.8302616</v>
      </c>
      <c r="M1126" s="92">
        <f>VLOOKUP(H1126,'Taux émission CO2e'!$A$20:$D$31,4,FALSE)</f>
        <v>6.7400000000000002E-2</v>
      </c>
      <c r="N1126" s="105">
        <f t="shared" si="160"/>
        <v>1.798994631</v>
      </c>
      <c r="O1126" s="93">
        <f t="shared" si="161"/>
        <v>3.6292562310000003</v>
      </c>
      <c r="P1126" s="92">
        <v>158</v>
      </c>
      <c r="Q1126" s="92" t="s">
        <v>871</v>
      </c>
      <c r="R1126" s="92" t="s">
        <v>55</v>
      </c>
      <c r="S1126" s="20">
        <v>254.203</v>
      </c>
    </row>
    <row r="1127" spans="1:19" x14ac:dyDescent="0.15">
      <c r="A1127" s="90">
        <v>44742</v>
      </c>
      <c r="B1127" s="90" t="str">
        <f t="shared" si="155"/>
        <v>juin</v>
      </c>
      <c r="C1127" s="90" t="str">
        <f t="shared" si="156"/>
        <v>2022</v>
      </c>
      <c r="D1127" s="90" t="str">
        <f t="shared" si="157"/>
        <v>juin2022</v>
      </c>
      <c r="E1127" s="91" t="s">
        <v>1100</v>
      </c>
      <c r="F1127" s="91">
        <v>227</v>
      </c>
      <c r="G1127" s="94">
        <f t="shared" si="158"/>
        <v>0.22700000000000001</v>
      </c>
      <c r="H1127" s="92" t="s">
        <v>46</v>
      </c>
      <c r="I1127" s="96">
        <f t="shared" si="153"/>
        <v>0.3</v>
      </c>
      <c r="J1127" s="96">
        <f t="shared" si="154"/>
        <v>0.7</v>
      </c>
      <c r="K1127" s="92">
        <f>VLOOKUP(H1127,'Taux émission CO2e'!$A$5:$D$16,4,FALSE)</f>
        <v>0.16</v>
      </c>
      <c r="L1127" s="93">
        <f t="shared" si="159"/>
        <v>5.8966972799999997</v>
      </c>
      <c r="M1127" s="92">
        <f>VLOOKUP(H1127,'Taux émission CO2e'!$A$20:$D$31,4,FALSE)</f>
        <v>6.7400000000000002E-2</v>
      </c>
      <c r="N1127" s="105">
        <f t="shared" si="160"/>
        <v>5.7959620347999996</v>
      </c>
      <c r="O1127" s="93">
        <f t="shared" si="161"/>
        <v>11.6926593148</v>
      </c>
      <c r="P1127" s="92">
        <v>165</v>
      </c>
      <c r="Q1127" s="92" t="s">
        <v>58</v>
      </c>
      <c r="R1127" s="92" t="s">
        <v>65</v>
      </c>
      <c r="S1127" s="20">
        <v>541.17999999999995</v>
      </c>
    </row>
    <row r="1128" spans="1:19" x14ac:dyDescent="0.15">
      <c r="A1128" s="90">
        <v>44742</v>
      </c>
      <c r="B1128" s="90" t="str">
        <f t="shared" si="155"/>
        <v>juin</v>
      </c>
      <c r="C1128" s="90" t="str">
        <f t="shared" si="156"/>
        <v>2022</v>
      </c>
      <c r="D1128" s="90" t="str">
        <f t="shared" si="157"/>
        <v>juin2022</v>
      </c>
      <c r="E1128" s="91" t="s">
        <v>1101</v>
      </c>
      <c r="F1128" s="91">
        <v>52</v>
      </c>
      <c r="G1128" s="94">
        <f t="shared" si="158"/>
        <v>5.1999999999999998E-2</v>
      </c>
      <c r="H1128" s="92" t="s">
        <v>46</v>
      </c>
      <c r="I1128" s="96">
        <f t="shared" si="153"/>
        <v>0.3</v>
      </c>
      <c r="J1128" s="96">
        <f t="shared" si="154"/>
        <v>0.7</v>
      </c>
      <c r="K1128" s="92">
        <f>VLOOKUP(H1128,'Taux émission CO2e'!$A$5:$D$16,4,FALSE)</f>
        <v>0.16</v>
      </c>
      <c r="L1128" s="93">
        <f t="shared" si="159"/>
        <v>1.8860624640000001</v>
      </c>
      <c r="M1128" s="92">
        <f>VLOOKUP(H1128,'Taux émission CO2e'!$A$20:$D$31,4,FALSE)</f>
        <v>6.7400000000000002E-2</v>
      </c>
      <c r="N1128" s="105">
        <f t="shared" si="160"/>
        <v>1.8538422302399999</v>
      </c>
      <c r="O1128" s="93">
        <f t="shared" si="161"/>
        <v>3.7399046942399998</v>
      </c>
      <c r="P1128" s="92">
        <v>168</v>
      </c>
      <c r="Q1128" s="92" t="s">
        <v>58</v>
      </c>
      <c r="R1128" s="92" t="s">
        <v>108</v>
      </c>
      <c r="S1128" s="20">
        <v>755.63400000000001</v>
      </c>
    </row>
    <row r="1129" spans="1:19" x14ac:dyDescent="0.15">
      <c r="A1129" s="90">
        <v>44742</v>
      </c>
      <c r="B1129" s="90" t="str">
        <f t="shared" si="155"/>
        <v>juin</v>
      </c>
      <c r="C1129" s="90" t="str">
        <f t="shared" si="156"/>
        <v>2022</v>
      </c>
      <c r="D1129" s="90" t="str">
        <f t="shared" si="157"/>
        <v>juin2022</v>
      </c>
      <c r="E1129" s="91" t="s">
        <v>1102</v>
      </c>
      <c r="F1129" s="91">
        <v>310</v>
      </c>
      <c r="G1129" s="94">
        <f t="shared" si="158"/>
        <v>0.31</v>
      </c>
      <c r="H1129" s="92" t="s">
        <v>46</v>
      </c>
      <c r="I1129" s="96">
        <f t="shared" si="153"/>
        <v>0.3</v>
      </c>
      <c r="J1129" s="96">
        <f t="shared" si="154"/>
        <v>0.7</v>
      </c>
      <c r="K1129" s="92">
        <f>VLOOKUP(H1129,'Taux émission CO2e'!$A$5:$D$16,4,FALSE)</f>
        <v>0.16</v>
      </c>
      <c r="L1129" s="93">
        <f t="shared" si="159"/>
        <v>3.7020993600000001</v>
      </c>
      <c r="M1129" s="92">
        <f>VLOOKUP(H1129,'Taux émission CO2e'!$A$20:$D$31,4,FALSE)</f>
        <v>6.7400000000000002E-2</v>
      </c>
      <c r="N1129" s="105">
        <f t="shared" si="160"/>
        <v>3.6388551625999996</v>
      </c>
      <c r="O1129" s="93">
        <f t="shared" si="161"/>
        <v>7.3409545225999997</v>
      </c>
      <c r="P1129" s="92">
        <v>178</v>
      </c>
      <c r="Q1129" s="92" t="s">
        <v>58</v>
      </c>
      <c r="R1129" s="92" t="s">
        <v>82</v>
      </c>
      <c r="S1129" s="20">
        <v>248.797</v>
      </c>
    </row>
    <row r="1130" spans="1:19" x14ac:dyDescent="0.15">
      <c r="A1130" s="90">
        <v>44742</v>
      </c>
      <c r="B1130" s="90" t="str">
        <f t="shared" si="155"/>
        <v>juin</v>
      </c>
      <c r="C1130" s="90" t="str">
        <f t="shared" si="156"/>
        <v>2022</v>
      </c>
      <c r="D1130" s="90" t="str">
        <f t="shared" si="157"/>
        <v>juin2022</v>
      </c>
      <c r="E1130" s="91" t="s">
        <v>1103</v>
      </c>
      <c r="F1130" s="91">
        <v>300</v>
      </c>
      <c r="G1130" s="94">
        <f t="shared" si="158"/>
        <v>0.3</v>
      </c>
      <c r="H1130" s="92" t="s">
        <v>45</v>
      </c>
      <c r="I1130" s="96">
        <f t="shared" si="153"/>
        <v>0.3</v>
      </c>
      <c r="J1130" s="96">
        <f t="shared" si="154"/>
        <v>0.7</v>
      </c>
      <c r="K1130" s="92">
        <f>VLOOKUP(H1130,'Taux émission CO2e'!$A$5:$D$16,4,FALSE)</f>
        <v>0.16</v>
      </c>
      <c r="L1130" s="93">
        <f t="shared" si="159"/>
        <v>7.7429951999999993</v>
      </c>
      <c r="M1130" s="92">
        <f>VLOOKUP(H1130,'Taux émission CO2e'!$A$20:$D$31,4,FALSE)</f>
        <v>6.7400000000000002E-2</v>
      </c>
      <c r="N1130" s="105">
        <f t="shared" si="160"/>
        <v>7.6107190319999996</v>
      </c>
      <c r="O1130" s="93">
        <f t="shared" si="161"/>
        <v>15.353714231999998</v>
      </c>
      <c r="P1130" s="92">
        <v>195</v>
      </c>
      <c r="Q1130" s="92" t="s">
        <v>612</v>
      </c>
      <c r="R1130" s="92" t="s">
        <v>55</v>
      </c>
      <c r="S1130" s="20">
        <v>537.70799999999997</v>
      </c>
    </row>
    <row r="1131" spans="1:19" x14ac:dyDescent="0.15">
      <c r="A1131" s="90">
        <v>44742</v>
      </c>
      <c r="B1131" s="90" t="str">
        <f t="shared" si="155"/>
        <v>juin</v>
      </c>
      <c r="C1131" s="90" t="str">
        <f t="shared" si="156"/>
        <v>2022</v>
      </c>
      <c r="D1131" s="90" t="str">
        <f t="shared" si="157"/>
        <v>juin2022</v>
      </c>
      <c r="E1131" s="91" t="s">
        <v>1104</v>
      </c>
      <c r="F1131" s="91">
        <v>302</v>
      </c>
      <c r="G1131" s="94">
        <f t="shared" si="158"/>
        <v>0.30199999999999999</v>
      </c>
      <c r="H1131" s="92" t="s">
        <v>46</v>
      </c>
      <c r="I1131" s="96">
        <f t="shared" si="153"/>
        <v>0.3</v>
      </c>
      <c r="J1131" s="96">
        <f t="shared" si="154"/>
        <v>0.7</v>
      </c>
      <c r="K1131" s="92">
        <f>VLOOKUP(H1131,'Taux émission CO2e'!$A$5:$D$16,4,FALSE)</f>
        <v>0.16</v>
      </c>
      <c r="L1131" s="93">
        <f t="shared" si="159"/>
        <v>4.055966304</v>
      </c>
      <c r="M1131" s="92">
        <f>VLOOKUP(H1131,'Taux émission CO2e'!$A$20:$D$31,4,FALSE)</f>
        <v>6.7400000000000002E-2</v>
      </c>
      <c r="N1131" s="105">
        <f t="shared" si="160"/>
        <v>3.9866768796399996</v>
      </c>
      <c r="O1131" s="93">
        <f t="shared" si="161"/>
        <v>8.0426431836399992</v>
      </c>
      <c r="P1131" s="92">
        <v>205</v>
      </c>
      <c r="Q1131" s="92" t="s">
        <v>58</v>
      </c>
      <c r="R1131" s="92" t="s">
        <v>70</v>
      </c>
      <c r="S1131" s="20">
        <v>279.79899999999998</v>
      </c>
    </row>
    <row r="1132" spans="1:19" x14ac:dyDescent="0.15">
      <c r="A1132" s="90">
        <v>44742</v>
      </c>
      <c r="B1132" s="90" t="str">
        <f t="shared" si="155"/>
        <v>juin</v>
      </c>
      <c r="C1132" s="90" t="str">
        <f t="shared" si="156"/>
        <v>2022</v>
      </c>
      <c r="D1132" s="90" t="str">
        <f t="shared" si="157"/>
        <v>juin2022</v>
      </c>
      <c r="E1132" s="91" t="s">
        <v>1105</v>
      </c>
      <c r="F1132" s="91">
        <v>300</v>
      </c>
      <c r="G1132" s="94">
        <f t="shared" si="158"/>
        <v>0.3</v>
      </c>
      <c r="H1132" s="92" t="s">
        <v>46</v>
      </c>
      <c r="I1132" s="96">
        <f t="shared" si="153"/>
        <v>0.3</v>
      </c>
      <c r="J1132" s="96">
        <f t="shared" si="154"/>
        <v>0.7</v>
      </c>
      <c r="K1132" s="92">
        <f>VLOOKUP(H1132,'Taux émission CO2e'!$A$5:$D$16,4,FALSE)</f>
        <v>0.16</v>
      </c>
      <c r="L1132" s="93">
        <f t="shared" si="159"/>
        <v>7.7979743999999993</v>
      </c>
      <c r="M1132" s="92">
        <f>VLOOKUP(H1132,'Taux émission CO2e'!$A$20:$D$31,4,FALSE)</f>
        <v>6.7400000000000002E-2</v>
      </c>
      <c r="N1132" s="105">
        <f t="shared" si="160"/>
        <v>7.6647590039999995</v>
      </c>
      <c r="O1132" s="93">
        <f t="shared" si="161"/>
        <v>15.462733403999998</v>
      </c>
      <c r="P1132" s="92">
        <v>239</v>
      </c>
      <c r="Q1132" s="92" t="s">
        <v>62</v>
      </c>
      <c r="R1132" s="92" t="s">
        <v>55</v>
      </c>
      <c r="S1132" s="20">
        <v>541.52599999999995</v>
      </c>
    </row>
    <row r="1133" spans="1:19" x14ac:dyDescent="0.15">
      <c r="A1133" s="90">
        <v>44742</v>
      </c>
      <c r="B1133" s="90" t="str">
        <f t="shared" si="155"/>
        <v>juin</v>
      </c>
      <c r="C1133" s="90" t="str">
        <f t="shared" si="156"/>
        <v>2022</v>
      </c>
      <c r="D1133" s="90" t="str">
        <f t="shared" si="157"/>
        <v>juin2022</v>
      </c>
      <c r="E1133" s="91" t="s">
        <v>1106</v>
      </c>
      <c r="F1133" s="91">
        <v>300</v>
      </c>
      <c r="G1133" s="94">
        <f t="shared" si="158"/>
        <v>0.3</v>
      </c>
      <c r="H1133" s="92" t="s">
        <v>46</v>
      </c>
      <c r="I1133" s="96">
        <f t="shared" si="153"/>
        <v>0.3</v>
      </c>
      <c r="J1133" s="96">
        <f t="shared" si="154"/>
        <v>0.7</v>
      </c>
      <c r="K1133" s="92">
        <f>VLOOKUP(H1133,'Taux émission CO2e'!$A$5:$D$16,4,FALSE)</f>
        <v>0.16</v>
      </c>
      <c r="L1133" s="93">
        <f t="shared" si="159"/>
        <v>5.1763680000000001</v>
      </c>
      <c r="M1133" s="92">
        <f>VLOOKUP(H1133,'Taux émission CO2e'!$A$20:$D$31,4,FALSE)</f>
        <v>6.7400000000000002E-2</v>
      </c>
      <c r="N1133" s="105">
        <f t="shared" si="160"/>
        <v>5.0879383800000006</v>
      </c>
      <c r="O1133" s="93">
        <f t="shared" si="161"/>
        <v>10.264306380000001</v>
      </c>
      <c r="P1133" s="92">
        <v>250</v>
      </c>
      <c r="Q1133" s="92" t="s">
        <v>936</v>
      </c>
      <c r="R1133" s="92" t="s">
        <v>55</v>
      </c>
      <c r="S1133" s="20">
        <v>359.47</v>
      </c>
    </row>
    <row r="1134" spans="1:19" x14ac:dyDescent="0.15">
      <c r="A1134" s="90">
        <v>44742</v>
      </c>
      <c r="B1134" s="90" t="str">
        <f t="shared" si="155"/>
        <v>juin</v>
      </c>
      <c r="C1134" s="90" t="str">
        <f t="shared" si="156"/>
        <v>2022</v>
      </c>
      <c r="D1134" s="90" t="str">
        <f t="shared" si="157"/>
        <v>juin2022</v>
      </c>
      <c r="E1134" s="91" t="s">
        <v>1107</v>
      </c>
      <c r="F1134" s="91">
        <v>750</v>
      </c>
      <c r="G1134" s="94">
        <f t="shared" si="158"/>
        <v>0.75</v>
      </c>
      <c r="H1134" s="92" t="s">
        <v>45</v>
      </c>
      <c r="I1134" s="96">
        <f t="shared" si="153"/>
        <v>0.3</v>
      </c>
      <c r="J1134" s="96">
        <f t="shared" si="154"/>
        <v>0.7</v>
      </c>
      <c r="K1134" s="92">
        <f>VLOOKUP(H1134,'Taux émission CO2e'!$A$5:$D$16,4,FALSE)</f>
        <v>0.16</v>
      </c>
      <c r="L1134" s="93">
        <f t="shared" si="159"/>
        <v>1.8809640000000003</v>
      </c>
      <c r="M1134" s="92">
        <f>VLOOKUP(H1134,'Taux émission CO2e'!$A$20:$D$31,4,FALSE)</f>
        <v>6.7400000000000002E-2</v>
      </c>
      <c r="N1134" s="105">
        <f t="shared" si="160"/>
        <v>1.848830865</v>
      </c>
      <c r="O1134" s="93">
        <f t="shared" si="161"/>
        <v>3.7297948650000006</v>
      </c>
      <c r="P1134" s="92">
        <v>280</v>
      </c>
      <c r="Q1134" s="92" t="s">
        <v>153</v>
      </c>
      <c r="R1134" s="92" t="s">
        <v>55</v>
      </c>
      <c r="S1134" s="20">
        <v>52.249000000000002</v>
      </c>
    </row>
    <row r="1135" spans="1:19" x14ac:dyDescent="0.15">
      <c r="A1135" s="90">
        <v>44742</v>
      </c>
      <c r="B1135" s="90" t="str">
        <f t="shared" si="155"/>
        <v>juin</v>
      </c>
      <c r="C1135" s="90" t="str">
        <f t="shared" si="156"/>
        <v>2022</v>
      </c>
      <c r="D1135" s="90" t="str">
        <f t="shared" si="157"/>
        <v>juin2022</v>
      </c>
      <c r="E1135" s="91" t="s">
        <v>1108</v>
      </c>
      <c r="F1135" s="91">
        <v>450</v>
      </c>
      <c r="G1135" s="94">
        <f t="shared" si="158"/>
        <v>0.45</v>
      </c>
      <c r="H1135" s="92" t="s">
        <v>46</v>
      </c>
      <c r="I1135" s="96">
        <f t="shared" si="153"/>
        <v>0.3</v>
      </c>
      <c r="J1135" s="96">
        <f t="shared" si="154"/>
        <v>0.7</v>
      </c>
      <c r="K1135" s="92">
        <f>VLOOKUP(H1135,'Taux émission CO2e'!$A$5:$D$16,4,FALSE)</f>
        <v>0.16</v>
      </c>
      <c r="L1135" s="93">
        <f t="shared" si="159"/>
        <v>9.8510472</v>
      </c>
      <c r="M1135" s="92">
        <f>VLOOKUP(H1135,'Taux émission CO2e'!$A$20:$D$31,4,FALSE)</f>
        <v>6.7400000000000002E-2</v>
      </c>
      <c r="N1135" s="105">
        <f t="shared" si="160"/>
        <v>9.6827584770000001</v>
      </c>
      <c r="O1135" s="93">
        <f t="shared" si="161"/>
        <v>19.533805677</v>
      </c>
      <c r="P1135" s="92">
        <v>280</v>
      </c>
      <c r="Q1135" s="92" t="s">
        <v>570</v>
      </c>
      <c r="R1135" s="92" t="s">
        <v>55</v>
      </c>
      <c r="S1135" s="20">
        <v>456.06700000000001</v>
      </c>
    </row>
    <row r="1136" spans="1:19" x14ac:dyDescent="0.15">
      <c r="A1136" s="90">
        <v>44742</v>
      </c>
      <c r="B1136" s="90" t="str">
        <f t="shared" si="155"/>
        <v>juin</v>
      </c>
      <c r="C1136" s="90" t="str">
        <f t="shared" si="156"/>
        <v>2022</v>
      </c>
      <c r="D1136" s="90" t="str">
        <f t="shared" si="157"/>
        <v>juin2022</v>
      </c>
      <c r="E1136" s="91" t="s">
        <v>1109</v>
      </c>
      <c r="F1136" s="91">
        <v>1184</v>
      </c>
      <c r="G1136" s="94">
        <f t="shared" si="158"/>
        <v>1.1839999999999999</v>
      </c>
      <c r="H1136" s="92" t="s">
        <v>45</v>
      </c>
      <c r="I1136" s="96">
        <f t="shared" si="153"/>
        <v>0.3</v>
      </c>
      <c r="J1136" s="96">
        <f t="shared" si="154"/>
        <v>0.7</v>
      </c>
      <c r="K1136" s="92">
        <f>VLOOKUP(H1136,'Taux émission CO2e'!$A$5:$D$16,4,FALSE)</f>
        <v>0.16</v>
      </c>
      <c r="L1136" s="93">
        <f t="shared" si="159"/>
        <v>2.6499056640000003</v>
      </c>
      <c r="M1136" s="92">
        <f>VLOOKUP(H1136,'Taux émission CO2e'!$A$20:$D$31,4,FALSE)</f>
        <v>6.7400000000000002E-2</v>
      </c>
      <c r="N1136" s="105">
        <f t="shared" si="160"/>
        <v>2.6046364422400003</v>
      </c>
      <c r="O1136" s="93">
        <f t="shared" si="161"/>
        <v>5.2545421062400006</v>
      </c>
      <c r="P1136" s="92">
        <v>290</v>
      </c>
      <c r="Q1136" s="92" t="s">
        <v>58</v>
      </c>
      <c r="R1136" s="92" t="s">
        <v>421</v>
      </c>
      <c r="S1136" s="20">
        <v>46.627000000000002</v>
      </c>
    </row>
    <row r="1137" spans="1:19" x14ac:dyDescent="0.15">
      <c r="A1137" s="90">
        <v>44742</v>
      </c>
      <c r="B1137" s="90" t="str">
        <f t="shared" si="155"/>
        <v>juin</v>
      </c>
      <c r="C1137" s="90" t="str">
        <f t="shared" si="156"/>
        <v>2022</v>
      </c>
      <c r="D1137" s="90" t="str">
        <f t="shared" si="157"/>
        <v>juin2022</v>
      </c>
      <c r="E1137" s="91" t="s">
        <v>1110</v>
      </c>
      <c r="F1137" s="91">
        <v>750</v>
      </c>
      <c r="G1137" s="94">
        <f t="shared" si="158"/>
        <v>0.75</v>
      </c>
      <c r="H1137" s="92" t="s">
        <v>45</v>
      </c>
      <c r="I1137" s="96">
        <f t="shared" si="153"/>
        <v>0.3</v>
      </c>
      <c r="J1137" s="96">
        <f t="shared" si="154"/>
        <v>0.7</v>
      </c>
      <c r="K1137" s="92">
        <f>VLOOKUP(H1137,'Taux émission CO2e'!$A$5:$D$16,4,FALSE)</f>
        <v>0.16</v>
      </c>
      <c r="L1137" s="93">
        <f t="shared" si="159"/>
        <v>27.617292000000006</v>
      </c>
      <c r="M1137" s="92">
        <f>VLOOKUP(H1137,'Taux émission CO2e'!$A$20:$D$31,4,FALSE)</f>
        <v>6.7400000000000002E-2</v>
      </c>
      <c r="N1137" s="105">
        <f t="shared" si="160"/>
        <v>27.145496595000001</v>
      </c>
      <c r="O1137" s="93">
        <f t="shared" si="161"/>
        <v>54.762788595000004</v>
      </c>
      <c r="P1137" s="92">
        <v>480</v>
      </c>
      <c r="Q1137" s="92" t="s">
        <v>635</v>
      </c>
      <c r="R1137" s="92" t="s">
        <v>55</v>
      </c>
      <c r="S1137" s="20">
        <v>767.14700000000005</v>
      </c>
    </row>
    <row r="1138" spans="1:19" x14ac:dyDescent="0.15">
      <c r="A1138" s="90">
        <v>44742</v>
      </c>
      <c r="B1138" s="90" t="str">
        <f t="shared" si="155"/>
        <v>juin</v>
      </c>
      <c r="C1138" s="90" t="str">
        <f t="shared" si="156"/>
        <v>2022</v>
      </c>
      <c r="D1138" s="90" t="str">
        <f t="shared" si="157"/>
        <v>juin2022</v>
      </c>
      <c r="E1138" s="91" t="s">
        <v>1111</v>
      </c>
      <c r="F1138" s="91">
        <v>882</v>
      </c>
      <c r="G1138" s="94">
        <f t="shared" si="158"/>
        <v>0.88200000000000001</v>
      </c>
      <c r="H1138" s="92" t="s">
        <v>46</v>
      </c>
      <c r="I1138" s="96">
        <f t="shared" si="153"/>
        <v>0.3</v>
      </c>
      <c r="J1138" s="96">
        <f t="shared" si="154"/>
        <v>0.7</v>
      </c>
      <c r="K1138" s="92">
        <f>VLOOKUP(H1138,'Taux émission CO2e'!$A$5:$D$16,4,FALSE)</f>
        <v>0.16</v>
      </c>
      <c r="L1138" s="93">
        <f t="shared" si="159"/>
        <v>31.34747952</v>
      </c>
      <c r="M1138" s="92">
        <f>VLOOKUP(H1138,'Taux émission CO2e'!$A$20:$D$31,4,FALSE)</f>
        <v>6.7400000000000002E-2</v>
      </c>
      <c r="N1138" s="105">
        <f t="shared" si="160"/>
        <v>30.811960078200002</v>
      </c>
      <c r="O1138" s="93">
        <f t="shared" si="161"/>
        <v>62.159439598200002</v>
      </c>
      <c r="P1138" s="92">
        <v>585</v>
      </c>
      <c r="Q1138" s="92" t="s">
        <v>58</v>
      </c>
      <c r="R1138" s="92" t="s">
        <v>59</v>
      </c>
      <c r="S1138" s="20">
        <v>740.44500000000005</v>
      </c>
    </row>
    <row r="1139" spans="1:19" x14ac:dyDescent="0.15">
      <c r="A1139" s="90">
        <v>44743</v>
      </c>
      <c r="B1139" s="90" t="str">
        <f t="shared" si="155"/>
        <v>juillet</v>
      </c>
      <c r="C1139" s="90" t="str">
        <f t="shared" si="156"/>
        <v>2022</v>
      </c>
      <c r="D1139" s="90" t="str">
        <f t="shared" si="157"/>
        <v>juillet2022</v>
      </c>
      <c r="E1139" s="91" t="s">
        <v>1112</v>
      </c>
      <c r="F1139" s="91">
        <v>102</v>
      </c>
      <c r="G1139" s="94">
        <f t="shared" si="158"/>
        <v>0.10199999999999999</v>
      </c>
      <c r="H1139" s="92" t="s">
        <v>46</v>
      </c>
      <c r="I1139" s="96">
        <f t="shared" si="153"/>
        <v>0.3</v>
      </c>
      <c r="J1139" s="96">
        <f t="shared" si="154"/>
        <v>0.7</v>
      </c>
      <c r="K1139" s="92">
        <f>VLOOKUP(H1139,'Taux émission CO2e'!$A$5:$D$16,4,FALSE)</f>
        <v>0.16</v>
      </c>
      <c r="L1139" s="93">
        <f t="shared" si="159"/>
        <v>1.3627330560000002</v>
      </c>
      <c r="M1139" s="92">
        <f>VLOOKUP(H1139,'Taux émission CO2e'!$A$20:$D$31,4,FALSE)</f>
        <v>6.7400000000000002E-2</v>
      </c>
      <c r="N1139" s="105">
        <f t="shared" si="160"/>
        <v>1.3394530329600001</v>
      </c>
      <c r="O1139" s="93">
        <f t="shared" si="161"/>
        <v>2.7021860889600005</v>
      </c>
      <c r="P1139" s="92">
        <v>100</v>
      </c>
      <c r="Q1139" s="92" t="s">
        <v>58</v>
      </c>
      <c r="R1139" s="92" t="s">
        <v>346</v>
      </c>
      <c r="S1139" s="20">
        <v>278.33600000000001</v>
      </c>
    </row>
    <row r="1140" spans="1:19" x14ac:dyDescent="0.15">
      <c r="A1140" s="90">
        <v>44743</v>
      </c>
      <c r="B1140" s="90" t="str">
        <f t="shared" si="155"/>
        <v>juillet</v>
      </c>
      <c r="C1140" s="90" t="str">
        <f t="shared" si="156"/>
        <v>2022</v>
      </c>
      <c r="D1140" s="90" t="str">
        <f t="shared" si="157"/>
        <v>juillet2022</v>
      </c>
      <c r="E1140" s="91" t="s">
        <v>1113</v>
      </c>
      <c r="F1140" s="91">
        <v>150</v>
      </c>
      <c r="G1140" s="94">
        <f t="shared" si="158"/>
        <v>0.15</v>
      </c>
      <c r="H1140" s="92" t="s">
        <v>45</v>
      </c>
      <c r="I1140" s="96">
        <f t="shared" si="153"/>
        <v>0.3</v>
      </c>
      <c r="J1140" s="96">
        <f t="shared" si="154"/>
        <v>0.7</v>
      </c>
      <c r="K1140" s="92">
        <f>VLOOKUP(H1140,'Taux émission CO2e'!$A$5:$D$16,4,FALSE)</f>
        <v>0.16</v>
      </c>
      <c r="L1140" s="93">
        <f t="shared" si="159"/>
        <v>2.8012535999999999</v>
      </c>
      <c r="M1140" s="92">
        <f>VLOOKUP(H1140,'Taux émission CO2e'!$A$20:$D$31,4,FALSE)</f>
        <v>6.7400000000000002E-2</v>
      </c>
      <c r="N1140" s="105">
        <f t="shared" si="160"/>
        <v>2.753398851</v>
      </c>
      <c r="O1140" s="93">
        <f t="shared" si="161"/>
        <v>5.5546524509999999</v>
      </c>
      <c r="P1140" s="92">
        <v>125</v>
      </c>
      <c r="Q1140" s="92" t="s">
        <v>842</v>
      </c>
      <c r="R1140" s="92" t="s">
        <v>55</v>
      </c>
      <c r="S1140" s="20">
        <v>389.06299999999999</v>
      </c>
    </row>
    <row r="1141" spans="1:19" x14ac:dyDescent="0.15">
      <c r="A1141" s="90">
        <v>44743</v>
      </c>
      <c r="B1141" s="90" t="str">
        <f t="shared" si="155"/>
        <v>juillet</v>
      </c>
      <c r="C1141" s="90" t="str">
        <f t="shared" si="156"/>
        <v>2022</v>
      </c>
      <c r="D1141" s="90" t="str">
        <f t="shared" si="157"/>
        <v>juillet2022</v>
      </c>
      <c r="E1141" s="91" t="s">
        <v>1114</v>
      </c>
      <c r="F1141" s="91">
        <v>150</v>
      </c>
      <c r="G1141" s="94">
        <f t="shared" si="158"/>
        <v>0.15</v>
      </c>
      <c r="H1141" s="92" t="s">
        <v>46</v>
      </c>
      <c r="I1141" s="96">
        <f t="shared" si="153"/>
        <v>0.3</v>
      </c>
      <c r="J1141" s="96">
        <f t="shared" si="154"/>
        <v>0.7</v>
      </c>
      <c r="K1141" s="92">
        <f>VLOOKUP(H1141,'Taux émission CO2e'!$A$5:$D$16,4,FALSE)</f>
        <v>0.16</v>
      </c>
      <c r="L1141" s="93">
        <f t="shared" si="159"/>
        <v>2.7084023999999998</v>
      </c>
      <c r="M1141" s="92">
        <f>VLOOKUP(H1141,'Taux émission CO2e'!$A$20:$D$31,4,FALSE)</f>
        <v>6.7400000000000002E-2</v>
      </c>
      <c r="N1141" s="105">
        <f t="shared" si="160"/>
        <v>2.6621338589999999</v>
      </c>
      <c r="O1141" s="93">
        <f t="shared" si="161"/>
        <v>5.3705362589999996</v>
      </c>
      <c r="P1141" s="92">
        <v>140</v>
      </c>
      <c r="Q1141" s="92" t="s">
        <v>856</v>
      </c>
      <c r="R1141" s="92" t="s">
        <v>55</v>
      </c>
      <c r="S1141" s="20">
        <v>376.16699999999997</v>
      </c>
    </row>
    <row r="1142" spans="1:19" x14ac:dyDescent="0.15">
      <c r="A1142" s="90">
        <v>44743</v>
      </c>
      <c r="B1142" s="90" t="str">
        <f t="shared" si="155"/>
        <v>juillet</v>
      </c>
      <c r="C1142" s="90" t="str">
        <f t="shared" si="156"/>
        <v>2022</v>
      </c>
      <c r="D1142" s="90" t="str">
        <f t="shared" si="157"/>
        <v>juillet2022</v>
      </c>
      <c r="E1142" s="91" t="s">
        <v>1115</v>
      </c>
      <c r="F1142" s="91">
        <v>440</v>
      </c>
      <c r="G1142" s="94">
        <f t="shared" si="158"/>
        <v>0.44</v>
      </c>
      <c r="H1142" s="92" t="s">
        <v>38</v>
      </c>
      <c r="I1142" s="96">
        <f t="shared" si="153"/>
        <v>1</v>
      </c>
      <c r="J1142" s="96">
        <f t="shared" si="154"/>
        <v>0</v>
      </c>
      <c r="K1142" s="92">
        <f>VLOOKUP(H1142,'Taux émission CO2e'!$A$5:$D$16,4,FALSE)</f>
        <v>0.24099999999999999</v>
      </c>
      <c r="L1142" s="93">
        <f t="shared" si="159"/>
        <v>3.6144794399999998</v>
      </c>
      <c r="M1142" s="92">
        <f>VLOOKUP(H1142,'Taux émission CO2e'!$A$20:$D$31,4,FALSE)</f>
        <v>0</v>
      </c>
      <c r="N1142" s="105">
        <f t="shared" si="160"/>
        <v>0</v>
      </c>
      <c r="O1142" s="93">
        <f t="shared" si="161"/>
        <v>3.6144794399999998</v>
      </c>
      <c r="P1142" s="92">
        <v>140</v>
      </c>
      <c r="Q1142" s="92" t="s">
        <v>58</v>
      </c>
      <c r="R1142" s="92" t="s">
        <v>98</v>
      </c>
      <c r="S1142" s="20">
        <v>34.085999999999999</v>
      </c>
    </row>
    <row r="1143" spans="1:19" x14ac:dyDescent="0.15">
      <c r="A1143" s="90">
        <v>44743</v>
      </c>
      <c r="B1143" s="90" t="str">
        <f t="shared" si="155"/>
        <v>juillet</v>
      </c>
      <c r="C1143" s="90" t="str">
        <f t="shared" si="156"/>
        <v>2022</v>
      </c>
      <c r="D1143" s="90" t="str">
        <f t="shared" si="157"/>
        <v>juillet2022</v>
      </c>
      <c r="E1143" s="91" t="s">
        <v>1116</v>
      </c>
      <c r="F1143" s="91">
        <v>400</v>
      </c>
      <c r="G1143" s="94">
        <f t="shared" si="158"/>
        <v>0.4</v>
      </c>
      <c r="H1143" s="92" t="s">
        <v>45</v>
      </c>
      <c r="I1143" s="96">
        <f t="shared" si="153"/>
        <v>0.3</v>
      </c>
      <c r="J1143" s="96">
        <f t="shared" si="154"/>
        <v>0.7</v>
      </c>
      <c r="K1143" s="92">
        <f>VLOOKUP(H1143,'Taux émission CO2e'!$A$5:$D$16,4,FALSE)</f>
        <v>0.16</v>
      </c>
      <c r="L1143" s="93">
        <f t="shared" si="159"/>
        <v>5.347142400000001</v>
      </c>
      <c r="M1143" s="92">
        <f>VLOOKUP(H1143,'Taux émission CO2e'!$A$20:$D$31,4,FALSE)</f>
        <v>6.7400000000000002E-2</v>
      </c>
      <c r="N1143" s="105">
        <f t="shared" si="160"/>
        <v>5.2557953839999998</v>
      </c>
      <c r="O1143" s="93">
        <f t="shared" si="161"/>
        <v>10.602937784000002</v>
      </c>
      <c r="P1143" s="92">
        <v>200</v>
      </c>
      <c r="Q1143" s="92" t="s">
        <v>90</v>
      </c>
      <c r="R1143" s="92" t="s">
        <v>55</v>
      </c>
      <c r="S1143" s="20">
        <v>278.49700000000001</v>
      </c>
    </row>
    <row r="1144" spans="1:19" x14ac:dyDescent="0.15">
      <c r="A1144" s="90">
        <v>44743</v>
      </c>
      <c r="B1144" s="90" t="str">
        <f t="shared" si="155"/>
        <v>juillet</v>
      </c>
      <c r="C1144" s="90" t="str">
        <f t="shared" si="156"/>
        <v>2022</v>
      </c>
      <c r="D1144" s="90" t="str">
        <f t="shared" si="157"/>
        <v>juillet2022</v>
      </c>
      <c r="E1144" s="91" t="s">
        <v>1117</v>
      </c>
      <c r="F1144" s="91">
        <v>203</v>
      </c>
      <c r="G1144" s="94">
        <f t="shared" si="158"/>
        <v>0.20300000000000001</v>
      </c>
      <c r="H1144" s="92" t="s">
        <v>46</v>
      </c>
      <c r="I1144" s="96">
        <f t="shared" si="153"/>
        <v>0.3</v>
      </c>
      <c r="J1144" s="96">
        <f t="shared" si="154"/>
        <v>0.7</v>
      </c>
      <c r="K1144" s="92">
        <f>VLOOKUP(H1144,'Taux émission CO2e'!$A$5:$D$16,4,FALSE)</f>
        <v>0.16</v>
      </c>
      <c r="L1144" s="93">
        <f t="shared" si="159"/>
        <v>2.7263614560000002</v>
      </c>
      <c r="M1144" s="92">
        <f>VLOOKUP(H1144,'Taux émission CO2e'!$A$20:$D$31,4,FALSE)</f>
        <v>6.7400000000000002E-2</v>
      </c>
      <c r="N1144" s="105">
        <f t="shared" si="160"/>
        <v>2.6797861144600001</v>
      </c>
      <c r="O1144" s="93">
        <f t="shared" si="161"/>
        <v>5.4061475704599999</v>
      </c>
      <c r="P1144" s="92">
        <v>205</v>
      </c>
      <c r="Q1144" s="92" t="s">
        <v>58</v>
      </c>
      <c r="R1144" s="92" t="s">
        <v>70</v>
      </c>
      <c r="S1144" s="20">
        <v>279.79899999999998</v>
      </c>
    </row>
    <row r="1145" spans="1:19" x14ac:dyDescent="0.15">
      <c r="A1145" s="90">
        <v>44743</v>
      </c>
      <c r="B1145" s="90" t="str">
        <f t="shared" si="155"/>
        <v>juillet</v>
      </c>
      <c r="C1145" s="90" t="str">
        <f t="shared" si="156"/>
        <v>2022</v>
      </c>
      <c r="D1145" s="90" t="str">
        <f t="shared" si="157"/>
        <v>juillet2022</v>
      </c>
      <c r="E1145" s="91" t="s">
        <v>1118</v>
      </c>
      <c r="F1145" s="91">
        <v>300</v>
      </c>
      <c r="G1145" s="94">
        <f t="shared" si="158"/>
        <v>0.3</v>
      </c>
      <c r="H1145" s="92" t="s">
        <v>46</v>
      </c>
      <c r="I1145" s="96">
        <f t="shared" si="153"/>
        <v>0.3</v>
      </c>
      <c r="J1145" s="96">
        <f t="shared" si="154"/>
        <v>0.7</v>
      </c>
      <c r="K1145" s="92">
        <f>VLOOKUP(H1145,'Taux émission CO2e'!$A$5:$D$16,4,FALSE)</f>
        <v>0.16</v>
      </c>
      <c r="L1145" s="93">
        <f t="shared" si="159"/>
        <v>3.7158191999999999</v>
      </c>
      <c r="M1145" s="92">
        <f>VLOOKUP(H1145,'Taux émission CO2e'!$A$20:$D$31,4,FALSE)</f>
        <v>6.7400000000000002E-2</v>
      </c>
      <c r="N1145" s="105">
        <f t="shared" si="160"/>
        <v>3.6523406220000001</v>
      </c>
      <c r="O1145" s="93">
        <f t="shared" si="161"/>
        <v>7.368159822</v>
      </c>
      <c r="P1145" s="92">
        <v>260</v>
      </c>
      <c r="Q1145" s="92" t="s">
        <v>102</v>
      </c>
      <c r="R1145" s="92" t="s">
        <v>55</v>
      </c>
      <c r="S1145" s="20">
        <v>258.04300000000001</v>
      </c>
    </row>
    <row r="1146" spans="1:19" x14ac:dyDescent="0.15">
      <c r="A1146" s="90">
        <v>44743</v>
      </c>
      <c r="B1146" s="90" t="str">
        <f t="shared" si="155"/>
        <v>juillet</v>
      </c>
      <c r="C1146" s="90" t="str">
        <f t="shared" si="156"/>
        <v>2022</v>
      </c>
      <c r="D1146" s="90" t="str">
        <f t="shared" si="157"/>
        <v>juillet2022</v>
      </c>
      <c r="E1146" s="91" t="s">
        <v>1119</v>
      </c>
      <c r="F1146" s="91">
        <v>450</v>
      </c>
      <c r="G1146" s="94">
        <f t="shared" si="158"/>
        <v>0.45</v>
      </c>
      <c r="H1146" s="92" t="s">
        <v>46</v>
      </c>
      <c r="I1146" s="96">
        <f t="shared" si="153"/>
        <v>0.3</v>
      </c>
      <c r="J1146" s="96">
        <f t="shared" si="154"/>
        <v>0.7</v>
      </c>
      <c r="K1146" s="92">
        <f>VLOOKUP(H1146,'Taux émission CO2e'!$A$5:$D$16,4,FALSE)</f>
        <v>0.16</v>
      </c>
      <c r="L1146" s="93">
        <f t="shared" si="159"/>
        <v>5.3740152000000005</v>
      </c>
      <c r="M1146" s="92">
        <f>VLOOKUP(H1146,'Taux émission CO2e'!$A$20:$D$31,4,FALSE)</f>
        <v>6.7400000000000002E-2</v>
      </c>
      <c r="N1146" s="105">
        <f t="shared" si="160"/>
        <v>5.2822091069999999</v>
      </c>
      <c r="O1146" s="93">
        <f t="shared" si="161"/>
        <v>10.656224307</v>
      </c>
      <c r="P1146" s="92">
        <v>270</v>
      </c>
      <c r="Q1146" s="92" t="s">
        <v>58</v>
      </c>
      <c r="R1146" s="92" t="s">
        <v>82</v>
      </c>
      <c r="S1146" s="20">
        <v>248.797</v>
      </c>
    </row>
    <row r="1147" spans="1:19" x14ac:dyDescent="0.15">
      <c r="A1147" s="90">
        <v>44743</v>
      </c>
      <c r="B1147" s="90" t="str">
        <f t="shared" si="155"/>
        <v>juillet</v>
      </c>
      <c r="C1147" s="90" t="str">
        <f t="shared" si="156"/>
        <v>2022</v>
      </c>
      <c r="D1147" s="90" t="str">
        <f t="shared" si="157"/>
        <v>juillet2022</v>
      </c>
      <c r="E1147" s="91" t="s">
        <v>1120</v>
      </c>
      <c r="F1147" s="91">
        <v>800</v>
      </c>
      <c r="G1147" s="94">
        <f t="shared" si="158"/>
        <v>0.8</v>
      </c>
      <c r="H1147" s="92" t="s">
        <v>45</v>
      </c>
      <c r="I1147" s="96">
        <f t="shared" si="153"/>
        <v>0.3</v>
      </c>
      <c r="J1147" s="96">
        <f t="shared" si="154"/>
        <v>0.7</v>
      </c>
      <c r="K1147" s="92">
        <f>VLOOKUP(H1147,'Taux émission CO2e'!$A$5:$D$16,4,FALSE)</f>
        <v>0.16</v>
      </c>
      <c r="L1147" s="93">
        <f t="shared" si="159"/>
        <v>9.8653824000000014</v>
      </c>
      <c r="M1147" s="92">
        <f>VLOOKUP(H1147,'Taux émission CO2e'!$A$20:$D$31,4,FALSE)</f>
        <v>6.7400000000000002E-2</v>
      </c>
      <c r="N1147" s="105">
        <f t="shared" si="160"/>
        <v>9.6968487840000002</v>
      </c>
      <c r="O1147" s="93">
        <f t="shared" si="161"/>
        <v>19.562231184000002</v>
      </c>
      <c r="P1147" s="92">
        <v>399</v>
      </c>
      <c r="Q1147" s="92" t="s">
        <v>58</v>
      </c>
      <c r="R1147" s="92" t="s">
        <v>60</v>
      </c>
      <c r="S1147" s="20">
        <v>256.911</v>
      </c>
    </row>
    <row r="1148" spans="1:19" x14ac:dyDescent="0.15">
      <c r="A1148" s="90">
        <v>44743</v>
      </c>
      <c r="B1148" s="90" t="str">
        <f t="shared" si="155"/>
        <v>juillet</v>
      </c>
      <c r="C1148" s="90" t="str">
        <f t="shared" si="156"/>
        <v>2022</v>
      </c>
      <c r="D1148" s="90" t="str">
        <f t="shared" si="157"/>
        <v>juillet2022</v>
      </c>
      <c r="E1148" s="91" t="s">
        <v>1121</v>
      </c>
      <c r="F1148" s="91">
        <v>881</v>
      </c>
      <c r="G1148" s="94">
        <f t="shared" si="158"/>
        <v>0.88100000000000001</v>
      </c>
      <c r="H1148" s="92" t="s">
        <v>46</v>
      </c>
      <c r="I1148" s="96">
        <f t="shared" si="153"/>
        <v>0.3</v>
      </c>
      <c r="J1148" s="96">
        <f t="shared" si="154"/>
        <v>0.7</v>
      </c>
      <c r="K1148" s="92">
        <f>VLOOKUP(H1148,'Taux émission CO2e'!$A$5:$D$16,4,FALSE)</f>
        <v>0.16</v>
      </c>
      <c r="L1148" s="93">
        <f t="shared" si="159"/>
        <v>19.389344015999999</v>
      </c>
      <c r="M1148" s="92">
        <f>VLOOKUP(H1148,'Taux émission CO2e'!$A$20:$D$31,4,FALSE)</f>
        <v>6.7400000000000002E-2</v>
      </c>
      <c r="N1148" s="105">
        <f t="shared" si="160"/>
        <v>19.05810938906</v>
      </c>
      <c r="O1148" s="93">
        <f t="shared" si="161"/>
        <v>38.447453405060003</v>
      </c>
      <c r="P1148" s="92">
        <v>435</v>
      </c>
      <c r="Q1148" s="92" t="s">
        <v>58</v>
      </c>
      <c r="R1148" s="92" t="s">
        <v>427</v>
      </c>
      <c r="S1148" s="20">
        <v>458.50700000000001</v>
      </c>
    </row>
    <row r="1149" spans="1:19" x14ac:dyDescent="0.15">
      <c r="A1149" s="90">
        <v>44743</v>
      </c>
      <c r="B1149" s="90" t="str">
        <f t="shared" si="155"/>
        <v>juillet</v>
      </c>
      <c r="C1149" s="90" t="str">
        <f t="shared" si="156"/>
        <v>2022</v>
      </c>
      <c r="D1149" s="90" t="str">
        <f t="shared" si="157"/>
        <v>juillet2022</v>
      </c>
      <c r="E1149" s="91" t="s">
        <v>1122</v>
      </c>
      <c r="F1149" s="91">
        <v>600</v>
      </c>
      <c r="G1149" s="94">
        <f t="shared" si="158"/>
        <v>0.6</v>
      </c>
      <c r="H1149" s="92" t="s">
        <v>46</v>
      </c>
      <c r="I1149" s="96">
        <f t="shared" si="153"/>
        <v>0.3</v>
      </c>
      <c r="J1149" s="96">
        <f t="shared" si="154"/>
        <v>0.7</v>
      </c>
      <c r="K1149" s="92">
        <f>VLOOKUP(H1149,'Taux émission CO2e'!$A$5:$D$16,4,FALSE)</f>
        <v>0.16</v>
      </c>
      <c r="L1149" s="93">
        <f t="shared" si="159"/>
        <v>21.314822399999997</v>
      </c>
      <c r="M1149" s="92">
        <f>VLOOKUP(H1149,'Taux émission CO2e'!$A$20:$D$31,4,FALSE)</f>
        <v>6.7400000000000002E-2</v>
      </c>
      <c r="N1149" s="105">
        <f t="shared" si="160"/>
        <v>20.950694184</v>
      </c>
      <c r="O1149" s="93">
        <f t="shared" si="161"/>
        <v>42.265516583999997</v>
      </c>
      <c r="P1149" s="92">
        <v>470</v>
      </c>
      <c r="Q1149" s="92" t="s">
        <v>473</v>
      </c>
      <c r="R1149" s="92" t="s">
        <v>55</v>
      </c>
      <c r="S1149" s="20">
        <v>740.09799999999996</v>
      </c>
    </row>
    <row r="1150" spans="1:19" x14ac:dyDescent="0.15">
      <c r="A1150" s="90">
        <v>44746</v>
      </c>
      <c r="B1150" s="90" t="str">
        <f t="shared" si="155"/>
        <v>juillet</v>
      </c>
      <c r="C1150" s="90" t="str">
        <f t="shared" si="156"/>
        <v>2022</v>
      </c>
      <c r="D1150" s="90" t="str">
        <f t="shared" si="157"/>
        <v>juillet2022</v>
      </c>
      <c r="E1150" s="91" t="s">
        <v>1123</v>
      </c>
      <c r="F1150" s="91">
        <v>102</v>
      </c>
      <c r="G1150" s="94">
        <f t="shared" si="158"/>
        <v>0.10199999999999999</v>
      </c>
      <c r="H1150" s="92" t="s">
        <v>46</v>
      </c>
      <c r="I1150" s="96">
        <f t="shared" si="153"/>
        <v>0.3</v>
      </c>
      <c r="J1150" s="96">
        <f t="shared" si="154"/>
        <v>0.7</v>
      </c>
      <c r="K1150" s="92">
        <f>VLOOKUP(H1150,'Taux émission CO2e'!$A$5:$D$16,4,FALSE)</f>
        <v>0.16</v>
      </c>
      <c r="L1150" s="93">
        <f t="shared" si="159"/>
        <v>1.203427008</v>
      </c>
      <c r="M1150" s="92">
        <f>VLOOKUP(H1150,'Taux émission CO2e'!$A$20:$D$31,4,FALSE)</f>
        <v>6.7400000000000002E-2</v>
      </c>
      <c r="N1150" s="105">
        <f t="shared" si="160"/>
        <v>1.1828684632799999</v>
      </c>
      <c r="O1150" s="93">
        <f t="shared" si="161"/>
        <v>2.38629547128</v>
      </c>
      <c r="P1150" s="92">
        <v>100</v>
      </c>
      <c r="Q1150" s="92" t="s">
        <v>58</v>
      </c>
      <c r="R1150" s="92" t="s">
        <v>105</v>
      </c>
      <c r="S1150" s="20">
        <v>245.798</v>
      </c>
    </row>
    <row r="1151" spans="1:19" x14ac:dyDescent="0.15">
      <c r="A1151" s="90">
        <v>44746</v>
      </c>
      <c r="B1151" s="90" t="str">
        <f t="shared" si="155"/>
        <v>juillet</v>
      </c>
      <c r="C1151" s="90" t="str">
        <f t="shared" si="156"/>
        <v>2022</v>
      </c>
      <c r="D1151" s="90" t="str">
        <f t="shared" si="157"/>
        <v>juillet2022</v>
      </c>
      <c r="E1151" s="91" t="s">
        <v>1124</v>
      </c>
      <c r="F1151" s="91">
        <v>158</v>
      </c>
      <c r="G1151" s="94">
        <f t="shared" si="158"/>
        <v>0.158</v>
      </c>
      <c r="H1151" s="92" t="s">
        <v>46</v>
      </c>
      <c r="I1151" s="96">
        <f t="shared" si="153"/>
        <v>0.3</v>
      </c>
      <c r="J1151" s="96">
        <f t="shared" si="154"/>
        <v>0.7</v>
      </c>
      <c r="K1151" s="92">
        <f>VLOOKUP(H1151,'Taux émission CO2e'!$A$5:$D$16,4,FALSE)</f>
        <v>0.16</v>
      </c>
      <c r="L1151" s="93">
        <f t="shared" si="159"/>
        <v>2.9580330240000001</v>
      </c>
      <c r="M1151" s="92">
        <f>VLOOKUP(H1151,'Taux émission CO2e'!$A$20:$D$31,4,FALSE)</f>
        <v>6.7400000000000002E-2</v>
      </c>
      <c r="N1151" s="105">
        <f t="shared" si="160"/>
        <v>2.90749995984</v>
      </c>
      <c r="O1151" s="93">
        <f t="shared" si="161"/>
        <v>5.8655329838399997</v>
      </c>
      <c r="P1151" s="92">
        <v>140</v>
      </c>
      <c r="Q1151" s="92" t="s">
        <v>58</v>
      </c>
      <c r="R1151" s="92" t="s">
        <v>629</v>
      </c>
      <c r="S1151" s="20">
        <v>390.036</v>
      </c>
    </row>
    <row r="1152" spans="1:19" x14ac:dyDescent="0.15">
      <c r="A1152" s="90">
        <v>44746</v>
      </c>
      <c r="B1152" s="90" t="str">
        <f t="shared" si="155"/>
        <v>juillet</v>
      </c>
      <c r="C1152" s="90" t="str">
        <f t="shared" si="156"/>
        <v>2022</v>
      </c>
      <c r="D1152" s="90" t="str">
        <f t="shared" si="157"/>
        <v>juillet2022</v>
      </c>
      <c r="E1152" s="91" t="s">
        <v>1125</v>
      </c>
      <c r="F1152" s="91">
        <v>450</v>
      </c>
      <c r="G1152" s="94">
        <f t="shared" si="158"/>
        <v>0.45</v>
      </c>
      <c r="H1152" s="92" t="s">
        <v>46</v>
      </c>
      <c r="I1152" s="96">
        <f t="shared" si="153"/>
        <v>0.3</v>
      </c>
      <c r="J1152" s="96">
        <f t="shared" si="154"/>
        <v>0.7</v>
      </c>
      <c r="K1152" s="92">
        <f>VLOOKUP(H1152,'Taux émission CO2e'!$A$5:$D$16,4,FALSE)</f>
        <v>0.16</v>
      </c>
      <c r="L1152" s="93">
        <f t="shared" si="159"/>
        <v>15.3789192</v>
      </c>
      <c r="M1152" s="92">
        <f>VLOOKUP(H1152,'Taux émission CO2e'!$A$20:$D$31,4,FALSE)</f>
        <v>6.7400000000000002E-2</v>
      </c>
      <c r="N1152" s="105">
        <f t="shared" si="160"/>
        <v>15.116195996999998</v>
      </c>
      <c r="O1152" s="93">
        <f t="shared" si="161"/>
        <v>30.495115196999997</v>
      </c>
      <c r="P1152" s="92">
        <v>355</v>
      </c>
      <c r="Q1152" s="92" t="s">
        <v>766</v>
      </c>
      <c r="R1152" s="92" t="s">
        <v>55</v>
      </c>
      <c r="S1152" s="20">
        <v>711.98699999999997</v>
      </c>
    </row>
    <row r="1153" spans="1:19" x14ac:dyDescent="0.15">
      <c r="A1153" s="90">
        <v>44746</v>
      </c>
      <c r="B1153" s="90" t="str">
        <f t="shared" si="155"/>
        <v>juillet</v>
      </c>
      <c r="C1153" s="90" t="str">
        <f t="shared" si="156"/>
        <v>2022</v>
      </c>
      <c r="D1153" s="90" t="str">
        <f t="shared" si="157"/>
        <v>juillet2022</v>
      </c>
      <c r="E1153" s="91" t="s">
        <v>1126</v>
      </c>
      <c r="F1153" s="91">
        <v>439</v>
      </c>
      <c r="G1153" s="94">
        <f t="shared" si="158"/>
        <v>0.439</v>
      </c>
      <c r="H1153" s="92" t="s">
        <v>46</v>
      </c>
      <c r="I1153" s="96">
        <f t="shared" si="153"/>
        <v>0.3</v>
      </c>
      <c r="J1153" s="96">
        <f t="shared" si="154"/>
        <v>0.7</v>
      </c>
      <c r="K1153" s="92">
        <f>VLOOKUP(H1153,'Taux émission CO2e'!$A$5:$D$16,4,FALSE)</f>
        <v>0.16</v>
      </c>
      <c r="L1153" s="93">
        <f t="shared" si="159"/>
        <v>10.868895456000001</v>
      </c>
      <c r="M1153" s="92">
        <f>VLOOKUP(H1153,'Taux émission CO2e'!$A$20:$D$31,4,FALSE)</f>
        <v>6.7400000000000002E-2</v>
      </c>
      <c r="N1153" s="105">
        <f t="shared" si="160"/>
        <v>10.68321849196</v>
      </c>
      <c r="O1153" s="93">
        <f t="shared" si="161"/>
        <v>21.552113947960002</v>
      </c>
      <c r="P1153" s="92">
        <v>360</v>
      </c>
      <c r="Q1153" s="92" t="s">
        <v>58</v>
      </c>
      <c r="R1153" s="92" t="s">
        <v>57</v>
      </c>
      <c r="S1153" s="20">
        <v>515.798</v>
      </c>
    </row>
    <row r="1154" spans="1:19" x14ac:dyDescent="0.15">
      <c r="A1154" s="90">
        <v>44746</v>
      </c>
      <c r="B1154" s="90" t="str">
        <f t="shared" si="155"/>
        <v>juillet</v>
      </c>
      <c r="C1154" s="90" t="str">
        <f t="shared" si="156"/>
        <v>2022</v>
      </c>
      <c r="D1154" s="90" t="str">
        <f t="shared" si="157"/>
        <v>juillet2022</v>
      </c>
      <c r="E1154" s="91" t="s">
        <v>1127</v>
      </c>
      <c r="F1154" s="91">
        <v>450</v>
      </c>
      <c r="G1154" s="94">
        <f t="shared" si="158"/>
        <v>0.45</v>
      </c>
      <c r="H1154" s="92" t="s">
        <v>46</v>
      </c>
      <c r="I1154" s="96">
        <f t="shared" ref="I1154:I1217" si="162">VLOOKUP(H1154,Segment1,2,FALSE)</f>
        <v>0.3</v>
      </c>
      <c r="J1154" s="96">
        <f t="shared" ref="J1154:J1217" si="163">VLOOKUP(H1154,Segment2,2,FALSE)</f>
        <v>0.7</v>
      </c>
      <c r="K1154" s="92">
        <f>VLOOKUP(H1154,'Taux émission CO2e'!$A$5:$D$16,4,FALSE)</f>
        <v>0.16</v>
      </c>
      <c r="L1154" s="93">
        <f t="shared" si="159"/>
        <v>8.2206576000000009</v>
      </c>
      <c r="M1154" s="92">
        <f>VLOOKUP(H1154,'Taux émission CO2e'!$A$20:$D$31,4,FALSE)</f>
        <v>6.7400000000000002E-2</v>
      </c>
      <c r="N1154" s="105">
        <f t="shared" si="160"/>
        <v>8.080221366</v>
      </c>
      <c r="O1154" s="93">
        <f t="shared" si="161"/>
        <v>16.300878965999999</v>
      </c>
      <c r="P1154" s="92">
        <v>450</v>
      </c>
      <c r="Q1154" s="92" t="s">
        <v>91</v>
      </c>
      <c r="R1154" s="92" t="s">
        <v>55</v>
      </c>
      <c r="S1154" s="20">
        <v>380.58600000000001</v>
      </c>
    </row>
    <row r="1155" spans="1:19" x14ac:dyDescent="0.15">
      <c r="A1155" s="90">
        <v>44746</v>
      </c>
      <c r="B1155" s="90" t="str">
        <f t="shared" ref="B1155:B1218" si="164">TEXT(A1155,"mmmm")</f>
        <v>juillet</v>
      </c>
      <c r="C1155" s="90" t="str">
        <f t="shared" ref="C1155:C1218" si="165">TEXT(A1155,"aaaa")</f>
        <v>2022</v>
      </c>
      <c r="D1155" s="90" t="str">
        <f t="shared" ref="D1155:D1218" si="166">B1155&amp;C1155</f>
        <v>juillet2022</v>
      </c>
      <c r="E1155" s="91" t="s">
        <v>1128</v>
      </c>
      <c r="F1155" s="92">
        <v>1000</v>
      </c>
      <c r="G1155" s="94">
        <f t="shared" ref="G1155:G1218" si="167">F1155/1000</f>
        <v>1</v>
      </c>
      <c r="H1155" s="92" t="s">
        <v>45</v>
      </c>
      <c r="I1155" s="96">
        <f t="shared" si="162"/>
        <v>0.3</v>
      </c>
      <c r="J1155" s="96">
        <f t="shared" si="163"/>
        <v>0.7</v>
      </c>
      <c r="K1155" s="92">
        <f>VLOOKUP(H1155,'Taux émission CO2e'!$A$5:$D$16,4,FALSE)</f>
        <v>0.16</v>
      </c>
      <c r="L1155" s="93">
        <f t="shared" ref="L1155:L1218" si="168">IFERROR(I1155*K1155*G1155*S1155,"0")</f>
        <v>24.790752000000001</v>
      </c>
      <c r="M1155" s="92">
        <f>VLOOKUP(H1155,'Taux émission CO2e'!$A$20:$D$31,4,FALSE)</f>
        <v>6.7400000000000002E-2</v>
      </c>
      <c r="N1155" s="105">
        <f t="shared" ref="N1155:N1218" si="169">IFERROR(J1155*M1155*G1155*S1155,"0")</f>
        <v>24.367243320000004</v>
      </c>
      <c r="O1155" s="93">
        <f t="shared" ref="O1155:O1218" si="170">L1155+N1155</f>
        <v>49.157995320000005</v>
      </c>
      <c r="P1155" s="92">
        <v>520</v>
      </c>
      <c r="Q1155" s="92" t="s">
        <v>52</v>
      </c>
      <c r="R1155" s="92" t="s">
        <v>55</v>
      </c>
      <c r="S1155" s="20">
        <v>516.47400000000005</v>
      </c>
    </row>
    <row r="1156" spans="1:19" x14ac:dyDescent="0.15">
      <c r="A1156" s="90">
        <v>44747</v>
      </c>
      <c r="B1156" s="90" t="str">
        <f t="shared" si="164"/>
        <v>juillet</v>
      </c>
      <c r="C1156" s="90" t="str">
        <f t="shared" si="165"/>
        <v>2022</v>
      </c>
      <c r="D1156" s="90" t="str">
        <f t="shared" si="166"/>
        <v>juillet2022</v>
      </c>
      <c r="E1156" s="91" t="s">
        <v>1129</v>
      </c>
      <c r="F1156" s="91">
        <v>300</v>
      </c>
      <c r="G1156" s="94">
        <f t="shared" si="167"/>
        <v>0.3</v>
      </c>
      <c r="H1156" s="92" t="s">
        <v>38</v>
      </c>
      <c r="I1156" s="96">
        <f t="shared" si="162"/>
        <v>1</v>
      </c>
      <c r="J1156" s="96">
        <f t="shared" si="163"/>
        <v>0</v>
      </c>
      <c r="K1156" s="92">
        <f>VLOOKUP(H1156,'Taux émission CO2e'!$A$5:$D$16,4,FALSE)</f>
        <v>0.24099999999999999</v>
      </c>
      <c r="L1156" s="93">
        <f t="shared" si="168"/>
        <v>2.4575492999999997</v>
      </c>
      <c r="M1156" s="92">
        <f>VLOOKUP(H1156,'Taux émission CO2e'!$A$20:$D$31,4,FALSE)</f>
        <v>0</v>
      </c>
      <c r="N1156" s="105">
        <f t="shared" si="169"/>
        <v>0</v>
      </c>
      <c r="O1156" s="93">
        <f t="shared" si="170"/>
        <v>2.4575492999999997</v>
      </c>
      <c r="P1156" s="92">
        <v>100</v>
      </c>
      <c r="Q1156" s="92" t="s">
        <v>67</v>
      </c>
      <c r="R1156" s="92" t="s">
        <v>55</v>
      </c>
      <c r="S1156" s="20">
        <v>33.991</v>
      </c>
    </row>
    <row r="1157" spans="1:19" x14ac:dyDescent="0.15">
      <c r="A1157" s="90">
        <v>44747</v>
      </c>
      <c r="B1157" s="90" t="str">
        <f t="shared" si="164"/>
        <v>juillet</v>
      </c>
      <c r="C1157" s="90" t="str">
        <f t="shared" si="165"/>
        <v>2022</v>
      </c>
      <c r="D1157" s="90" t="str">
        <f t="shared" si="166"/>
        <v>juillet2022</v>
      </c>
      <c r="E1157" s="91" t="s">
        <v>1130</v>
      </c>
      <c r="F1157" s="91">
        <v>189</v>
      </c>
      <c r="G1157" s="94">
        <f t="shared" si="167"/>
        <v>0.189</v>
      </c>
      <c r="H1157" s="92" t="s">
        <v>46</v>
      </c>
      <c r="I1157" s="96">
        <f t="shared" si="162"/>
        <v>0.3</v>
      </c>
      <c r="J1157" s="96">
        <f t="shared" si="163"/>
        <v>0.7</v>
      </c>
      <c r="K1157" s="92">
        <f>VLOOKUP(H1157,'Taux émission CO2e'!$A$5:$D$16,4,FALSE)</f>
        <v>0.16</v>
      </c>
      <c r="L1157" s="93">
        <f t="shared" si="168"/>
        <v>2.3306965920000002</v>
      </c>
      <c r="M1157" s="92">
        <f>VLOOKUP(H1157,'Taux émission CO2e'!$A$20:$D$31,4,FALSE)</f>
        <v>6.7400000000000002E-2</v>
      </c>
      <c r="N1157" s="105">
        <f t="shared" si="169"/>
        <v>2.29088052522</v>
      </c>
      <c r="O1157" s="93">
        <f t="shared" si="170"/>
        <v>4.6215771172200002</v>
      </c>
      <c r="P1157" s="92">
        <v>155</v>
      </c>
      <c r="Q1157" s="92" t="s">
        <v>58</v>
      </c>
      <c r="R1157" s="92" t="s">
        <v>60</v>
      </c>
      <c r="S1157" s="20">
        <v>256.911</v>
      </c>
    </row>
    <row r="1158" spans="1:19" x14ac:dyDescent="0.15">
      <c r="A1158" s="90">
        <v>44747</v>
      </c>
      <c r="B1158" s="90" t="str">
        <f t="shared" si="164"/>
        <v>juillet</v>
      </c>
      <c r="C1158" s="90" t="str">
        <f t="shared" si="165"/>
        <v>2022</v>
      </c>
      <c r="D1158" s="90" t="str">
        <f t="shared" si="166"/>
        <v>juillet2022</v>
      </c>
      <c r="E1158" s="91" t="s">
        <v>1131</v>
      </c>
      <c r="F1158" s="91">
        <v>170</v>
      </c>
      <c r="G1158" s="94">
        <f t="shared" si="167"/>
        <v>0.17</v>
      </c>
      <c r="H1158" s="92" t="s">
        <v>46</v>
      </c>
      <c r="I1158" s="96">
        <f t="shared" si="162"/>
        <v>0.3</v>
      </c>
      <c r="J1158" s="96">
        <f t="shared" si="163"/>
        <v>0.7</v>
      </c>
      <c r="K1158" s="92">
        <f>VLOOKUP(H1158,'Taux émission CO2e'!$A$5:$D$16,4,FALSE)</f>
        <v>0.16</v>
      </c>
      <c r="L1158" s="93">
        <f t="shared" si="168"/>
        <v>6.0420312000000012</v>
      </c>
      <c r="M1158" s="92">
        <f>VLOOKUP(H1158,'Taux émission CO2e'!$A$20:$D$31,4,FALSE)</f>
        <v>6.7400000000000002E-2</v>
      </c>
      <c r="N1158" s="105">
        <f t="shared" si="169"/>
        <v>5.9388131670000011</v>
      </c>
      <c r="O1158" s="93">
        <f t="shared" si="170"/>
        <v>11.980844367000003</v>
      </c>
      <c r="P1158" s="92">
        <v>159</v>
      </c>
      <c r="Q1158" s="92" t="s">
        <v>58</v>
      </c>
      <c r="R1158" s="92" t="s">
        <v>59</v>
      </c>
      <c r="S1158" s="20">
        <v>740.44500000000005</v>
      </c>
    </row>
    <row r="1159" spans="1:19" x14ac:dyDescent="0.15">
      <c r="A1159" s="90">
        <v>44747</v>
      </c>
      <c r="B1159" s="90" t="str">
        <f t="shared" si="164"/>
        <v>juillet</v>
      </c>
      <c r="C1159" s="90" t="str">
        <f t="shared" si="165"/>
        <v>2022</v>
      </c>
      <c r="D1159" s="90" t="str">
        <f t="shared" si="166"/>
        <v>juillet2022</v>
      </c>
      <c r="E1159" s="91" t="s">
        <v>1132</v>
      </c>
      <c r="F1159" s="91">
        <v>227</v>
      </c>
      <c r="G1159" s="94">
        <f t="shared" si="167"/>
        <v>0.22700000000000001</v>
      </c>
      <c r="H1159" s="92" t="s">
        <v>46</v>
      </c>
      <c r="I1159" s="96">
        <f t="shared" si="162"/>
        <v>0.3</v>
      </c>
      <c r="J1159" s="96">
        <f t="shared" si="163"/>
        <v>0.7</v>
      </c>
      <c r="K1159" s="92">
        <f>VLOOKUP(H1159,'Taux émission CO2e'!$A$5:$D$16,4,FALSE)</f>
        <v>0.16</v>
      </c>
      <c r="L1159" s="93">
        <f t="shared" si="168"/>
        <v>5.8966972799999997</v>
      </c>
      <c r="M1159" s="92">
        <f>VLOOKUP(H1159,'Taux émission CO2e'!$A$20:$D$31,4,FALSE)</f>
        <v>6.7400000000000002E-2</v>
      </c>
      <c r="N1159" s="105">
        <f t="shared" si="169"/>
        <v>5.7959620347999996</v>
      </c>
      <c r="O1159" s="93">
        <f t="shared" si="170"/>
        <v>11.6926593148</v>
      </c>
      <c r="P1159" s="92">
        <v>165</v>
      </c>
      <c r="Q1159" s="92" t="s">
        <v>58</v>
      </c>
      <c r="R1159" s="92" t="s">
        <v>65</v>
      </c>
      <c r="S1159" s="20">
        <v>541.17999999999995</v>
      </c>
    </row>
    <row r="1160" spans="1:19" x14ac:dyDescent="0.15">
      <c r="A1160" s="90">
        <v>44747</v>
      </c>
      <c r="B1160" s="90" t="str">
        <f t="shared" si="164"/>
        <v>juillet</v>
      </c>
      <c r="C1160" s="90" t="str">
        <f t="shared" si="165"/>
        <v>2022</v>
      </c>
      <c r="D1160" s="90" t="str">
        <f t="shared" si="166"/>
        <v>juillet2022</v>
      </c>
      <c r="E1160" s="91" t="s">
        <v>1133</v>
      </c>
      <c r="F1160" s="91">
        <v>378</v>
      </c>
      <c r="G1160" s="94">
        <f t="shared" si="167"/>
        <v>0.378</v>
      </c>
      <c r="H1160" s="92" t="s">
        <v>45</v>
      </c>
      <c r="I1160" s="96">
        <f t="shared" si="162"/>
        <v>0.3</v>
      </c>
      <c r="J1160" s="96">
        <f t="shared" si="163"/>
        <v>0.7</v>
      </c>
      <c r="K1160" s="92">
        <f>VLOOKUP(H1160,'Taux émission CO2e'!$A$5:$D$16,4,FALSE)</f>
        <v>0.16</v>
      </c>
      <c r="L1160" s="93">
        <f t="shared" si="168"/>
        <v>4.5141727679999999</v>
      </c>
      <c r="M1160" s="92">
        <f>VLOOKUP(H1160,'Taux émission CO2e'!$A$20:$D$31,4,FALSE)</f>
        <v>6.7400000000000002E-2</v>
      </c>
      <c r="N1160" s="105">
        <f t="shared" si="169"/>
        <v>4.4370556498799996</v>
      </c>
      <c r="O1160" s="93">
        <f t="shared" si="170"/>
        <v>8.9512284178799995</v>
      </c>
      <c r="P1160" s="92">
        <v>178</v>
      </c>
      <c r="Q1160" s="92" t="s">
        <v>58</v>
      </c>
      <c r="R1160" s="92" t="s">
        <v>82</v>
      </c>
      <c r="S1160" s="20">
        <v>248.797</v>
      </c>
    </row>
    <row r="1161" spans="1:19" x14ac:dyDescent="0.15">
      <c r="A1161" s="90">
        <v>44747</v>
      </c>
      <c r="B1161" s="90" t="str">
        <f t="shared" si="164"/>
        <v>juillet</v>
      </c>
      <c r="C1161" s="90" t="str">
        <f t="shared" si="165"/>
        <v>2022</v>
      </c>
      <c r="D1161" s="90" t="str">
        <f t="shared" si="166"/>
        <v>juillet2022</v>
      </c>
      <c r="E1161" s="91" t="s">
        <v>1134</v>
      </c>
      <c r="F1161" s="91">
        <v>604</v>
      </c>
      <c r="G1161" s="94">
        <f t="shared" si="167"/>
        <v>0.60399999999999998</v>
      </c>
      <c r="H1161" s="92" t="s">
        <v>45</v>
      </c>
      <c r="I1161" s="96">
        <f t="shared" si="162"/>
        <v>0.3</v>
      </c>
      <c r="J1161" s="96">
        <f t="shared" si="163"/>
        <v>0.7</v>
      </c>
      <c r="K1161" s="92">
        <f>VLOOKUP(H1161,'Taux émission CO2e'!$A$5:$D$16,4,FALSE)</f>
        <v>0.16</v>
      </c>
      <c r="L1161" s="93">
        <f t="shared" si="168"/>
        <v>7.7166846720000004</v>
      </c>
      <c r="M1161" s="92">
        <f>VLOOKUP(H1161,'Taux émission CO2e'!$A$20:$D$31,4,FALSE)</f>
        <v>6.7400000000000002E-2</v>
      </c>
      <c r="N1161" s="105">
        <f t="shared" si="169"/>
        <v>7.5848579755199994</v>
      </c>
      <c r="O1161" s="93">
        <f t="shared" si="170"/>
        <v>15.30154264752</v>
      </c>
      <c r="P1161" s="92">
        <v>220</v>
      </c>
      <c r="Q1161" s="92" t="s">
        <v>58</v>
      </c>
      <c r="R1161" s="92" t="s">
        <v>53</v>
      </c>
      <c r="S1161" s="20">
        <v>266.166</v>
      </c>
    </row>
    <row r="1162" spans="1:19" x14ac:dyDescent="0.15">
      <c r="A1162" s="90">
        <v>44748</v>
      </c>
      <c r="B1162" s="90" t="str">
        <f t="shared" si="164"/>
        <v>juillet</v>
      </c>
      <c r="C1162" s="90" t="str">
        <f t="shared" si="165"/>
        <v>2022</v>
      </c>
      <c r="D1162" s="90" t="str">
        <f t="shared" si="166"/>
        <v>juillet2022</v>
      </c>
      <c r="E1162" s="91" t="s">
        <v>1135</v>
      </c>
      <c r="F1162" s="91">
        <v>300</v>
      </c>
      <c r="G1162" s="94">
        <f t="shared" si="167"/>
        <v>0.3</v>
      </c>
      <c r="H1162" s="92" t="s">
        <v>45</v>
      </c>
      <c r="I1162" s="96">
        <f t="shared" si="162"/>
        <v>0.3</v>
      </c>
      <c r="J1162" s="96">
        <f t="shared" si="163"/>
        <v>0.7</v>
      </c>
      <c r="K1162" s="92">
        <f>VLOOKUP(H1162,'Taux émission CO2e'!$A$5:$D$16,4,FALSE)</f>
        <v>0.16</v>
      </c>
      <c r="L1162" s="93">
        <f t="shared" si="168"/>
        <v>4.0052879999999993</v>
      </c>
      <c r="M1162" s="92">
        <f>VLOOKUP(H1162,'Taux émission CO2e'!$A$20:$D$31,4,FALSE)</f>
        <v>6.7400000000000002E-2</v>
      </c>
      <c r="N1162" s="105">
        <f t="shared" si="169"/>
        <v>3.9368643299999997</v>
      </c>
      <c r="O1162" s="93">
        <f t="shared" si="170"/>
        <v>7.942152329999999</v>
      </c>
      <c r="P1162" s="92">
        <v>188</v>
      </c>
      <c r="Q1162" s="92" t="s">
        <v>74</v>
      </c>
      <c r="R1162" s="92" t="s">
        <v>55</v>
      </c>
      <c r="S1162" s="20">
        <v>278.14499999999998</v>
      </c>
    </row>
    <row r="1163" spans="1:19" x14ac:dyDescent="0.15">
      <c r="A1163" s="90">
        <v>44748</v>
      </c>
      <c r="B1163" s="90" t="str">
        <f t="shared" si="164"/>
        <v>juillet</v>
      </c>
      <c r="C1163" s="90" t="str">
        <f t="shared" si="165"/>
        <v>2022</v>
      </c>
      <c r="D1163" s="90" t="str">
        <f t="shared" si="166"/>
        <v>juillet2022</v>
      </c>
      <c r="E1163" s="91" t="s">
        <v>1136</v>
      </c>
      <c r="F1163" s="91">
        <v>102</v>
      </c>
      <c r="G1163" s="94">
        <f t="shared" si="167"/>
        <v>0.10199999999999999</v>
      </c>
      <c r="H1163" s="92" t="s">
        <v>46</v>
      </c>
      <c r="I1163" s="96">
        <f t="shared" si="162"/>
        <v>0.3</v>
      </c>
      <c r="J1163" s="96">
        <f t="shared" si="163"/>
        <v>0.7</v>
      </c>
      <c r="K1163" s="92">
        <f>VLOOKUP(H1163,'Taux émission CO2e'!$A$5:$D$16,4,FALSE)</f>
        <v>0.16</v>
      </c>
      <c r="L1163" s="93">
        <f t="shared" si="168"/>
        <v>3.8131027200000003</v>
      </c>
      <c r="M1163" s="92">
        <f>VLOOKUP(H1163,'Taux émission CO2e'!$A$20:$D$31,4,FALSE)</f>
        <v>6.7400000000000002E-2</v>
      </c>
      <c r="N1163" s="105">
        <f t="shared" si="169"/>
        <v>3.7479622152000003</v>
      </c>
      <c r="O1163" s="93">
        <f t="shared" si="170"/>
        <v>7.561064935200001</v>
      </c>
      <c r="P1163" s="92">
        <v>200</v>
      </c>
      <c r="Q1163" s="92" t="s">
        <v>58</v>
      </c>
      <c r="R1163" s="92" t="s">
        <v>750</v>
      </c>
      <c r="S1163" s="20">
        <v>778.82</v>
      </c>
    </row>
    <row r="1164" spans="1:19" x14ac:dyDescent="0.15">
      <c r="A1164" s="90">
        <v>44748</v>
      </c>
      <c r="B1164" s="90" t="str">
        <f t="shared" si="164"/>
        <v>juillet</v>
      </c>
      <c r="C1164" s="90" t="str">
        <f t="shared" si="165"/>
        <v>2022</v>
      </c>
      <c r="D1164" s="90" t="str">
        <f t="shared" si="166"/>
        <v>juillet2022</v>
      </c>
      <c r="E1164" s="91" t="s">
        <v>1137</v>
      </c>
      <c r="F1164" s="91">
        <v>203</v>
      </c>
      <c r="G1164" s="94">
        <f t="shared" si="167"/>
        <v>0.20300000000000001</v>
      </c>
      <c r="H1164" s="92" t="s">
        <v>46</v>
      </c>
      <c r="I1164" s="96">
        <f t="shared" si="162"/>
        <v>0.3</v>
      </c>
      <c r="J1164" s="96">
        <f t="shared" si="163"/>
        <v>0.7</v>
      </c>
      <c r="K1164" s="92">
        <f>VLOOKUP(H1164,'Taux émission CO2e'!$A$5:$D$16,4,FALSE)</f>
        <v>0.16</v>
      </c>
      <c r="L1164" s="93">
        <f t="shared" si="168"/>
        <v>2.7263614560000002</v>
      </c>
      <c r="M1164" s="92">
        <f>VLOOKUP(H1164,'Taux émission CO2e'!$A$20:$D$31,4,FALSE)</f>
        <v>6.7400000000000002E-2</v>
      </c>
      <c r="N1164" s="105">
        <f t="shared" si="169"/>
        <v>2.6797861144600001</v>
      </c>
      <c r="O1164" s="93">
        <f t="shared" si="170"/>
        <v>5.4061475704599999</v>
      </c>
      <c r="P1164" s="92">
        <v>205</v>
      </c>
      <c r="Q1164" s="92" t="s">
        <v>58</v>
      </c>
      <c r="R1164" s="92" t="s">
        <v>70</v>
      </c>
      <c r="S1164" s="20">
        <v>279.79899999999998</v>
      </c>
    </row>
    <row r="1165" spans="1:19" x14ac:dyDescent="0.15">
      <c r="A1165" s="90">
        <v>44749</v>
      </c>
      <c r="B1165" s="90" t="str">
        <f t="shared" si="164"/>
        <v>juillet</v>
      </c>
      <c r="C1165" s="90" t="str">
        <f t="shared" si="165"/>
        <v>2022</v>
      </c>
      <c r="D1165" s="90" t="str">
        <f t="shared" si="166"/>
        <v>juillet2022</v>
      </c>
      <c r="E1165" s="91" t="s">
        <v>1138</v>
      </c>
      <c r="F1165" s="91">
        <v>150</v>
      </c>
      <c r="G1165" s="94">
        <f t="shared" si="167"/>
        <v>0.15</v>
      </c>
      <c r="H1165" s="92" t="s">
        <v>46</v>
      </c>
      <c r="I1165" s="96">
        <f t="shared" si="162"/>
        <v>0.3</v>
      </c>
      <c r="J1165" s="96">
        <f t="shared" si="163"/>
        <v>0.7</v>
      </c>
      <c r="K1165" s="92">
        <f>VLOOKUP(H1165,'Taux émission CO2e'!$A$5:$D$16,4,FALSE)</f>
        <v>0.16</v>
      </c>
      <c r="L1165" s="93">
        <f t="shared" si="168"/>
        <v>1.6760231999999999</v>
      </c>
      <c r="M1165" s="92">
        <f>VLOOKUP(H1165,'Taux émission CO2e'!$A$20:$D$31,4,FALSE)</f>
        <v>6.7400000000000002E-2</v>
      </c>
      <c r="N1165" s="105">
        <f t="shared" si="169"/>
        <v>1.6473911370000001</v>
      </c>
      <c r="O1165" s="93">
        <f t="shared" si="170"/>
        <v>3.323414337</v>
      </c>
      <c r="P1165" s="92">
        <v>130</v>
      </c>
      <c r="Q1165" s="92" t="s">
        <v>1139</v>
      </c>
      <c r="R1165" s="92" t="s">
        <v>55</v>
      </c>
      <c r="S1165" s="20">
        <v>232.78100000000001</v>
      </c>
    </row>
    <row r="1166" spans="1:19" x14ac:dyDescent="0.15">
      <c r="A1166" s="90">
        <v>44749</v>
      </c>
      <c r="B1166" s="90" t="str">
        <f t="shared" si="164"/>
        <v>juillet</v>
      </c>
      <c r="C1166" s="90" t="str">
        <f t="shared" si="165"/>
        <v>2022</v>
      </c>
      <c r="D1166" s="90" t="str">
        <f t="shared" si="166"/>
        <v>juillet2022</v>
      </c>
      <c r="E1166" s="91" t="s">
        <v>1140</v>
      </c>
      <c r="F1166" s="91">
        <v>150</v>
      </c>
      <c r="G1166" s="94">
        <f t="shared" si="167"/>
        <v>0.15</v>
      </c>
      <c r="H1166" s="92" t="s">
        <v>45</v>
      </c>
      <c r="I1166" s="96">
        <f t="shared" si="162"/>
        <v>0.3</v>
      </c>
      <c r="J1166" s="96">
        <f t="shared" si="163"/>
        <v>0.7</v>
      </c>
      <c r="K1166" s="92">
        <f>VLOOKUP(H1166,'Taux émission CO2e'!$A$5:$D$16,4,FALSE)</f>
        <v>0.16</v>
      </c>
      <c r="L1166" s="93">
        <f t="shared" si="168"/>
        <v>3.2002847999999999</v>
      </c>
      <c r="M1166" s="92">
        <f>VLOOKUP(H1166,'Taux émission CO2e'!$A$20:$D$31,4,FALSE)</f>
        <v>6.7400000000000002E-2</v>
      </c>
      <c r="N1166" s="105">
        <f t="shared" si="169"/>
        <v>3.145613268</v>
      </c>
      <c r="O1166" s="93">
        <f t="shared" si="170"/>
        <v>6.3458980680000003</v>
      </c>
      <c r="P1166" s="92">
        <v>130</v>
      </c>
      <c r="Q1166" s="92" t="s">
        <v>1025</v>
      </c>
      <c r="R1166" s="92" t="s">
        <v>55</v>
      </c>
      <c r="S1166" s="20">
        <v>444.48399999999998</v>
      </c>
    </row>
    <row r="1167" spans="1:19" x14ac:dyDescent="0.15">
      <c r="A1167" s="90">
        <v>44749</v>
      </c>
      <c r="B1167" s="90" t="str">
        <f t="shared" si="164"/>
        <v>juillet</v>
      </c>
      <c r="C1167" s="90" t="str">
        <f t="shared" si="165"/>
        <v>2022</v>
      </c>
      <c r="D1167" s="90" t="str">
        <f t="shared" si="166"/>
        <v>juillet2022</v>
      </c>
      <c r="E1167" s="91" t="s">
        <v>1141</v>
      </c>
      <c r="F1167" s="91">
        <v>150</v>
      </c>
      <c r="G1167" s="94">
        <f t="shared" si="167"/>
        <v>0.15</v>
      </c>
      <c r="H1167" s="92" t="s">
        <v>45</v>
      </c>
      <c r="I1167" s="96">
        <f t="shared" si="162"/>
        <v>0.3</v>
      </c>
      <c r="J1167" s="96">
        <f t="shared" si="163"/>
        <v>0.7</v>
      </c>
      <c r="K1167" s="92">
        <f>VLOOKUP(H1167,'Taux émission CO2e'!$A$5:$D$16,4,FALSE)</f>
        <v>0.16</v>
      </c>
      <c r="L1167" s="93">
        <f t="shared" si="168"/>
        <v>2.0026439999999996</v>
      </c>
      <c r="M1167" s="92">
        <f>VLOOKUP(H1167,'Taux émission CO2e'!$A$20:$D$31,4,FALSE)</f>
        <v>6.7400000000000002E-2</v>
      </c>
      <c r="N1167" s="105">
        <f t="shared" si="169"/>
        <v>1.9684321649999998</v>
      </c>
      <c r="O1167" s="93">
        <f t="shared" si="170"/>
        <v>3.9710761649999995</v>
      </c>
      <c r="P1167" s="92">
        <v>158</v>
      </c>
      <c r="Q1167" s="92" t="s">
        <v>74</v>
      </c>
      <c r="R1167" s="92" t="s">
        <v>55</v>
      </c>
      <c r="S1167" s="20">
        <v>278.14499999999998</v>
      </c>
    </row>
    <row r="1168" spans="1:19" x14ac:dyDescent="0.15">
      <c r="A1168" s="90">
        <v>44749</v>
      </c>
      <c r="B1168" s="90" t="str">
        <f t="shared" si="164"/>
        <v>juillet</v>
      </c>
      <c r="C1168" s="90" t="str">
        <f t="shared" si="165"/>
        <v>2022</v>
      </c>
      <c r="D1168" s="90" t="str">
        <f t="shared" si="166"/>
        <v>juillet2022</v>
      </c>
      <c r="E1168" s="91" t="s">
        <v>1142</v>
      </c>
      <c r="F1168" s="91">
        <v>300</v>
      </c>
      <c r="G1168" s="94">
        <f t="shared" si="167"/>
        <v>0.3</v>
      </c>
      <c r="H1168" s="92" t="s">
        <v>45</v>
      </c>
      <c r="I1168" s="96">
        <f t="shared" si="162"/>
        <v>0.3</v>
      </c>
      <c r="J1168" s="96">
        <f t="shared" si="163"/>
        <v>0.7</v>
      </c>
      <c r="K1168" s="92">
        <f>VLOOKUP(H1168,'Taux émission CO2e'!$A$5:$D$16,4,FALSE)</f>
        <v>0.16</v>
      </c>
      <c r="L1168" s="93">
        <f t="shared" si="168"/>
        <v>7.402795199999999</v>
      </c>
      <c r="M1168" s="92">
        <f>VLOOKUP(H1168,'Taux émission CO2e'!$A$20:$D$31,4,FALSE)</f>
        <v>6.7400000000000002E-2</v>
      </c>
      <c r="N1168" s="105">
        <f t="shared" si="169"/>
        <v>7.2763307819999996</v>
      </c>
      <c r="O1168" s="93">
        <f t="shared" si="170"/>
        <v>14.679125981999999</v>
      </c>
      <c r="P1168" s="92">
        <v>165</v>
      </c>
      <c r="Q1168" s="92" t="s">
        <v>1012</v>
      </c>
      <c r="R1168" s="92" t="s">
        <v>55</v>
      </c>
      <c r="S1168" s="20">
        <v>514.08299999999997</v>
      </c>
    </row>
    <row r="1169" spans="1:19" x14ac:dyDescent="0.15">
      <c r="A1169" s="90">
        <v>44749</v>
      </c>
      <c r="B1169" s="90" t="str">
        <f t="shared" si="164"/>
        <v>juillet</v>
      </c>
      <c r="C1169" s="90" t="str">
        <f t="shared" si="165"/>
        <v>2022</v>
      </c>
      <c r="D1169" s="90" t="str">
        <f t="shared" si="166"/>
        <v>juillet2022</v>
      </c>
      <c r="E1169" s="91" t="s">
        <v>1143</v>
      </c>
      <c r="F1169" s="91">
        <v>300</v>
      </c>
      <c r="G1169" s="94">
        <f t="shared" si="167"/>
        <v>0.3</v>
      </c>
      <c r="H1169" s="92" t="s">
        <v>45</v>
      </c>
      <c r="I1169" s="96">
        <f t="shared" si="162"/>
        <v>0.3</v>
      </c>
      <c r="J1169" s="96">
        <f t="shared" si="163"/>
        <v>0.7</v>
      </c>
      <c r="K1169" s="92">
        <f>VLOOKUP(H1169,'Taux émission CO2e'!$A$5:$D$16,4,FALSE)</f>
        <v>0.16</v>
      </c>
      <c r="L1169" s="93">
        <f t="shared" si="168"/>
        <v>4.5534527999999996</v>
      </c>
      <c r="M1169" s="92">
        <f>VLOOKUP(H1169,'Taux émission CO2e'!$A$20:$D$31,4,FALSE)</f>
        <v>6.7400000000000002E-2</v>
      </c>
      <c r="N1169" s="105">
        <f t="shared" si="169"/>
        <v>4.4756646479999995</v>
      </c>
      <c r="O1169" s="93">
        <f t="shared" si="170"/>
        <v>9.0291174479999992</v>
      </c>
      <c r="P1169" s="92">
        <v>175</v>
      </c>
      <c r="Q1169" s="92" t="s">
        <v>1029</v>
      </c>
      <c r="R1169" s="92" t="s">
        <v>55</v>
      </c>
      <c r="S1169" s="20">
        <v>316.21199999999999</v>
      </c>
    </row>
    <row r="1170" spans="1:19" x14ac:dyDescent="0.15">
      <c r="A1170" s="90">
        <v>44749</v>
      </c>
      <c r="B1170" s="90" t="str">
        <f t="shared" si="164"/>
        <v>juillet</v>
      </c>
      <c r="C1170" s="90" t="str">
        <f t="shared" si="165"/>
        <v>2022</v>
      </c>
      <c r="D1170" s="90" t="str">
        <f t="shared" si="166"/>
        <v>juillet2022</v>
      </c>
      <c r="E1170" s="91" t="s">
        <v>1144</v>
      </c>
      <c r="F1170" s="91">
        <v>300</v>
      </c>
      <c r="G1170" s="94">
        <f t="shared" si="167"/>
        <v>0.3</v>
      </c>
      <c r="H1170" s="92" t="s">
        <v>45</v>
      </c>
      <c r="I1170" s="96">
        <f t="shared" si="162"/>
        <v>0.3</v>
      </c>
      <c r="J1170" s="96">
        <f t="shared" si="163"/>
        <v>0.7</v>
      </c>
      <c r="K1170" s="92">
        <f>VLOOKUP(H1170,'Taux émission CO2e'!$A$5:$D$16,4,FALSE)</f>
        <v>0.16</v>
      </c>
      <c r="L1170" s="93">
        <f t="shared" si="168"/>
        <v>7.7429951999999993</v>
      </c>
      <c r="M1170" s="92">
        <f>VLOOKUP(H1170,'Taux émission CO2e'!$A$20:$D$31,4,FALSE)</f>
        <v>6.7400000000000002E-2</v>
      </c>
      <c r="N1170" s="105">
        <f t="shared" si="169"/>
        <v>7.6107190319999996</v>
      </c>
      <c r="O1170" s="93">
        <f t="shared" si="170"/>
        <v>15.353714231999998</v>
      </c>
      <c r="P1170" s="92">
        <v>195</v>
      </c>
      <c r="Q1170" s="92" t="s">
        <v>612</v>
      </c>
      <c r="R1170" s="92" t="s">
        <v>55</v>
      </c>
      <c r="S1170" s="20">
        <v>537.70799999999997</v>
      </c>
    </row>
    <row r="1171" spans="1:19" x14ac:dyDescent="0.15">
      <c r="A1171" s="90">
        <v>44749</v>
      </c>
      <c r="B1171" s="90" t="str">
        <f t="shared" si="164"/>
        <v>juillet</v>
      </c>
      <c r="C1171" s="90" t="str">
        <f t="shared" si="165"/>
        <v>2022</v>
      </c>
      <c r="D1171" s="90" t="str">
        <f t="shared" si="166"/>
        <v>juillet2022</v>
      </c>
      <c r="E1171" s="91" t="s">
        <v>1145</v>
      </c>
      <c r="F1171" s="91">
        <v>152</v>
      </c>
      <c r="G1171" s="94">
        <f t="shared" si="167"/>
        <v>0.152</v>
      </c>
      <c r="H1171" s="92" t="s">
        <v>46</v>
      </c>
      <c r="I1171" s="96">
        <f t="shared" si="162"/>
        <v>0.3</v>
      </c>
      <c r="J1171" s="96">
        <f t="shared" si="163"/>
        <v>0.7</v>
      </c>
      <c r="K1171" s="92">
        <f>VLOOKUP(H1171,'Taux émission CO2e'!$A$5:$D$16,4,FALSE)</f>
        <v>0.16</v>
      </c>
      <c r="L1171" s="93">
        <f t="shared" si="168"/>
        <v>6.4518528000000002</v>
      </c>
      <c r="M1171" s="92">
        <f>VLOOKUP(H1171,'Taux émission CO2e'!$A$20:$D$31,4,FALSE)</f>
        <v>6.7400000000000002E-2</v>
      </c>
      <c r="N1171" s="105">
        <f t="shared" si="169"/>
        <v>6.3416336479999993</v>
      </c>
      <c r="O1171" s="93">
        <f t="shared" si="170"/>
        <v>12.793486447999999</v>
      </c>
      <c r="P1171" s="92">
        <v>196</v>
      </c>
      <c r="Q1171" s="92" t="s">
        <v>58</v>
      </c>
      <c r="R1171" s="92" t="s">
        <v>656</v>
      </c>
      <c r="S1171" s="20">
        <v>884.3</v>
      </c>
    </row>
    <row r="1172" spans="1:19" x14ac:dyDescent="0.15">
      <c r="A1172" s="90">
        <v>44749</v>
      </c>
      <c r="B1172" s="90" t="str">
        <f t="shared" si="164"/>
        <v>juillet</v>
      </c>
      <c r="C1172" s="90" t="str">
        <f t="shared" si="165"/>
        <v>2022</v>
      </c>
      <c r="D1172" s="90" t="str">
        <f t="shared" si="166"/>
        <v>juillet2022</v>
      </c>
      <c r="E1172" s="91" t="s">
        <v>1146</v>
      </c>
      <c r="F1172" s="91">
        <v>220</v>
      </c>
      <c r="G1172" s="94">
        <f t="shared" si="167"/>
        <v>0.22</v>
      </c>
      <c r="H1172" s="92" t="s">
        <v>46</v>
      </c>
      <c r="I1172" s="96">
        <f t="shared" si="162"/>
        <v>0.3</v>
      </c>
      <c r="J1172" s="96">
        <f t="shared" si="163"/>
        <v>0.7</v>
      </c>
      <c r="K1172" s="92">
        <f>VLOOKUP(H1172,'Taux émission CO2e'!$A$5:$D$16,4,FALSE)</f>
        <v>0.16</v>
      </c>
      <c r="L1172" s="93">
        <f t="shared" si="168"/>
        <v>3.3451651199999999</v>
      </c>
      <c r="M1172" s="92">
        <f>VLOOKUP(H1172,'Taux émission CO2e'!$A$20:$D$31,4,FALSE)</f>
        <v>6.7400000000000002E-2</v>
      </c>
      <c r="N1172" s="105">
        <f t="shared" si="169"/>
        <v>3.2880185491999998</v>
      </c>
      <c r="O1172" s="93">
        <f t="shared" si="170"/>
        <v>6.6331836691999992</v>
      </c>
      <c r="P1172" s="92">
        <v>210</v>
      </c>
      <c r="Q1172" s="92" t="s">
        <v>58</v>
      </c>
      <c r="R1172" s="92" t="s">
        <v>632</v>
      </c>
      <c r="S1172" s="20">
        <v>316.77699999999999</v>
      </c>
    </row>
    <row r="1173" spans="1:19" x14ac:dyDescent="0.15">
      <c r="A1173" s="90">
        <v>44749</v>
      </c>
      <c r="B1173" s="90" t="str">
        <f t="shared" si="164"/>
        <v>juillet</v>
      </c>
      <c r="C1173" s="90" t="str">
        <f t="shared" si="165"/>
        <v>2022</v>
      </c>
      <c r="D1173" s="90" t="str">
        <f t="shared" si="166"/>
        <v>juillet2022</v>
      </c>
      <c r="E1173" s="91" t="s">
        <v>1147</v>
      </c>
      <c r="F1173" s="91">
        <v>303</v>
      </c>
      <c r="G1173" s="94">
        <f t="shared" si="167"/>
        <v>0.30299999999999999</v>
      </c>
      <c r="H1173" s="92" t="s">
        <v>46</v>
      </c>
      <c r="I1173" s="96">
        <f t="shared" si="162"/>
        <v>0.3</v>
      </c>
      <c r="J1173" s="96">
        <f t="shared" si="163"/>
        <v>0.7</v>
      </c>
      <c r="K1173" s="92">
        <f>VLOOKUP(H1173,'Taux émission CO2e'!$A$5:$D$16,4,FALSE)</f>
        <v>0.16</v>
      </c>
      <c r="L1173" s="93">
        <f t="shared" si="168"/>
        <v>3.8620864800000003</v>
      </c>
      <c r="M1173" s="92">
        <f>VLOOKUP(H1173,'Taux émission CO2e'!$A$20:$D$31,4,FALSE)</f>
        <v>6.7400000000000002E-2</v>
      </c>
      <c r="N1173" s="105">
        <f t="shared" si="169"/>
        <v>3.7961091692999998</v>
      </c>
      <c r="O1173" s="93">
        <f t="shared" si="170"/>
        <v>7.6581956492999996</v>
      </c>
      <c r="P1173" s="92">
        <v>215</v>
      </c>
      <c r="Q1173" s="92" t="s">
        <v>58</v>
      </c>
      <c r="R1173" s="92" t="s">
        <v>71</v>
      </c>
      <c r="S1173" s="20">
        <v>265.54500000000002</v>
      </c>
    </row>
    <row r="1174" spans="1:19" x14ac:dyDescent="0.15">
      <c r="A1174" s="90">
        <v>44749</v>
      </c>
      <c r="B1174" s="90" t="str">
        <f t="shared" si="164"/>
        <v>juillet</v>
      </c>
      <c r="C1174" s="90" t="str">
        <f t="shared" si="165"/>
        <v>2022</v>
      </c>
      <c r="D1174" s="90" t="str">
        <f t="shared" si="166"/>
        <v>juillet2022</v>
      </c>
      <c r="E1174" s="91" t="s">
        <v>1148</v>
      </c>
      <c r="F1174" s="91">
        <v>303</v>
      </c>
      <c r="G1174" s="94">
        <f t="shared" si="167"/>
        <v>0.30299999999999999</v>
      </c>
      <c r="H1174" s="92" t="s">
        <v>46</v>
      </c>
      <c r="I1174" s="96">
        <f t="shared" si="162"/>
        <v>0.3</v>
      </c>
      <c r="J1174" s="96">
        <f t="shared" si="163"/>
        <v>0.7</v>
      </c>
      <c r="K1174" s="92">
        <f>VLOOKUP(H1174,'Taux émission CO2e'!$A$5:$D$16,4,FALSE)</f>
        <v>0.16</v>
      </c>
      <c r="L1174" s="93">
        <f t="shared" si="168"/>
        <v>3.6185035679999999</v>
      </c>
      <c r="M1174" s="92">
        <f>VLOOKUP(H1174,'Taux émission CO2e'!$A$20:$D$31,4,FALSE)</f>
        <v>6.7400000000000002E-2</v>
      </c>
      <c r="N1174" s="105">
        <f t="shared" si="169"/>
        <v>3.5566874653799996</v>
      </c>
      <c r="O1174" s="93">
        <f t="shared" si="170"/>
        <v>7.1751910333799991</v>
      </c>
      <c r="P1174" s="92">
        <v>215</v>
      </c>
      <c r="Q1174" s="92" t="s">
        <v>58</v>
      </c>
      <c r="R1174" s="92" t="s">
        <v>82</v>
      </c>
      <c r="S1174" s="20">
        <v>248.797</v>
      </c>
    </row>
    <row r="1175" spans="1:19" x14ac:dyDescent="0.15">
      <c r="A1175" s="90">
        <v>44749</v>
      </c>
      <c r="B1175" s="90" t="str">
        <f t="shared" si="164"/>
        <v>juillet</v>
      </c>
      <c r="C1175" s="90" t="str">
        <f t="shared" si="165"/>
        <v>2022</v>
      </c>
      <c r="D1175" s="90" t="str">
        <f t="shared" si="166"/>
        <v>juillet2022</v>
      </c>
      <c r="E1175" s="91" t="s">
        <v>1149</v>
      </c>
      <c r="F1175" s="91">
        <v>300</v>
      </c>
      <c r="G1175" s="94">
        <f t="shared" si="167"/>
        <v>0.3</v>
      </c>
      <c r="H1175" s="92" t="s">
        <v>46</v>
      </c>
      <c r="I1175" s="96">
        <f t="shared" si="162"/>
        <v>0.3</v>
      </c>
      <c r="J1175" s="96">
        <f t="shared" si="163"/>
        <v>0.7</v>
      </c>
      <c r="K1175" s="92">
        <f>VLOOKUP(H1175,'Taux émission CO2e'!$A$5:$D$16,4,FALSE)</f>
        <v>0.16</v>
      </c>
      <c r="L1175" s="93">
        <f t="shared" si="168"/>
        <v>7.7979743999999993</v>
      </c>
      <c r="M1175" s="92">
        <f>VLOOKUP(H1175,'Taux émission CO2e'!$A$20:$D$31,4,FALSE)</f>
        <v>6.7400000000000002E-2</v>
      </c>
      <c r="N1175" s="105">
        <f t="shared" si="169"/>
        <v>7.6647590039999995</v>
      </c>
      <c r="O1175" s="93">
        <f t="shared" si="170"/>
        <v>15.462733403999998</v>
      </c>
      <c r="P1175" s="92">
        <v>239</v>
      </c>
      <c r="Q1175" s="92" t="s">
        <v>62</v>
      </c>
      <c r="R1175" s="92" t="s">
        <v>55</v>
      </c>
      <c r="S1175" s="20">
        <v>541.52599999999995</v>
      </c>
    </row>
    <row r="1176" spans="1:19" x14ac:dyDescent="0.15">
      <c r="A1176" s="90">
        <v>44749</v>
      </c>
      <c r="B1176" s="90" t="str">
        <f t="shared" si="164"/>
        <v>juillet</v>
      </c>
      <c r="C1176" s="90" t="str">
        <f t="shared" si="165"/>
        <v>2022</v>
      </c>
      <c r="D1176" s="90" t="str">
        <f t="shared" si="166"/>
        <v>juillet2022</v>
      </c>
      <c r="E1176" s="91" t="s">
        <v>1150</v>
      </c>
      <c r="F1176" s="91">
        <v>150</v>
      </c>
      <c r="G1176" s="94">
        <f t="shared" si="167"/>
        <v>0.15</v>
      </c>
      <c r="H1176" s="92" t="s">
        <v>46</v>
      </c>
      <c r="I1176" s="96">
        <f t="shared" si="162"/>
        <v>0.3</v>
      </c>
      <c r="J1176" s="96">
        <f t="shared" si="163"/>
        <v>0.7</v>
      </c>
      <c r="K1176" s="92">
        <f>VLOOKUP(H1176,'Taux émission CO2e'!$A$5:$D$16,4,FALSE)</f>
        <v>0.16</v>
      </c>
      <c r="L1176" s="93">
        <f t="shared" si="168"/>
        <v>3.2836824</v>
      </c>
      <c r="M1176" s="92">
        <f>VLOOKUP(H1176,'Taux émission CO2e'!$A$20:$D$31,4,FALSE)</f>
        <v>6.7400000000000002E-2</v>
      </c>
      <c r="N1176" s="105">
        <f t="shared" si="169"/>
        <v>3.2275861589999999</v>
      </c>
      <c r="O1176" s="93">
        <f t="shared" si="170"/>
        <v>6.5112685589999995</v>
      </c>
      <c r="P1176" s="92">
        <v>280</v>
      </c>
      <c r="Q1176" s="92" t="s">
        <v>570</v>
      </c>
      <c r="R1176" s="92" t="s">
        <v>55</v>
      </c>
      <c r="S1176" s="20">
        <v>456.06700000000001</v>
      </c>
    </row>
    <row r="1177" spans="1:19" x14ac:dyDescent="0.15">
      <c r="A1177" s="90">
        <v>44749</v>
      </c>
      <c r="B1177" s="90" t="str">
        <f t="shared" si="164"/>
        <v>juillet</v>
      </c>
      <c r="C1177" s="90" t="str">
        <f t="shared" si="165"/>
        <v>2022</v>
      </c>
      <c r="D1177" s="90" t="str">
        <f t="shared" si="166"/>
        <v>juillet2022</v>
      </c>
      <c r="E1177" s="91" t="s">
        <v>1151</v>
      </c>
      <c r="F1177" s="91">
        <v>300</v>
      </c>
      <c r="G1177" s="94">
        <f t="shared" si="167"/>
        <v>0.3</v>
      </c>
      <c r="H1177" s="92" t="s">
        <v>46</v>
      </c>
      <c r="I1177" s="96">
        <f t="shared" si="162"/>
        <v>0.3</v>
      </c>
      <c r="J1177" s="96">
        <f t="shared" si="163"/>
        <v>0.7</v>
      </c>
      <c r="K1177" s="92">
        <f>VLOOKUP(H1177,'Taux émission CO2e'!$A$5:$D$16,4,FALSE)</f>
        <v>0.16</v>
      </c>
      <c r="L1177" s="93">
        <f t="shared" si="168"/>
        <v>10.662408000000001</v>
      </c>
      <c r="M1177" s="92">
        <f>VLOOKUP(H1177,'Taux émission CO2e'!$A$20:$D$31,4,FALSE)</f>
        <v>6.7400000000000002E-2</v>
      </c>
      <c r="N1177" s="105">
        <f t="shared" si="169"/>
        <v>10.48025853</v>
      </c>
      <c r="O1177" s="93">
        <f t="shared" si="170"/>
        <v>21.14266653</v>
      </c>
      <c r="P1177" s="92">
        <v>340</v>
      </c>
      <c r="Q1177" s="92" t="s">
        <v>58</v>
      </c>
      <c r="R1177" s="92" t="s">
        <v>59</v>
      </c>
      <c r="S1177" s="20">
        <v>740.44500000000005</v>
      </c>
    </row>
    <row r="1178" spans="1:19" x14ac:dyDescent="0.15">
      <c r="A1178" s="90">
        <v>44750</v>
      </c>
      <c r="B1178" s="90" t="str">
        <f t="shared" si="164"/>
        <v>juillet</v>
      </c>
      <c r="C1178" s="90" t="str">
        <f t="shared" si="165"/>
        <v>2022</v>
      </c>
      <c r="D1178" s="90" t="str">
        <f t="shared" si="166"/>
        <v>juillet2022</v>
      </c>
      <c r="E1178" s="91" t="s">
        <v>1152</v>
      </c>
      <c r="F1178" s="91">
        <v>152</v>
      </c>
      <c r="G1178" s="94">
        <f t="shared" si="167"/>
        <v>0.152</v>
      </c>
      <c r="H1178" s="92" t="s">
        <v>46</v>
      </c>
      <c r="I1178" s="96">
        <f t="shared" si="162"/>
        <v>0.3</v>
      </c>
      <c r="J1178" s="96">
        <f t="shared" si="163"/>
        <v>0.7</v>
      </c>
      <c r="K1178" s="92">
        <f>VLOOKUP(H1178,'Taux émission CO2e'!$A$5:$D$16,4,FALSE)</f>
        <v>0.16</v>
      </c>
      <c r="L1178" s="93">
        <f t="shared" si="168"/>
        <v>1.8152229120000001</v>
      </c>
      <c r="M1178" s="92">
        <f>VLOOKUP(H1178,'Taux émission CO2e'!$A$20:$D$31,4,FALSE)</f>
        <v>6.7400000000000002E-2</v>
      </c>
      <c r="N1178" s="105">
        <f t="shared" si="169"/>
        <v>1.78421285392</v>
      </c>
      <c r="O1178" s="93">
        <f t="shared" si="170"/>
        <v>3.59943576592</v>
      </c>
      <c r="P1178" s="92">
        <v>100</v>
      </c>
      <c r="Q1178" s="92" t="s">
        <v>58</v>
      </c>
      <c r="R1178" s="92" t="s">
        <v>82</v>
      </c>
      <c r="S1178" s="20">
        <v>248.797</v>
      </c>
    </row>
    <row r="1179" spans="1:19" x14ac:dyDescent="0.15">
      <c r="A1179" s="90">
        <v>44750</v>
      </c>
      <c r="B1179" s="90" t="str">
        <f t="shared" si="164"/>
        <v>juillet</v>
      </c>
      <c r="C1179" s="90" t="str">
        <f t="shared" si="165"/>
        <v>2022</v>
      </c>
      <c r="D1179" s="90" t="str">
        <f t="shared" si="166"/>
        <v>juillet2022</v>
      </c>
      <c r="E1179" s="91" t="s">
        <v>1153</v>
      </c>
      <c r="F1179" s="91">
        <v>150</v>
      </c>
      <c r="G1179" s="94">
        <f t="shared" si="167"/>
        <v>0.15</v>
      </c>
      <c r="H1179" s="92" t="s">
        <v>45</v>
      </c>
      <c r="I1179" s="96">
        <f t="shared" si="162"/>
        <v>0.3</v>
      </c>
      <c r="J1179" s="96">
        <f t="shared" si="163"/>
        <v>0.7</v>
      </c>
      <c r="K1179" s="92">
        <f>VLOOKUP(H1179,'Taux émission CO2e'!$A$5:$D$16,4,FALSE)</f>
        <v>0.16</v>
      </c>
      <c r="L1179" s="93">
        <f t="shared" si="168"/>
        <v>2.8012535999999999</v>
      </c>
      <c r="M1179" s="92">
        <f>VLOOKUP(H1179,'Taux émission CO2e'!$A$20:$D$31,4,FALSE)</f>
        <v>6.7400000000000002E-2</v>
      </c>
      <c r="N1179" s="105">
        <f t="shared" si="169"/>
        <v>2.753398851</v>
      </c>
      <c r="O1179" s="93">
        <f t="shared" si="170"/>
        <v>5.5546524509999999</v>
      </c>
      <c r="P1179" s="92">
        <v>125</v>
      </c>
      <c r="Q1179" s="92" t="s">
        <v>842</v>
      </c>
      <c r="R1179" s="92" t="s">
        <v>55</v>
      </c>
      <c r="S1179" s="20">
        <v>389.06299999999999</v>
      </c>
    </row>
    <row r="1180" spans="1:19" x14ac:dyDescent="0.15">
      <c r="A1180" s="90">
        <v>44750</v>
      </c>
      <c r="B1180" s="90" t="str">
        <f t="shared" si="164"/>
        <v>juillet</v>
      </c>
      <c r="C1180" s="90" t="str">
        <f t="shared" si="165"/>
        <v>2022</v>
      </c>
      <c r="D1180" s="90" t="str">
        <f t="shared" si="166"/>
        <v>juillet2022</v>
      </c>
      <c r="E1180" s="91" t="s">
        <v>1154</v>
      </c>
      <c r="F1180" s="91">
        <v>150</v>
      </c>
      <c r="G1180" s="94">
        <f t="shared" si="167"/>
        <v>0.15</v>
      </c>
      <c r="H1180" s="92" t="s">
        <v>45</v>
      </c>
      <c r="I1180" s="96">
        <f t="shared" si="162"/>
        <v>0.3</v>
      </c>
      <c r="J1180" s="96">
        <f t="shared" si="163"/>
        <v>0.7</v>
      </c>
      <c r="K1180" s="92">
        <f>VLOOKUP(H1180,'Taux émission CO2e'!$A$5:$D$16,4,FALSE)</f>
        <v>0.16</v>
      </c>
      <c r="L1180" s="93">
        <f t="shared" si="168"/>
        <v>1.3450607999999999</v>
      </c>
      <c r="M1180" s="92">
        <f>VLOOKUP(H1180,'Taux émission CO2e'!$A$20:$D$31,4,FALSE)</f>
        <v>6.7400000000000002E-2</v>
      </c>
      <c r="N1180" s="105">
        <f t="shared" si="169"/>
        <v>1.3220826779999999</v>
      </c>
      <c r="O1180" s="93">
        <f t="shared" si="170"/>
        <v>2.6671434779999998</v>
      </c>
      <c r="P1180" s="92">
        <v>140</v>
      </c>
      <c r="Q1180" s="92" t="s">
        <v>688</v>
      </c>
      <c r="R1180" s="92" t="s">
        <v>55</v>
      </c>
      <c r="S1180" s="20">
        <v>186.81399999999999</v>
      </c>
    </row>
    <row r="1181" spans="1:19" x14ac:dyDescent="0.15">
      <c r="A1181" s="90">
        <v>44750</v>
      </c>
      <c r="B1181" s="90" t="str">
        <f t="shared" si="164"/>
        <v>juillet</v>
      </c>
      <c r="C1181" s="90" t="str">
        <f t="shared" si="165"/>
        <v>2022</v>
      </c>
      <c r="D1181" s="90" t="str">
        <f t="shared" si="166"/>
        <v>juillet2022</v>
      </c>
      <c r="E1181" s="91" t="s">
        <v>1155</v>
      </c>
      <c r="F1181" s="91">
        <v>121</v>
      </c>
      <c r="G1181" s="94">
        <f t="shared" si="167"/>
        <v>0.121</v>
      </c>
      <c r="H1181" s="92" t="s">
        <v>46</v>
      </c>
      <c r="I1181" s="96">
        <f t="shared" si="162"/>
        <v>0.3</v>
      </c>
      <c r="J1181" s="96">
        <f t="shared" si="163"/>
        <v>0.7</v>
      </c>
      <c r="K1181" s="92">
        <f>VLOOKUP(H1181,'Taux émission CO2e'!$A$5:$D$16,4,FALSE)</f>
        <v>0.16</v>
      </c>
      <c r="L1181" s="93">
        <f t="shared" si="168"/>
        <v>2.5860236159999999</v>
      </c>
      <c r="M1181" s="92">
        <f>VLOOKUP(H1181,'Taux émission CO2e'!$A$20:$D$31,4,FALSE)</f>
        <v>6.7400000000000002E-2</v>
      </c>
      <c r="N1181" s="105">
        <f t="shared" si="169"/>
        <v>2.5418457125600002</v>
      </c>
      <c r="O1181" s="93">
        <f t="shared" si="170"/>
        <v>5.1278693285600001</v>
      </c>
      <c r="P1181" s="92">
        <v>145</v>
      </c>
      <c r="Q1181" s="92" t="s">
        <v>58</v>
      </c>
      <c r="R1181" s="92" t="s">
        <v>640</v>
      </c>
      <c r="S1181" s="20">
        <v>445.25200000000001</v>
      </c>
    </row>
    <row r="1182" spans="1:19" x14ac:dyDescent="0.15">
      <c r="A1182" s="90">
        <v>44750</v>
      </c>
      <c r="B1182" s="90" t="str">
        <f t="shared" si="164"/>
        <v>juillet</v>
      </c>
      <c r="C1182" s="90" t="str">
        <f t="shared" si="165"/>
        <v>2022</v>
      </c>
      <c r="D1182" s="90" t="str">
        <f t="shared" si="166"/>
        <v>juillet2022</v>
      </c>
      <c r="E1182" s="91" t="s">
        <v>1156</v>
      </c>
      <c r="F1182" s="91">
        <v>150</v>
      </c>
      <c r="G1182" s="94">
        <f t="shared" si="167"/>
        <v>0.15</v>
      </c>
      <c r="H1182" s="92" t="s">
        <v>45</v>
      </c>
      <c r="I1182" s="96">
        <f t="shared" si="162"/>
        <v>0.3</v>
      </c>
      <c r="J1182" s="96">
        <f t="shared" si="163"/>
        <v>0.7</v>
      </c>
      <c r="K1182" s="92">
        <f>VLOOKUP(H1182,'Taux émission CO2e'!$A$5:$D$16,4,FALSE)</f>
        <v>0.16</v>
      </c>
      <c r="L1182" s="93">
        <f t="shared" si="168"/>
        <v>2.0051784000000001</v>
      </c>
      <c r="M1182" s="92">
        <f>VLOOKUP(H1182,'Taux émission CO2e'!$A$20:$D$31,4,FALSE)</f>
        <v>6.7400000000000002E-2</v>
      </c>
      <c r="N1182" s="105">
        <f t="shared" si="169"/>
        <v>1.970923269</v>
      </c>
      <c r="O1182" s="93">
        <f t="shared" si="170"/>
        <v>3.9761016690000002</v>
      </c>
      <c r="P1182" s="92">
        <v>158</v>
      </c>
      <c r="Q1182" s="92" t="s">
        <v>90</v>
      </c>
      <c r="R1182" s="92" t="s">
        <v>55</v>
      </c>
      <c r="S1182" s="20">
        <v>278.49700000000001</v>
      </c>
    </row>
    <row r="1183" spans="1:19" x14ac:dyDescent="0.15">
      <c r="A1183" s="90">
        <v>44750</v>
      </c>
      <c r="B1183" s="90" t="str">
        <f t="shared" si="164"/>
        <v>juillet</v>
      </c>
      <c r="C1183" s="90" t="str">
        <f t="shared" si="165"/>
        <v>2022</v>
      </c>
      <c r="D1183" s="90" t="str">
        <f t="shared" si="166"/>
        <v>juillet2022</v>
      </c>
      <c r="E1183" s="91" t="s">
        <v>1157</v>
      </c>
      <c r="F1183" s="91">
        <v>150</v>
      </c>
      <c r="G1183" s="94">
        <f t="shared" si="167"/>
        <v>0.15</v>
      </c>
      <c r="H1183" s="92" t="s">
        <v>46</v>
      </c>
      <c r="I1183" s="96">
        <f t="shared" si="162"/>
        <v>0.3</v>
      </c>
      <c r="J1183" s="96">
        <f t="shared" si="163"/>
        <v>0.7</v>
      </c>
      <c r="K1183" s="92">
        <f>VLOOKUP(H1183,'Taux émission CO2e'!$A$5:$D$16,4,FALSE)</f>
        <v>0.16</v>
      </c>
      <c r="L1183" s="93">
        <f t="shared" si="168"/>
        <v>4.1551992000000002</v>
      </c>
      <c r="M1183" s="92">
        <f>VLOOKUP(H1183,'Taux émission CO2e'!$A$20:$D$31,4,FALSE)</f>
        <v>6.7400000000000002E-2</v>
      </c>
      <c r="N1183" s="105">
        <f t="shared" si="169"/>
        <v>4.0842145470000002</v>
      </c>
      <c r="O1183" s="93">
        <f t="shared" si="170"/>
        <v>8.2394137470000004</v>
      </c>
      <c r="P1183" s="92">
        <v>195</v>
      </c>
      <c r="Q1183" s="92" t="s">
        <v>898</v>
      </c>
      <c r="R1183" s="92" t="s">
        <v>55</v>
      </c>
      <c r="S1183" s="20">
        <v>577.11099999999999</v>
      </c>
    </row>
    <row r="1184" spans="1:19" x14ac:dyDescent="0.15">
      <c r="A1184" s="90">
        <v>44750</v>
      </c>
      <c r="B1184" s="90" t="str">
        <f t="shared" si="164"/>
        <v>juillet</v>
      </c>
      <c r="C1184" s="90" t="str">
        <f t="shared" si="165"/>
        <v>2022</v>
      </c>
      <c r="D1184" s="90" t="str">
        <f t="shared" si="166"/>
        <v>juillet2022</v>
      </c>
      <c r="E1184" s="91" t="s">
        <v>1158</v>
      </c>
      <c r="F1184" s="91">
        <v>300</v>
      </c>
      <c r="G1184" s="94">
        <f t="shared" si="167"/>
        <v>0.3</v>
      </c>
      <c r="H1184" s="92" t="s">
        <v>46</v>
      </c>
      <c r="I1184" s="96">
        <f t="shared" si="162"/>
        <v>0.3</v>
      </c>
      <c r="J1184" s="96">
        <f t="shared" si="163"/>
        <v>0.7</v>
      </c>
      <c r="K1184" s="92">
        <f>VLOOKUP(H1184,'Taux émission CO2e'!$A$5:$D$16,4,FALSE)</f>
        <v>0.16</v>
      </c>
      <c r="L1184" s="93">
        <f t="shared" si="168"/>
        <v>2.4943679999999997</v>
      </c>
      <c r="M1184" s="92">
        <f>VLOOKUP(H1184,'Taux émission CO2e'!$A$20:$D$31,4,FALSE)</f>
        <v>6.7400000000000002E-2</v>
      </c>
      <c r="N1184" s="105">
        <f t="shared" si="169"/>
        <v>2.4517558799999999</v>
      </c>
      <c r="O1184" s="93">
        <f t="shared" si="170"/>
        <v>4.94612388</v>
      </c>
      <c r="P1184" s="92">
        <v>200</v>
      </c>
      <c r="Q1184" s="92" t="s">
        <v>708</v>
      </c>
      <c r="R1184" s="92" t="s">
        <v>55</v>
      </c>
      <c r="S1184" s="20">
        <v>173.22</v>
      </c>
    </row>
    <row r="1185" spans="1:19" x14ac:dyDescent="0.15">
      <c r="A1185" s="90">
        <v>44750</v>
      </c>
      <c r="B1185" s="90" t="str">
        <f t="shared" si="164"/>
        <v>juillet</v>
      </c>
      <c r="C1185" s="90" t="str">
        <f t="shared" si="165"/>
        <v>2022</v>
      </c>
      <c r="D1185" s="90" t="str">
        <f t="shared" si="166"/>
        <v>juillet2022</v>
      </c>
      <c r="E1185" s="91" t="s">
        <v>1159</v>
      </c>
      <c r="F1185" s="91">
        <v>300</v>
      </c>
      <c r="G1185" s="94">
        <f t="shared" si="167"/>
        <v>0.3</v>
      </c>
      <c r="H1185" s="92" t="s">
        <v>46</v>
      </c>
      <c r="I1185" s="96">
        <f t="shared" si="162"/>
        <v>0.3</v>
      </c>
      <c r="J1185" s="96">
        <f t="shared" si="163"/>
        <v>0.7</v>
      </c>
      <c r="K1185" s="92">
        <f>VLOOKUP(H1185,'Taux émission CO2e'!$A$5:$D$16,4,FALSE)</f>
        <v>0.16</v>
      </c>
      <c r="L1185" s="93">
        <f t="shared" si="168"/>
        <v>3.7158191999999999</v>
      </c>
      <c r="M1185" s="92">
        <f>VLOOKUP(H1185,'Taux émission CO2e'!$A$20:$D$31,4,FALSE)</f>
        <v>6.7400000000000002E-2</v>
      </c>
      <c r="N1185" s="105">
        <f t="shared" si="169"/>
        <v>3.6523406220000001</v>
      </c>
      <c r="O1185" s="93">
        <f t="shared" si="170"/>
        <v>7.368159822</v>
      </c>
      <c r="P1185" s="92">
        <v>200</v>
      </c>
      <c r="Q1185" s="92" t="s">
        <v>102</v>
      </c>
      <c r="R1185" s="92" t="s">
        <v>55</v>
      </c>
      <c r="S1185" s="20">
        <v>258.04300000000001</v>
      </c>
    </row>
    <row r="1186" spans="1:19" x14ac:dyDescent="0.15">
      <c r="A1186" s="90">
        <v>44750</v>
      </c>
      <c r="B1186" s="90" t="str">
        <f t="shared" si="164"/>
        <v>juillet</v>
      </c>
      <c r="C1186" s="90" t="str">
        <f t="shared" si="165"/>
        <v>2022</v>
      </c>
      <c r="D1186" s="90" t="str">
        <f t="shared" si="166"/>
        <v>juillet2022</v>
      </c>
      <c r="E1186" s="91" t="s">
        <v>1160</v>
      </c>
      <c r="F1186" s="91">
        <v>385</v>
      </c>
      <c r="G1186" s="94">
        <f t="shared" si="167"/>
        <v>0.38500000000000001</v>
      </c>
      <c r="H1186" s="92" t="s">
        <v>46</v>
      </c>
      <c r="I1186" s="96">
        <f t="shared" si="162"/>
        <v>0.3</v>
      </c>
      <c r="J1186" s="96">
        <f t="shared" si="163"/>
        <v>0.7</v>
      </c>
      <c r="K1186" s="92">
        <f>VLOOKUP(H1186,'Taux émission CO2e'!$A$5:$D$16,4,FALSE)</f>
        <v>0.16</v>
      </c>
      <c r="L1186" s="93">
        <f t="shared" si="168"/>
        <v>13.683423600000001</v>
      </c>
      <c r="M1186" s="92">
        <f>VLOOKUP(H1186,'Taux émission CO2e'!$A$20:$D$31,4,FALSE)</f>
        <v>6.7400000000000002E-2</v>
      </c>
      <c r="N1186" s="105">
        <f t="shared" si="169"/>
        <v>13.449665113500002</v>
      </c>
      <c r="O1186" s="93">
        <f t="shared" si="170"/>
        <v>27.133088713500001</v>
      </c>
      <c r="P1186" s="92">
        <v>444.15</v>
      </c>
      <c r="Q1186" s="92" t="s">
        <v>58</v>
      </c>
      <c r="R1186" s="92" t="s">
        <v>59</v>
      </c>
      <c r="S1186" s="20">
        <v>740.44500000000005</v>
      </c>
    </row>
    <row r="1187" spans="1:19" x14ac:dyDescent="0.15">
      <c r="A1187" s="90">
        <v>44750</v>
      </c>
      <c r="B1187" s="90" t="str">
        <f t="shared" si="164"/>
        <v>juillet</v>
      </c>
      <c r="C1187" s="90" t="str">
        <f t="shared" si="165"/>
        <v>2022</v>
      </c>
      <c r="D1187" s="90" t="str">
        <f t="shared" si="166"/>
        <v>juillet2022</v>
      </c>
      <c r="E1187" s="91" t="s">
        <v>1161</v>
      </c>
      <c r="F1187" s="91">
        <v>385</v>
      </c>
      <c r="G1187" s="94">
        <f t="shared" si="167"/>
        <v>0.38500000000000001</v>
      </c>
      <c r="H1187" s="92" t="s">
        <v>46</v>
      </c>
      <c r="I1187" s="96">
        <f t="shared" si="162"/>
        <v>0.3</v>
      </c>
      <c r="J1187" s="96">
        <f t="shared" si="163"/>
        <v>0.7</v>
      </c>
      <c r="K1187" s="92">
        <f>VLOOKUP(H1187,'Taux émission CO2e'!$A$5:$D$16,4,FALSE)</f>
        <v>0.16</v>
      </c>
      <c r="L1187" s="93">
        <f t="shared" si="168"/>
        <v>13.683423600000001</v>
      </c>
      <c r="M1187" s="92">
        <f>VLOOKUP(H1187,'Taux émission CO2e'!$A$20:$D$31,4,FALSE)</f>
        <v>6.7400000000000002E-2</v>
      </c>
      <c r="N1187" s="105">
        <f t="shared" si="169"/>
        <v>13.449665113500002</v>
      </c>
      <c r="O1187" s="93">
        <f t="shared" si="170"/>
        <v>27.133088713500001</v>
      </c>
      <c r="P1187" s="92">
        <v>444.15</v>
      </c>
      <c r="Q1187" s="92" t="s">
        <v>58</v>
      </c>
      <c r="R1187" s="92" t="s">
        <v>59</v>
      </c>
      <c r="S1187" s="20">
        <v>740.44500000000005</v>
      </c>
    </row>
    <row r="1188" spans="1:19" x14ac:dyDescent="0.15">
      <c r="A1188" s="90">
        <v>44750</v>
      </c>
      <c r="B1188" s="90" t="str">
        <f t="shared" si="164"/>
        <v>juillet</v>
      </c>
      <c r="C1188" s="90" t="str">
        <f t="shared" si="165"/>
        <v>2022</v>
      </c>
      <c r="D1188" s="90" t="str">
        <f t="shared" si="166"/>
        <v>juillet2022</v>
      </c>
      <c r="E1188" s="91" t="s">
        <v>1162</v>
      </c>
      <c r="F1188" s="91">
        <v>750</v>
      </c>
      <c r="G1188" s="94">
        <f t="shared" si="167"/>
        <v>0.75</v>
      </c>
      <c r="H1188" s="92" t="s">
        <v>46</v>
      </c>
      <c r="I1188" s="96">
        <f t="shared" si="162"/>
        <v>0.3</v>
      </c>
      <c r="J1188" s="96">
        <f t="shared" si="163"/>
        <v>0.7</v>
      </c>
      <c r="K1188" s="92">
        <f>VLOOKUP(H1188,'Taux émission CO2e'!$A$5:$D$16,4,FALSE)</f>
        <v>0.16</v>
      </c>
      <c r="L1188" s="93">
        <f t="shared" si="168"/>
        <v>26.643528</v>
      </c>
      <c r="M1188" s="92">
        <f>VLOOKUP(H1188,'Taux émission CO2e'!$A$20:$D$31,4,FALSE)</f>
        <v>6.7400000000000002E-2</v>
      </c>
      <c r="N1188" s="105">
        <f t="shared" si="169"/>
        <v>26.18836773</v>
      </c>
      <c r="O1188" s="93">
        <f t="shared" si="170"/>
        <v>52.831895729999999</v>
      </c>
      <c r="P1188" s="92">
        <v>470</v>
      </c>
      <c r="Q1188" s="92" t="s">
        <v>473</v>
      </c>
      <c r="R1188" s="92" t="s">
        <v>55</v>
      </c>
      <c r="S1188" s="20">
        <v>740.09799999999996</v>
      </c>
    </row>
    <row r="1189" spans="1:19" x14ac:dyDescent="0.15">
      <c r="A1189" s="90">
        <v>44753</v>
      </c>
      <c r="B1189" s="90" t="str">
        <f t="shared" si="164"/>
        <v>juillet</v>
      </c>
      <c r="C1189" s="90" t="str">
        <f t="shared" si="165"/>
        <v>2022</v>
      </c>
      <c r="D1189" s="90" t="str">
        <f t="shared" si="166"/>
        <v>juillet2022</v>
      </c>
      <c r="E1189" s="91" t="s">
        <v>1163</v>
      </c>
      <c r="F1189" s="91">
        <v>150</v>
      </c>
      <c r="G1189" s="94">
        <f t="shared" si="167"/>
        <v>0.15</v>
      </c>
      <c r="H1189" s="92" t="s">
        <v>45</v>
      </c>
      <c r="I1189" s="96">
        <f t="shared" si="162"/>
        <v>0.3</v>
      </c>
      <c r="J1189" s="96">
        <f t="shared" si="163"/>
        <v>0.7</v>
      </c>
      <c r="K1189" s="92">
        <f>VLOOKUP(H1189,'Taux émission CO2e'!$A$5:$D$16,4,FALSE)</f>
        <v>0.16</v>
      </c>
      <c r="L1189" s="93">
        <f t="shared" si="168"/>
        <v>1.9215215999999999</v>
      </c>
      <c r="M1189" s="92">
        <f>VLOOKUP(H1189,'Taux émission CO2e'!$A$20:$D$31,4,FALSE)</f>
        <v>6.7400000000000002E-2</v>
      </c>
      <c r="N1189" s="105">
        <f t="shared" si="169"/>
        <v>1.888695606</v>
      </c>
      <c r="O1189" s="93">
        <f t="shared" si="170"/>
        <v>3.8102172059999999</v>
      </c>
      <c r="P1189" s="92">
        <v>158</v>
      </c>
      <c r="Q1189" s="92" t="s">
        <v>730</v>
      </c>
      <c r="R1189" s="92" t="s">
        <v>55</v>
      </c>
      <c r="S1189" s="20">
        <v>266.87799999999999</v>
      </c>
    </row>
    <row r="1190" spans="1:19" x14ac:dyDescent="0.15">
      <c r="A1190" s="90">
        <v>44753</v>
      </c>
      <c r="B1190" s="90" t="str">
        <f t="shared" si="164"/>
        <v>juillet</v>
      </c>
      <c r="C1190" s="90" t="str">
        <f t="shared" si="165"/>
        <v>2022</v>
      </c>
      <c r="D1190" s="90" t="str">
        <f t="shared" si="166"/>
        <v>juillet2022</v>
      </c>
      <c r="E1190" s="91" t="s">
        <v>1164</v>
      </c>
      <c r="F1190" s="91">
        <v>300</v>
      </c>
      <c r="G1190" s="94">
        <f t="shared" si="167"/>
        <v>0.3</v>
      </c>
      <c r="H1190" s="92" t="s">
        <v>46</v>
      </c>
      <c r="I1190" s="96">
        <f t="shared" si="162"/>
        <v>0.3</v>
      </c>
      <c r="J1190" s="96">
        <f t="shared" si="163"/>
        <v>0.7</v>
      </c>
      <c r="K1190" s="92">
        <f>VLOOKUP(H1190,'Taux émission CO2e'!$A$5:$D$16,4,FALSE)</f>
        <v>0.16</v>
      </c>
      <c r="L1190" s="93">
        <f t="shared" si="168"/>
        <v>5.4168047999999995</v>
      </c>
      <c r="M1190" s="92">
        <f>VLOOKUP(H1190,'Taux émission CO2e'!$A$20:$D$31,4,FALSE)</f>
        <v>6.7400000000000002E-2</v>
      </c>
      <c r="N1190" s="105">
        <f t="shared" si="169"/>
        <v>5.3242677179999998</v>
      </c>
      <c r="O1190" s="93">
        <f t="shared" si="170"/>
        <v>10.741072517999999</v>
      </c>
      <c r="P1190" s="92">
        <v>210</v>
      </c>
      <c r="Q1190" s="92" t="s">
        <v>856</v>
      </c>
      <c r="R1190" s="92" t="s">
        <v>55</v>
      </c>
      <c r="S1190" s="20">
        <v>376.16699999999997</v>
      </c>
    </row>
    <row r="1191" spans="1:19" x14ac:dyDescent="0.15">
      <c r="A1191" s="90">
        <v>44753</v>
      </c>
      <c r="B1191" s="90" t="str">
        <f t="shared" si="164"/>
        <v>juillet</v>
      </c>
      <c r="C1191" s="90" t="str">
        <f t="shared" si="165"/>
        <v>2022</v>
      </c>
      <c r="D1191" s="90" t="str">
        <f t="shared" si="166"/>
        <v>juillet2022</v>
      </c>
      <c r="E1191" s="91" t="s">
        <v>1165</v>
      </c>
      <c r="F1191" s="91">
        <v>450</v>
      </c>
      <c r="G1191" s="94">
        <f t="shared" si="167"/>
        <v>0.45</v>
      </c>
      <c r="H1191" s="92" t="s">
        <v>46</v>
      </c>
      <c r="I1191" s="96">
        <f t="shared" si="162"/>
        <v>0.3</v>
      </c>
      <c r="J1191" s="96">
        <f t="shared" si="163"/>
        <v>0.7</v>
      </c>
      <c r="K1191" s="92">
        <f>VLOOKUP(H1191,'Taux émission CO2e'!$A$5:$D$16,4,FALSE)</f>
        <v>0.16</v>
      </c>
      <c r="L1191" s="93">
        <f t="shared" si="168"/>
        <v>9.8510472</v>
      </c>
      <c r="M1191" s="92">
        <f>VLOOKUP(H1191,'Taux émission CO2e'!$A$20:$D$31,4,FALSE)</f>
        <v>6.7400000000000002E-2</v>
      </c>
      <c r="N1191" s="105">
        <f t="shared" si="169"/>
        <v>9.6827584770000001</v>
      </c>
      <c r="O1191" s="93">
        <f t="shared" si="170"/>
        <v>19.533805677</v>
      </c>
      <c r="P1191" s="92">
        <v>280</v>
      </c>
      <c r="Q1191" s="92" t="s">
        <v>570</v>
      </c>
      <c r="R1191" s="92" t="s">
        <v>55</v>
      </c>
      <c r="S1191" s="20">
        <v>456.06700000000001</v>
      </c>
    </row>
    <row r="1192" spans="1:19" x14ac:dyDescent="0.15">
      <c r="A1192" s="90">
        <v>44753</v>
      </c>
      <c r="B1192" s="90" t="str">
        <f t="shared" si="164"/>
        <v>juillet</v>
      </c>
      <c r="C1192" s="90" t="str">
        <f t="shared" si="165"/>
        <v>2022</v>
      </c>
      <c r="D1192" s="90" t="str">
        <f t="shared" si="166"/>
        <v>juillet2022</v>
      </c>
      <c r="E1192" s="91" t="s">
        <v>1166</v>
      </c>
      <c r="F1192" s="92">
        <v>1000</v>
      </c>
      <c r="G1192" s="94">
        <f t="shared" si="167"/>
        <v>1</v>
      </c>
      <c r="H1192" s="92" t="s">
        <v>45</v>
      </c>
      <c r="I1192" s="96">
        <f t="shared" si="162"/>
        <v>0.3</v>
      </c>
      <c r="J1192" s="96">
        <f t="shared" si="163"/>
        <v>0.7</v>
      </c>
      <c r="K1192" s="92">
        <f>VLOOKUP(H1192,'Taux émission CO2e'!$A$5:$D$16,4,FALSE)</f>
        <v>0.16</v>
      </c>
      <c r="L1192" s="93">
        <f t="shared" si="168"/>
        <v>24.790752000000001</v>
      </c>
      <c r="M1192" s="92">
        <f>VLOOKUP(H1192,'Taux émission CO2e'!$A$20:$D$31,4,FALSE)</f>
        <v>6.7400000000000002E-2</v>
      </c>
      <c r="N1192" s="105">
        <f t="shared" si="169"/>
        <v>24.367243320000004</v>
      </c>
      <c r="O1192" s="93">
        <f t="shared" si="170"/>
        <v>49.157995320000005</v>
      </c>
      <c r="P1192" s="92">
        <v>450</v>
      </c>
      <c r="Q1192" s="92" t="s">
        <v>52</v>
      </c>
      <c r="R1192" s="92" t="s">
        <v>55</v>
      </c>
      <c r="S1192" s="20">
        <v>516.47400000000005</v>
      </c>
    </row>
    <row r="1193" spans="1:19" x14ac:dyDescent="0.15">
      <c r="A1193" s="90">
        <v>44753</v>
      </c>
      <c r="B1193" s="90" t="str">
        <f t="shared" si="164"/>
        <v>juillet</v>
      </c>
      <c r="C1193" s="90" t="str">
        <f t="shared" si="165"/>
        <v>2022</v>
      </c>
      <c r="D1193" s="90" t="str">
        <f t="shared" si="166"/>
        <v>juillet2022</v>
      </c>
      <c r="E1193" s="91" t="s">
        <v>1167</v>
      </c>
      <c r="F1193" s="91">
        <v>450</v>
      </c>
      <c r="G1193" s="94">
        <f t="shared" si="167"/>
        <v>0.45</v>
      </c>
      <c r="H1193" s="92" t="s">
        <v>46</v>
      </c>
      <c r="I1193" s="96">
        <f t="shared" si="162"/>
        <v>0.3</v>
      </c>
      <c r="J1193" s="96">
        <f t="shared" si="163"/>
        <v>0.7</v>
      </c>
      <c r="K1193" s="92">
        <f>VLOOKUP(H1193,'Taux émission CO2e'!$A$5:$D$16,4,FALSE)</f>
        <v>0.16</v>
      </c>
      <c r="L1193" s="93">
        <f t="shared" si="168"/>
        <v>8.2206576000000009</v>
      </c>
      <c r="M1193" s="92">
        <f>VLOOKUP(H1193,'Taux émission CO2e'!$A$20:$D$31,4,FALSE)</f>
        <v>6.7400000000000002E-2</v>
      </c>
      <c r="N1193" s="105">
        <f t="shared" si="169"/>
        <v>8.080221366</v>
      </c>
      <c r="O1193" s="93">
        <f t="shared" si="170"/>
        <v>16.300878965999999</v>
      </c>
      <c r="P1193" s="92">
        <v>500</v>
      </c>
      <c r="Q1193" s="92" t="s">
        <v>91</v>
      </c>
      <c r="R1193" s="92" t="s">
        <v>55</v>
      </c>
      <c r="S1193" s="20">
        <v>380.58600000000001</v>
      </c>
    </row>
    <row r="1194" spans="1:19" x14ac:dyDescent="0.15">
      <c r="A1194" s="90">
        <v>44754</v>
      </c>
      <c r="B1194" s="90" t="str">
        <f t="shared" si="164"/>
        <v>juillet</v>
      </c>
      <c r="C1194" s="90" t="str">
        <f t="shared" si="165"/>
        <v>2022</v>
      </c>
      <c r="D1194" s="90" t="str">
        <f t="shared" si="166"/>
        <v>juillet2022</v>
      </c>
      <c r="E1194" s="91" t="s">
        <v>1168</v>
      </c>
      <c r="F1194" s="91">
        <v>150</v>
      </c>
      <c r="G1194" s="94">
        <f t="shared" si="167"/>
        <v>0.15</v>
      </c>
      <c r="H1194" s="92" t="s">
        <v>38</v>
      </c>
      <c r="I1194" s="96">
        <f t="shared" si="162"/>
        <v>1</v>
      </c>
      <c r="J1194" s="96">
        <f t="shared" si="163"/>
        <v>0</v>
      </c>
      <c r="K1194" s="92">
        <f>VLOOKUP(H1194,'Taux émission CO2e'!$A$5:$D$16,4,FALSE)</f>
        <v>0.24099999999999999</v>
      </c>
      <c r="L1194" s="93">
        <f t="shared" si="168"/>
        <v>1.2322088999999998</v>
      </c>
      <c r="M1194" s="92">
        <f>VLOOKUP(H1194,'Taux émission CO2e'!$A$20:$D$31,4,FALSE)</f>
        <v>0</v>
      </c>
      <c r="N1194" s="105">
        <f t="shared" si="169"/>
        <v>0</v>
      </c>
      <c r="O1194" s="93">
        <f t="shared" si="170"/>
        <v>1.2322088999999998</v>
      </c>
      <c r="P1194" s="92">
        <v>80</v>
      </c>
      <c r="Q1194" s="92" t="s">
        <v>58</v>
      </c>
      <c r="R1194" s="92" t="s">
        <v>98</v>
      </c>
      <c r="S1194" s="20">
        <v>34.085999999999999</v>
      </c>
    </row>
    <row r="1195" spans="1:19" x14ac:dyDescent="0.15">
      <c r="A1195" s="90">
        <v>44754</v>
      </c>
      <c r="B1195" s="90" t="str">
        <f t="shared" si="164"/>
        <v>juillet</v>
      </c>
      <c r="C1195" s="90" t="str">
        <f t="shared" si="165"/>
        <v>2022</v>
      </c>
      <c r="D1195" s="90" t="str">
        <f t="shared" si="166"/>
        <v>juillet2022</v>
      </c>
      <c r="E1195" s="91" t="s">
        <v>1169</v>
      </c>
      <c r="F1195" s="91">
        <v>188</v>
      </c>
      <c r="G1195" s="94">
        <f t="shared" si="167"/>
        <v>0.188</v>
      </c>
      <c r="H1195" s="92" t="s">
        <v>45</v>
      </c>
      <c r="I1195" s="96">
        <f t="shared" si="162"/>
        <v>0.3</v>
      </c>
      <c r="J1195" s="96">
        <f t="shared" si="163"/>
        <v>0.7</v>
      </c>
      <c r="K1195" s="92">
        <f>VLOOKUP(H1195,'Taux émission CO2e'!$A$5:$D$16,4,FALSE)</f>
        <v>0.16</v>
      </c>
      <c r="L1195" s="93">
        <f t="shared" si="168"/>
        <v>2.2612248960000003</v>
      </c>
      <c r="M1195" s="92">
        <f>VLOOKUP(H1195,'Taux émission CO2e'!$A$20:$D$31,4,FALSE)</f>
        <v>6.7400000000000002E-2</v>
      </c>
      <c r="N1195" s="105">
        <f t="shared" si="169"/>
        <v>2.22259563736</v>
      </c>
      <c r="O1195" s="93">
        <f t="shared" si="170"/>
        <v>4.4838205333600003</v>
      </c>
      <c r="P1195" s="92">
        <v>100</v>
      </c>
      <c r="Q1195" s="92" t="s">
        <v>58</v>
      </c>
      <c r="R1195" s="92" t="s">
        <v>79</v>
      </c>
      <c r="S1195" s="20">
        <v>250.57900000000001</v>
      </c>
    </row>
    <row r="1196" spans="1:19" x14ac:dyDescent="0.15">
      <c r="A1196" s="90">
        <v>44754</v>
      </c>
      <c r="B1196" s="90" t="str">
        <f t="shared" si="164"/>
        <v>juillet</v>
      </c>
      <c r="C1196" s="90" t="str">
        <f t="shared" si="165"/>
        <v>2022</v>
      </c>
      <c r="D1196" s="90" t="str">
        <f t="shared" si="166"/>
        <v>juillet2022</v>
      </c>
      <c r="E1196" s="91" t="s">
        <v>1170</v>
      </c>
      <c r="F1196" s="91">
        <v>150</v>
      </c>
      <c r="G1196" s="94">
        <f t="shared" si="167"/>
        <v>0.15</v>
      </c>
      <c r="H1196" s="92" t="s">
        <v>45</v>
      </c>
      <c r="I1196" s="96">
        <f t="shared" si="162"/>
        <v>0.3</v>
      </c>
      <c r="J1196" s="96">
        <f t="shared" si="163"/>
        <v>0.7</v>
      </c>
      <c r="K1196" s="92">
        <f>VLOOKUP(H1196,'Taux émission CO2e'!$A$5:$D$16,4,FALSE)</f>
        <v>0.16</v>
      </c>
      <c r="L1196" s="93">
        <f t="shared" si="168"/>
        <v>2.9440008</v>
      </c>
      <c r="M1196" s="92">
        <f>VLOOKUP(H1196,'Taux émission CO2e'!$A$20:$D$31,4,FALSE)</f>
        <v>6.7400000000000002E-2</v>
      </c>
      <c r="N1196" s="105">
        <f t="shared" si="169"/>
        <v>2.8937074530000002</v>
      </c>
      <c r="O1196" s="93">
        <f t="shared" si="170"/>
        <v>5.8377082530000006</v>
      </c>
      <c r="P1196" s="92">
        <v>130</v>
      </c>
      <c r="Q1196" s="92" t="s">
        <v>1097</v>
      </c>
      <c r="R1196" s="92" t="s">
        <v>55</v>
      </c>
      <c r="S1196" s="20">
        <v>408.88900000000001</v>
      </c>
    </row>
    <row r="1197" spans="1:19" x14ac:dyDescent="0.15">
      <c r="A1197" s="90">
        <v>44754</v>
      </c>
      <c r="B1197" s="90" t="str">
        <f t="shared" si="164"/>
        <v>juillet</v>
      </c>
      <c r="C1197" s="90" t="str">
        <f t="shared" si="165"/>
        <v>2022</v>
      </c>
      <c r="D1197" s="90" t="str">
        <f t="shared" si="166"/>
        <v>juillet2022</v>
      </c>
      <c r="E1197" s="91" t="s">
        <v>1171</v>
      </c>
      <c r="F1197" s="91">
        <v>150</v>
      </c>
      <c r="G1197" s="94">
        <f t="shared" si="167"/>
        <v>0.15</v>
      </c>
      <c r="H1197" s="92" t="s">
        <v>45</v>
      </c>
      <c r="I1197" s="96">
        <f t="shared" si="162"/>
        <v>0.3</v>
      </c>
      <c r="J1197" s="96">
        <f t="shared" si="163"/>
        <v>0.7</v>
      </c>
      <c r="K1197" s="92">
        <f>VLOOKUP(H1197,'Taux émission CO2e'!$A$5:$D$16,4,FALSE)</f>
        <v>0.16</v>
      </c>
      <c r="L1197" s="93">
        <f t="shared" si="168"/>
        <v>1.8302616</v>
      </c>
      <c r="M1197" s="92">
        <f>VLOOKUP(H1197,'Taux émission CO2e'!$A$20:$D$31,4,FALSE)</f>
        <v>6.7400000000000002E-2</v>
      </c>
      <c r="N1197" s="105">
        <f t="shared" si="169"/>
        <v>1.798994631</v>
      </c>
      <c r="O1197" s="93">
        <f t="shared" si="170"/>
        <v>3.6292562310000003</v>
      </c>
      <c r="P1197" s="92">
        <v>158</v>
      </c>
      <c r="Q1197" s="92" t="s">
        <v>871</v>
      </c>
      <c r="R1197" s="92" t="s">
        <v>55</v>
      </c>
      <c r="S1197" s="20">
        <v>254.203</v>
      </c>
    </row>
    <row r="1198" spans="1:19" x14ac:dyDescent="0.15">
      <c r="A1198" s="90">
        <v>44755</v>
      </c>
      <c r="B1198" s="90" t="str">
        <f t="shared" si="164"/>
        <v>juillet</v>
      </c>
      <c r="C1198" s="90" t="str">
        <f t="shared" si="165"/>
        <v>2022</v>
      </c>
      <c r="D1198" s="90" t="str">
        <f t="shared" si="166"/>
        <v>juillet2022</v>
      </c>
      <c r="E1198" s="91" t="s">
        <v>1172</v>
      </c>
      <c r="F1198" s="91">
        <v>149</v>
      </c>
      <c r="G1198" s="94">
        <f t="shared" si="167"/>
        <v>0.14899999999999999</v>
      </c>
      <c r="H1198" s="92" t="s">
        <v>45</v>
      </c>
      <c r="I1198" s="96">
        <f t="shared" si="162"/>
        <v>0.3</v>
      </c>
      <c r="J1198" s="96">
        <f t="shared" si="163"/>
        <v>0.7</v>
      </c>
      <c r="K1198" s="92">
        <f>VLOOKUP(H1198,'Taux émission CO2e'!$A$5:$D$16,4,FALSE)</f>
        <v>0.16</v>
      </c>
      <c r="L1198" s="93">
        <f t="shared" si="168"/>
        <v>0.28289020799999998</v>
      </c>
      <c r="M1198" s="92">
        <f>VLOOKUP(H1198,'Taux émission CO2e'!$A$20:$D$31,4,FALSE)</f>
        <v>6.7400000000000002E-2</v>
      </c>
      <c r="N1198" s="105">
        <f t="shared" si="169"/>
        <v>0.27805750028000004</v>
      </c>
      <c r="O1198" s="93">
        <f t="shared" si="170"/>
        <v>0.56094770828000007</v>
      </c>
      <c r="P1198" s="92">
        <v>80</v>
      </c>
      <c r="Q1198" s="92" t="s">
        <v>58</v>
      </c>
      <c r="R1198" s="92" t="s">
        <v>1022</v>
      </c>
      <c r="S1198" s="20">
        <v>39.554000000000002</v>
      </c>
    </row>
    <row r="1199" spans="1:19" x14ac:dyDescent="0.15">
      <c r="A1199" s="90">
        <v>44755</v>
      </c>
      <c r="B1199" s="90" t="str">
        <f t="shared" si="164"/>
        <v>juillet</v>
      </c>
      <c r="C1199" s="90" t="str">
        <f t="shared" si="165"/>
        <v>2022</v>
      </c>
      <c r="D1199" s="90" t="str">
        <f t="shared" si="166"/>
        <v>juillet2022</v>
      </c>
      <c r="E1199" s="91" t="s">
        <v>1173</v>
      </c>
      <c r="F1199" s="91">
        <v>151</v>
      </c>
      <c r="G1199" s="94">
        <f t="shared" si="167"/>
        <v>0.151</v>
      </c>
      <c r="H1199" s="92" t="s">
        <v>45</v>
      </c>
      <c r="I1199" s="96">
        <f t="shared" si="162"/>
        <v>0.3</v>
      </c>
      <c r="J1199" s="96">
        <f t="shared" si="163"/>
        <v>0.7</v>
      </c>
      <c r="K1199" s="92">
        <f>VLOOKUP(H1199,'Taux émission CO2e'!$A$5:$D$16,4,FALSE)</f>
        <v>0.16</v>
      </c>
      <c r="L1199" s="93">
        <f t="shared" si="168"/>
        <v>1.8161965920000001</v>
      </c>
      <c r="M1199" s="92">
        <f>VLOOKUP(H1199,'Taux émission CO2e'!$A$20:$D$31,4,FALSE)</f>
        <v>6.7400000000000002E-2</v>
      </c>
      <c r="N1199" s="105">
        <f t="shared" si="169"/>
        <v>1.7851699002200001</v>
      </c>
      <c r="O1199" s="93">
        <f t="shared" si="170"/>
        <v>3.6013664922200004</v>
      </c>
      <c r="P1199" s="92">
        <v>100</v>
      </c>
      <c r="Q1199" s="92" t="s">
        <v>58</v>
      </c>
      <c r="R1199" s="92" t="s">
        <v>79</v>
      </c>
      <c r="S1199" s="20">
        <v>250.57900000000001</v>
      </c>
    </row>
    <row r="1200" spans="1:19" x14ac:dyDescent="0.15">
      <c r="A1200" s="90">
        <v>44755</v>
      </c>
      <c r="B1200" s="90" t="str">
        <f t="shared" si="164"/>
        <v>juillet</v>
      </c>
      <c r="C1200" s="90" t="str">
        <f t="shared" si="165"/>
        <v>2022</v>
      </c>
      <c r="D1200" s="90" t="str">
        <f t="shared" si="166"/>
        <v>juillet2022</v>
      </c>
      <c r="E1200" s="91" t="s">
        <v>1174</v>
      </c>
      <c r="F1200" s="91">
        <v>150</v>
      </c>
      <c r="G1200" s="94">
        <f t="shared" si="167"/>
        <v>0.15</v>
      </c>
      <c r="H1200" s="92" t="s">
        <v>45</v>
      </c>
      <c r="I1200" s="96">
        <f t="shared" si="162"/>
        <v>0.3</v>
      </c>
      <c r="J1200" s="96">
        <f t="shared" si="163"/>
        <v>0.7</v>
      </c>
      <c r="K1200" s="92">
        <f>VLOOKUP(H1200,'Taux émission CO2e'!$A$5:$D$16,4,FALSE)</f>
        <v>0.16</v>
      </c>
      <c r="L1200" s="93">
        <f t="shared" si="168"/>
        <v>2.0026439999999996</v>
      </c>
      <c r="M1200" s="92">
        <f>VLOOKUP(H1200,'Taux émission CO2e'!$A$20:$D$31,4,FALSE)</f>
        <v>6.7400000000000002E-2</v>
      </c>
      <c r="N1200" s="105">
        <f t="shared" si="169"/>
        <v>1.9684321649999998</v>
      </c>
      <c r="O1200" s="93">
        <f t="shared" si="170"/>
        <v>3.9710761649999995</v>
      </c>
      <c r="P1200" s="92">
        <v>158</v>
      </c>
      <c r="Q1200" s="92" t="s">
        <v>74</v>
      </c>
      <c r="R1200" s="92" t="s">
        <v>55</v>
      </c>
      <c r="S1200" s="20">
        <v>278.14499999999998</v>
      </c>
    </row>
    <row r="1201" spans="1:19" x14ac:dyDescent="0.15">
      <c r="A1201" s="90">
        <v>44755</v>
      </c>
      <c r="B1201" s="90" t="str">
        <f t="shared" si="164"/>
        <v>juillet</v>
      </c>
      <c r="C1201" s="90" t="str">
        <f t="shared" si="165"/>
        <v>2022</v>
      </c>
      <c r="D1201" s="90" t="str">
        <f t="shared" si="166"/>
        <v>juillet2022</v>
      </c>
      <c r="E1201" s="91" t="s">
        <v>1175</v>
      </c>
      <c r="F1201" s="91">
        <v>203</v>
      </c>
      <c r="G1201" s="94">
        <f t="shared" si="167"/>
        <v>0.20300000000000001</v>
      </c>
      <c r="H1201" s="92" t="s">
        <v>46</v>
      </c>
      <c r="I1201" s="96">
        <f t="shared" si="162"/>
        <v>0.3</v>
      </c>
      <c r="J1201" s="96">
        <f t="shared" si="163"/>
        <v>0.7</v>
      </c>
      <c r="K1201" s="92">
        <f>VLOOKUP(H1201,'Taux émission CO2e'!$A$5:$D$16,4,FALSE)</f>
        <v>0.16</v>
      </c>
      <c r="L1201" s="93">
        <f t="shared" si="168"/>
        <v>2.7263614560000002</v>
      </c>
      <c r="M1201" s="92">
        <f>VLOOKUP(H1201,'Taux émission CO2e'!$A$20:$D$31,4,FALSE)</f>
        <v>6.7400000000000002E-2</v>
      </c>
      <c r="N1201" s="105">
        <f t="shared" si="169"/>
        <v>2.6797861144600001</v>
      </c>
      <c r="O1201" s="93">
        <f t="shared" si="170"/>
        <v>5.4061475704599999</v>
      </c>
      <c r="P1201" s="92">
        <v>205</v>
      </c>
      <c r="Q1201" s="92" t="s">
        <v>58</v>
      </c>
      <c r="R1201" s="92" t="s">
        <v>70</v>
      </c>
      <c r="S1201" s="20">
        <v>279.79899999999998</v>
      </c>
    </row>
    <row r="1202" spans="1:19" x14ac:dyDescent="0.15">
      <c r="A1202" s="90">
        <v>44755</v>
      </c>
      <c r="B1202" s="90" t="str">
        <f t="shared" si="164"/>
        <v>juillet</v>
      </c>
      <c r="C1202" s="90" t="str">
        <f t="shared" si="165"/>
        <v>2022</v>
      </c>
      <c r="D1202" s="90" t="str">
        <f t="shared" si="166"/>
        <v>juillet2022</v>
      </c>
      <c r="E1202" s="91" t="s">
        <v>1176</v>
      </c>
      <c r="F1202" s="91">
        <v>440</v>
      </c>
      <c r="G1202" s="94">
        <f t="shared" si="167"/>
        <v>0.44</v>
      </c>
      <c r="H1202" s="92" t="s">
        <v>46</v>
      </c>
      <c r="I1202" s="96">
        <f t="shared" si="162"/>
        <v>0.3</v>
      </c>
      <c r="J1202" s="96">
        <f t="shared" si="163"/>
        <v>0.7</v>
      </c>
      <c r="K1202" s="92">
        <f>VLOOKUP(H1202,'Taux émission CO2e'!$A$5:$D$16,4,FALSE)</f>
        <v>0.16</v>
      </c>
      <c r="L1202" s="93">
        <f t="shared" si="168"/>
        <v>8.0352096</v>
      </c>
      <c r="M1202" s="92">
        <f>VLOOKUP(H1202,'Taux émission CO2e'!$A$20:$D$31,4,FALSE)</f>
        <v>6.7400000000000002E-2</v>
      </c>
      <c r="N1202" s="105">
        <f t="shared" si="169"/>
        <v>7.8979414359999991</v>
      </c>
      <c r="O1202" s="93">
        <f t="shared" si="170"/>
        <v>15.933151035999998</v>
      </c>
      <c r="P1202" s="92">
        <v>390</v>
      </c>
      <c r="Q1202" s="92" t="s">
        <v>58</v>
      </c>
      <c r="R1202" s="92" t="s">
        <v>83</v>
      </c>
      <c r="S1202" s="20">
        <v>380.45499999999998</v>
      </c>
    </row>
    <row r="1203" spans="1:19" x14ac:dyDescent="0.15">
      <c r="A1203" s="90">
        <v>44757</v>
      </c>
      <c r="B1203" s="90" t="str">
        <f t="shared" si="164"/>
        <v>juillet</v>
      </c>
      <c r="C1203" s="90" t="str">
        <f t="shared" si="165"/>
        <v>2022</v>
      </c>
      <c r="D1203" s="90" t="str">
        <f t="shared" si="166"/>
        <v>juillet2022</v>
      </c>
      <c r="E1203" s="91" t="s">
        <v>1177</v>
      </c>
      <c r="F1203" s="91">
        <v>265</v>
      </c>
      <c r="G1203" s="94">
        <f t="shared" si="167"/>
        <v>0.26500000000000001</v>
      </c>
      <c r="H1203" s="92" t="s">
        <v>45</v>
      </c>
      <c r="I1203" s="96">
        <f t="shared" si="162"/>
        <v>0.3</v>
      </c>
      <c r="J1203" s="96">
        <f t="shared" si="163"/>
        <v>0.7</v>
      </c>
      <c r="K1203" s="92">
        <f>VLOOKUP(H1203,'Taux émission CO2e'!$A$5:$D$16,4,FALSE)</f>
        <v>0.16</v>
      </c>
      <c r="L1203" s="93">
        <f t="shared" si="168"/>
        <v>3.5704785599999997</v>
      </c>
      <c r="M1203" s="92">
        <f>VLOOKUP(H1203,'Taux émission CO2e'!$A$20:$D$31,4,FALSE)</f>
        <v>6.7400000000000002E-2</v>
      </c>
      <c r="N1203" s="105">
        <f t="shared" si="169"/>
        <v>3.5094828845999997</v>
      </c>
      <c r="O1203" s="93">
        <f t="shared" si="170"/>
        <v>7.0799614445999994</v>
      </c>
      <c r="P1203" s="92">
        <v>100</v>
      </c>
      <c r="Q1203" s="92" t="s">
        <v>58</v>
      </c>
      <c r="R1203" s="92" t="s">
        <v>80</v>
      </c>
      <c r="S1203" s="20">
        <v>280.69799999999998</v>
      </c>
    </row>
    <row r="1204" spans="1:19" x14ac:dyDescent="0.15">
      <c r="A1204" s="90">
        <v>44757</v>
      </c>
      <c r="B1204" s="90" t="str">
        <f t="shared" si="164"/>
        <v>juillet</v>
      </c>
      <c r="C1204" s="90" t="str">
        <f t="shared" si="165"/>
        <v>2022</v>
      </c>
      <c r="D1204" s="90" t="str">
        <f t="shared" si="166"/>
        <v>juillet2022</v>
      </c>
      <c r="E1204" s="91" t="s">
        <v>1178</v>
      </c>
      <c r="F1204" s="91">
        <v>400</v>
      </c>
      <c r="G1204" s="94">
        <f t="shared" si="167"/>
        <v>0.4</v>
      </c>
      <c r="H1204" s="92" t="s">
        <v>45</v>
      </c>
      <c r="I1204" s="96">
        <f t="shared" si="162"/>
        <v>0.3</v>
      </c>
      <c r="J1204" s="96">
        <f t="shared" si="163"/>
        <v>0.7</v>
      </c>
      <c r="K1204" s="92">
        <f>VLOOKUP(H1204,'Taux émission CO2e'!$A$5:$D$16,4,FALSE)</f>
        <v>0.16</v>
      </c>
      <c r="L1204" s="93">
        <f t="shared" si="168"/>
        <v>5.347142400000001</v>
      </c>
      <c r="M1204" s="92">
        <f>VLOOKUP(H1204,'Taux émission CO2e'!$A$20:$D$31,4,FALSE)</f>
        <v>6.7400000000000002E-2</v>
      </c>
      <c r="N1204" s="105">
        <f t="shared" si="169"/>
        <v>5.2557953839999998</v>
      </c>
      <c r="O1204" s="93">
        <f t="shared" si="170"/>
        <v>10.602937784000002</v>
      </c>
      <c r="P1204" s="92">
        <v>158</v>
      </c>
      <c r="Q1204" s="92" t="s">
        <v>90</v>
      </c>
      <c r="R1204" s="92" t="s">
        <v>55</v>
      </c>
      <c r="S1204" s="20">
        <v>278.49700000000001</v>
      </c>
    </row>
    <row r="1205" spans="1:19" x14ac:dyDescent="0.15">
      <c r="A1205" s="90">
        <v>44757</v>
      </c>
      <c r="B1205" s="90" t="str">
        <f t="shared" si="164"/>
        <v>juillet</v>
      </c>
      <c r="C1205" s="90" t="str">
        <f t="shared" si="165"/>
        <v>2022</v>
      </c>
      <c r="D1205" s="90" t="str">
        <f t="shared" si="166"/>
        <v>juillet2022</v>
      </c>
      <c r="E1205" s="91" t="s">
        <v>1179</v>
      </c>
      <c r="F1205" s="91">
        <v>150</v>
      </c>
      <c r="G1205" s="94">
        <f t="shared" si="167"/>
        <v>0.15</v>
      </c>
      <c r="H1205" s="92" t="s">
        <v>45</v>
      </c>
      <c r="I1205" s="96">
        <f t="shared" si="162"/>
        <v>0.3</v>
      </c>
      <c r="J1205" s="96">
        <f t="shared" si="163"/>
        <v>0.7</v>
      </c>
      <c r="K1205" s="92">
        <f>VLOOKUP(H1205,'Taux émission CO2e'!$A$5:$D$16,4,FALSE)</f>
        <v>0.16</v>
      </c>
      <c r="L1205" s="93">
        <f t="shared" si="168"/>
        <v>1.2471839999999998</v>
      </c>
      <c r="M1205" s="92">
        <f>VLOOKUP(H1205,'Taux émission CO2e'!$A$20:$D$31,4,FALSE)</f>
        <v>6.7400000000000002E-2</v>
      </c>
      <c r="N1205" s="105">
        <f t="shared" si="169"/>
        <v>1.2258779399999999</v>
      </c>
      <c r="O1205" s="93">
        <f t="shared" si="170"/>
        <v>2.47306194</v>
      </c>
      <c r="P1205" s="92">
        <v>200</v>
      </c>
      <c r="Q1205" s="92" t="s">
        <v>708</v>
      </c>
      <c r="R1205" s="92" t="s">
        <v>55</v>
      </c>
      <c r="S1205" s="20">
        <v>173.22</v>
      </c>
    </row>
    <row r="1206" spans="1:19" x14ac:dyDescent="0.15">
      <c r="A1206" s="90">
        <v>44757</v>
      </c>
      <c r="B1206" s="90" t="str">
        <f t="shared" si="164"/>
        <v>juillet</v>
      </c>
      <c r="C1206" s="90" t="str">
        <f t="shared" si="165"/>
        <v>2022</v>
      </c>
      <c r="D1206" s="90" t="str">
        <f t="shared" si="166"/>
        <v>juillet2022</v>
      </c>
      <c r="E1206" s="91" t="s">
        <v>1180</v>
      </c>
      <c r="F1206" s="91">
        <v>300</v>
      </c>
      <c r="G1206" s="94">
        <f t="shared" si="167"/>
        <v>0.3</v>
      </c>
      <c r="H1206" s="92" t="s">
        <v>45</v>
      </c>
      <c r="I1206" s="96">
        <f t="shared" si="162"/>
        <v>0.3</v>
      </c>
      <c r="J1206" s="96">
        <f t="shared" si="163"/>
        <v>0.7</v>
      </c>
      <c r="K1206" s="92">
        <f>VLOOKUP(H1206,'Taux émission CO2e'!$A$5:$D$16,4,FALSE)</f>
        <v>0.16</v>
      </c>
      <c r="L1206" s="93">
        <f t="shared" si="168"/>
        <v>3.7158191999999999</v>
      </c>
      <c r="M1206" s="92">
        <f>VLOOKUP(H1206,'Taux émission CO2e'!$A$20:$D$31,4,FALSE)</f>
        <v>6.7400000000000002E-2</v>
      </c>
      <c r="N1206" s="105">
        <f t="shared" si="169"/>
        <v>3.6523406220000001</v>
      </c>
      <c r="O1206" s="93">
        <f t="shared" si="170"/>
        <v>7.368159822</v>
      </c>
      <c r="P1206" s="92">
        <v>200</v>
      </c>
      <c r="Q1206" s="92" t="s">
        <v>102</v>
      </c>
      <c r="R1206" s="92" t="s">
        <v>55</v>
      </c>
      <c r="S1206" s="20">
        <v>258.04300000000001</v>
      </c>
    </row>
    <row r="1207" spans="1:19" x14ac:dyDescent="0.15">
      <c r="A1207" s="90">
        <v>44760</v>
      </c>
      <c r="B1207" s="90" t="str">
        <f t="shared" si="164"/>
        <v>juillet</v>
      </c>
      <c r="C1207" s="90" t="str">
        <f t="shared" si="165"/>
        <v>2022</v>
      </c>
      <c r="D1207" s="90" t="str">
        <f t="shared" si="166"/>
        <v>juillet2022</v>
      </c>
      <c r="E1207" s="91" t="s">
        <v>1181</v>
      </c>
      <c r="F1207" s="91">
        <v>150</v>
      </c>
      <c r="G1207" s="94">
        <f t="shared" si="167"/>
        <v>0.15</v>
      </c>
      <c r="H1207" s="92" t="s">
        <v>45</v>
      </c>
      <c r="I1207" s="96">
        <f t="shared" si="162"/>
        <v>0.3</v>
      </c>
      <c r="J1207" s="96">
        <f t="shared" si="163"/>
        <v>0.7</v>
      </c>
      <c r="K1207" s="92">
        <f>VLOOKUP(H1207,'Taux émission CO2e'!$A$5:$D$16,4,FALSE)</f>
        <v>0.16</v>
      </c>
      <c r="L1207" s="93">
        <f t="shared" si="168"/>
        <v>2.2767263999999998</v>
      </c>
      <c r="M1207" s="92">
        <f>VLOOKUP(H1207,'Taux émission CO2e'!$A$20:$D$31,4,FALSE)</f>
        <v>6.7400000000000002E-2</v>
      </c>
      <c r="N1207" s="105">
        <f t="shared" si="169"/>
        <v>2.2378323239999998</v>
      </c>
      <c r="O1207" s="93">
        <f t="shared" si="170"/>
        <v>4.5145587239999996</v>
      </c>
      <c r="P1207" s="92">
        <v>158</v>
      </c>
      <c r="Q1207" s="92" t="s">
        <v>1029</v>
      </c>
      <c r="R1207" s="92" t="s">
        <v>55</v>
      </c>
      <c r="S1207" s="20">
        <v>316.21199999999999</v>
      </c>
    </row>
    <row r="1208" spans="1:19" x14ac:dyDescent="0.15">
      <c r="A1208" s="90">
        <v>44760</v>
      </c>
      <c r="B1208" s="90" t="str">
        <f t="shared" si="164"/>
        <v>juillet</v>
      </c>
      <c r="C1208" s="90" t="str">
        <f t="shared" si="165"/>
        <v>2022</v>
      </c>
      <c r="D1208" s="90" t="str">
        <f t="shared" si="166"/>
        <v>juillet2022</v>
      </c>
      <c r="E1208" s="91" t="s">
        <v>1182</v>
      </c>
      <c r="F1208" s="91">
        <v>227</v>
      </c>
      <c r="G1208" s="94">
        <f t="shared" si="167"/>
        <v>0.22700000000000001</v>
      </c>
      <c r="H1208" s="92" t="s">
        <v>46</v>
      </c>
      <c r="I1208" s="96">
        <f t="shared" si="162"/>
        <v>0.3</v>
      </c>
      <c r="J1208" s="96">
        <f t="shared" si="163"/>
        <v>0.7</v>
      </c>
      <c r="K1208" s="92">
        <f>VLOOKUP(H1208,'Taux émission CO2e'!$A$5:$D$16,4,FALSE)</f>
        <v>0.16</v>
      </c>
      <c r="L1208" s="93">
        <f t="shared" si="168"/>
        <v>5.8966972799999997</v>
      </c>
      <c r="M1208" s="92">
        <f>VLOOKUP(H1208,'Taux émission CO2e'!$A$20:$D$31,4,FALSE)</f>
        <v>6.7400000000000002E-2</v>
      </c>
      <c r="N1208" s="105">
        <f t="shared" si="169"/>
        <v>5.7959620347999996</v>
      </c>
      <c r="O1208" s="93">
        <f t="shared" si="170"/>
        <v>11.6926593148</v>
      </c>
      <c r="P1208" s="92">
        <v>165</v>
      </c>
      <c r="Q1208" s="92" t="s">
        <v>58</v>
      </c>
      <c r="R1208" s="92" t="s">
        <v>65</v>
      </c>
      <c r="S1208" s="20">
        <v>541.17999999999995</v>
      </c>
    </row>
    <row r="1209" spans="1:19" x14ac:dyDescent="0.15">
      <c r="A1209" s="90">
        <v>44760</v>
      </c>
      <c r="B1209" s="90" t="str">
        <f t="shared" si="164"/>
        <v>juillet</v>
      </c>
      <c r="C1209" s="90" t="str">
        <f t="shared" si="165"/>
        <v>2022</v>
      </c>
      <c r="D1209" s="90" t="str">
        <f t="shared" si="166"/>
        <v>juillet2022</v>
      </c>
      <c r="E1209" s="91" t="s">
        <v>1183</v>
      </c>
      <c r="F1209" s="91">
        <v>100</v>
      </c>
      <c r="G1209" s="94">
        <f t="shared" si="167"/>
        <v>0.1</v>
      </c>
      <c r="H1209" s="92" t="s">
        <v>46</v>
      </c>
      <c r="I1209" s="96">
        <f t="shared" si="162"/>
        <v>0.3</v>
      </c>
      <c r="J1209" s="96">
        <f t="shared" si="163"/>
        <v>0.7</v>
      </c>
      <c r="K1209" s="92">
        <f>VLOOKUP(H1209,'Taux émission CO2e'!$A$5:$D$16,4,FALSE)</f>
        <v>0.16</v>
      </c>
      <c r="L1209" s="93">
        <f t="shared" si="168"/>
        <v>2.4758304000000004</v>
      </c>
      <c r="M1209" s="92">
        <f>VLOOKUP(H1209,'Taux émission CO2e'!$A$20:$D$31,4,FALSE)</f>
        <v>6.7400000000000002E-2</v>
      </c>
      <c r="N1209" s="105">
        <f t="shared" si="169"/>
        <v>2.4335349640000001</v>
      </c>
      <c r="O1209" s="93">
        <f t="shared" si="170"/>
        <v>4.909365364000001</v>
      </c>
      <c r="P1209" s="92">
        <v>185</v>
      </c>
      <c r="Q1209" s="92" t="s">
        <v>58</v>
      </c>
      <c r="R1209" s="92" t="s">
        <v>57</v>
      </c>
      <c r="S1209" s="20">
        <v>515.798</v>
      </c>
    </row>
    <row r="1210" spans="1:19" x14ac:dyDescent="0.15">
      <c r="A1210" s="90">
        <v>44760</v>
      </c>
      <c r="B1210" s="90" t="str">
        <f t="shared" si="164"/>
        <v>juillet</v>
      </c>
      <c r="C1210" s="90" t="str">
        <f t="shared" si="165"/>
        <v>2022</v>
      </c>
      <c r="D1210" s="90" t="str">
        <f t="shared" si="166"/>
        <v>juillet2022</v>
      </c>
      <c r="E1210" s="91" t="s">
        <v>1184</v>
      </c>
      <c r="F1210" s="91">
        <v>100</v>
      </c>
      <c r="G1210" s="94">
        <f t="shared" si="167"/>
        <v>0.1</v>
      </c>
      <c r="H1210" s="92" t="s">
        <v>46</v>
      </c>
      <c r="I1210" s="96">
        <f t="shared" si="162"/>
        <v>0.3</v>
      </c>
      <c r="J1210" s="96">
        <f t="shared" si="163"/>
        <v>0.7</v>
      </c>
      <c r="K1210" s="92">
        <f>VLOOKUP(H1210,'Taux émission CO2e'!$A$5:$D$16,4,FALSE)</f>
        <v>0.16</v>
      </c>
      <c r="L1210" s="93">
        <f t="shared" si="168"/>
        <v>1.7285568</v>
      </c>
      <c r="M1210" s="92">
        <f>VLOOKUP(H1210,'Taux émission CO2e'!$A$20:$D$31,4,FALSE)</f>
        <v>6.7400000000000002E-2</v>
      </c>
      <c r="N1210" s="105">
        <f t="shared" si="169"/>
        <v>1.6990272879999999</v>
      </c>
      <c r="O1210" s="93">
        <f t="shared" si="170"/>
        <v>3.4275840879999997</v>
      </c>
      <c r="P1210" s="92">
        <v>190</v>
      </c>
      <c r="Q1210" s="92" t="s">
        <v>58</v>
      </c>
      <c r="R1210" s="92" t="s">
        <v>881</v>
      </c>
      <c r="S1210" s="20">
        <v>360.11599999999999</v>
      </c>
    </row>
    <row r="1211" spans="1:19" x14ac:dyDescent="0.15">
      <c r="A1211" s="90">
        <v>44760</v>
      </c>
      <c r="B1211" s="90" t="str">
        <f t="shared" si="164"/>
        <v>juillet</v>
      </c>
      <c r="C1211" s="90" t="str">
        <f t="shared" si="165"/>
        <v>2022</v>
      </c>
      <c r="D1211" s="90" t="str">
        <f t="shared" si="166"/>
        <v>juillet2022</v>
      </c>
      <c r="E1211" s="91" t="s">
        <v>1185</v>
      </c>
      <c r="F1211" s="91">
        <v>750</v>
      </c>
      <c r="G1211" s="94">
        <f t="shared" si="167"/>
        <v>0.75</v>
      </c>
      <c r="H1211" s="92" t="s">
        <v>45</v>
      </c>
      <c r="I1211" s="96">
        <f t="shared" si="162"/>
        <v>0.3</v>
      </c>
      <c r="J1211" s="96">
        <f t="shared" si="163"/>
        <v>0.7</v>
      </c>
      <c r="K1211" s="92">
        <f>VLOOKUP(H1211,'Taux émission CO2e'!$A$5:$D$16,4,FALSE)</f>
        <v>0.16</v>
      </c>
      <c r="L1211" s="93">
        <f t="shared" si="168"/>
        <v>27.617292000000006</v>
      </c>
      <c r="M1211" s="92">
        <f>VLOOKUP(H1211,'Taux émission CO2e'!$A$20:$D$31,4,FALSE)</f>
        <v>6.7400000000000002E-2</v>
      </c>
      <c r="N1211" s="105">
        <f t="shared" si="169"/>
        <v>27.145496595000001</v>
      </c>
      <c r="O1211" s="93">
        <f t="shared" si="170"/>
        <v>54.762788595000004</v>
      </c>
      <c r="P1211" s="92">
        <v>480</v>
      </c>
      <c r="Q1211" s="92" t="s">
        <v>635</v>
      </c>
      <c r="R1211" s="92" t="s">
        <v>55</v>
      </c>
      <c r="S1211" s="20">
        <v>767.14700000000005</v>
      </c>
    </row>
    <row r="1212" spans="1:19" x14ac:dyDescent="0.15">
      <c r="A1212" s="90">
        <v>44760</v>
      </c>
      <c r="B1212" s="90" t="str">
        <f t="shared" si="164"/>
        <v>juillet</v>
      </c>
      <c r="C1212" s="90" t="str">
        <f t="shared" si="165"/>
        <v>2022</v>
      </c>
      <c r="D1212" s="90" t="str">
        <f t="shared" si="166"/>
        <v>juillet2022</v>
      </c>
      <c r="E1212" s="91" t="s">
        <v>1186</v>
      </c>
      <c r="F1212" s="91">
        <v>750</v>
      </c>
      <c r="G1212" s="94">
        <f t="shared" si="167"/>
        <v>0.75</v>
      </c>
      <c r="H1212" s="92" t="s">
        <v>45</v>
      </c>
      <c r="I1212" s="96">
        <f t="shared" si="162"/>
        <v>0.3</v>
      </c>
      <c r="J1212" s="96">
        <f t="shared" si="163"/>
        <v>0.7</v>
      </c>
      <c r="K1212" s="92">
        <f>VLOOKUP(H1212,'Taux émission CO2e'!$A$5:$D$16,4,FALSE)</f>
        <v>0.16</v>
      </c>
      <c r="L1212" s="93">
        <f t="shared" si="168"/>
        <v>27.617292000000006</v>
      </c>
      <c r="M1212" s="92">
        <f>VLOOKUP(H1212,'Taux émission CO2e'!$A$20:$D$31,4,FALSE)</f>
        <v>6.7400000000000002E-2</v>
      </c>
      <c r="N1212" s="105">
        <f t="shared" si="169"/>
        <v>27.145496595000001</v>
      </c>
      <c r="O1212" s="93">
        <f t="shared" si="170"/>
        <v>54.762788595000004</v>
      </c>
      <c r="P1212" s="92">
        <v>480</v>
      </c>
      <c r="Q1212" s="92" t="s">
        <v>635</v>
      </c>
      <c r="R1212" s="92" t="s">
        <v>55</v>
      </c>
      <c r="S1212" s="20">
        <v>767.14700000000005</v>
      </c>
    </row>
    <row r="1213" spans="1:19" x14ac:dyDescent="0.15">
      <c r="A1213" s="90">
        <v>44761</v>
      </c>
      <c r="B1213" s="90" t="str">
        <f t="shared" si="164"/>
        <v>juillet</v>
      </c>
      <c r="C1213" s="90" t="str">
        <f t="shared" si="165"/>
        <v>2022</v>
      </c>
      <c r="D1213" s="90" t="str">
        <f t="shared" si="166"/>
        <v>juillet2022</v>
      </c>
      <c r="E1213" s="91" t="s">
        <v>1187</v>
      </c>
      <c r="F1213" s="91">
        <v>150</v>
      </c>
      <c r="G1213" s="94">
        <f t="shared" si="167"/>
        <v>0.15</v>
      </c>
      <c r="H1213" s="92" t="s">
        <v>38</v>
      </c>
      <c r="I1213" s="96">
        <f t="shared" si="162"/>
        <v>1</v>
      </c>
      <c r="J1213" s="96">
        <f t="shared" si="163"/>
        <v>0</v>
      </c>
      <c r="K1213" s="92">
        <f>VLOOKUP(H1213,'Taux émission CO2e'!$A$5:$D$16,4,FALSE)</f>
        <v>0.24099999999999999</v>
      </c>
      <c r="L1213" s="93">
        <f t="shared" si="168"/>
        <v>1.2287746499999999</v>
      </c>
      <c r="M1213" s="92">
        <f>VLOOKUP(H1213,'Taux émission CO2e'!$A$20:$D$31,4,FALSE)</f>
        <v>0</v>
      </c>
      <c r="N1213" s="105">
        <f t="shared" si="169"/>
        <v>0</v>
      </c>
      <c r="O1213" s="93">
        <f t="shared" si="170"/>
        <v>1.2287746499999999</v>
      </c>
      <c r="P1213" s="92">
        <v>100</v>
      </c>
      <c r="Q1213" s="92" t="s">
        <v>67</v>
      </c>
      <c r="R1213" s="92" t="s">
        <v>55</v>
      </c>
      <c r="S1213" s="20">
        <v>33.991</v>
      </c>
    </row>
    <row r="1214" spans="1:19" x14ac:dyDescent="0.15">
      <c r="A1214" s="90">
        <v>44761</v>
      </c>
      <c r="B1214" s="90" t="str">
        <f t="shared" si="164"/>
        <v>juillet</v>
      </c>
      <c r="C1214" s="90" t="str">
        <f t="shared" si="165"/>
        <v>2022</v>
      </c>
      <c r="D1214" s="90" t="str">
        <f t="shared" si="166"/>
        <v>juillet2022</v>
      </c>
      <c r="E1214" s="91" t="s">
        <v>1188</v>
      </c>
      <c r="F1214" s="91">
        <v>441</v>
      </c>
      <c r="G1214" s="94">
        <f t="shared" si="167"/>
        <v>0.441</v>
      </c>
      <c r="H1214" s="92" t="s">
        <v>38</v>
      </c>
      <c r="I1214" s="96">
        <f t="shared" si="162"/>
        <v>1</v>
      </c>
      <c r="J1214" s="96">
        <f t="shared" si="163"/>
        <v>0</v>
      </c>
      <c r="K1214" s="92">
        <f>VLOOKUP(H1214,'Taux émission CO2e'!$A$5:$D$16,4,FALSE)</f>
        <v>0.24099999999999999</v>
      </c>
      <c r="L1214" s="93">
        <f t="shared" si="168"/>
        <v>3.622694166</v>
      </c>
      <c r="M1214" s="92">
        <f>VLOOKUP(H1214,'Taux émission CO2e'!$A$20:$D$31,4,FALSE)</f>
        <v>0</v>
      </c>
      <c r="N1214" s="105">
        <f t="shared" si="169"/>
        <v>0</v>
      </c>
      <c r="O1214" s="93">
        <f t="shared" si="170"/>
        <v>3.622694166</v>
      </c>
      <c r="P1214" s="92">
        <v>140</v>
      </c>
      <c r="Q1214" s="92" t="s">
        <v>58</v>
      </c>
      <c r="R1214" s="92" t="s">
        <v>98</v>
      </c>
      <c r="S1214" s="20">
        <v>34.085999999999999</v>
      </c>
    </row>
    <row r="1215" spans="1:19" x14ac:dyDescent="0.15">
      <c r="A1215" s="90">
        <v>44761</v>
      </c>
      <c r="B1215" s="90" t="str">
        <f t="shared" si="164"/>
        <v>juillet</v>
      </c>
      <c r="C1215" s="90" t="str">
        <f t="shared" si="165"/>
        <v>2022</v>
      </c>
      <c r="D1215" s="90" t="str">
        <f t="shared" si="166"/>
        <v>juillet2022</v>
      </c>
      <c r="E1215" s="91" t="s">
        <v>1189</v>
      </c>
      <c r="F1215" s="91">
        <v>150</v>
      </c>
      <c r="G1215" s="94">
        <f t="shared" si="167"/>
        <v>0.15</v>
      </c>
      <c r="H1215" s="92" t="s">
        <v>45</v>
      </c>
      <c r="I1215" s="96">
        <f t="shared" si="162"/>
        <v>0.3</v>
      </c>
      <c r="J1215" s="96">
        <f t="shared" si="163"/>
        <v>0.7</v>
      </c>
      <c r="K1215" s="92">
        <f>VLOOKUP(H1215,'Taux émission CO2e'!$A$5:$D$16,4,FALSE)</f>
        <v>0.16</v>
      </c>
      <c r="L1215" s="93">
        <f t="shared" si="168"/>
        <v>1.8302616</v>
      </c>
      <c r="M1215" s="92">
        <f>VLOOKUP(H1215,'Taux émission CO2e'!$A$20:$D$31,4,FALSE)</f>
        <v>6.7400000000000002E-2</v>
      </c>
      <c r="N1215" s="105">
        <f t="shared" si="169"/>
        <v>1.798994631</v>
      </c>
      <c r="O1215" s="93">
        <f t="shared" si="170"/>
        <v>3.6292562310000003</v>
      </c>
      <c r="P1215" s="92">
        <v>158</v>
      </c>
      <c r="Q1215" s="92" t="s">
        <v>871</v>
      </c>
      <c r="R1215" s="92" t="s">
        <v>55</v>
      </c>
      <c r="S1215" s="20">
        <v>254.203</v>
      </c>
    </row>
    <row r="1216" spans="1:19" x14ac:dyDescent="0.15">
      <c r="A1216" s="90">
        <v>44761</v>
      </c>
      <c r="B1216" s="90" t="str">
        <f t="shared" si="164"/>
        <v>juillet</v>
      </c>
      <c r="C1216" s="90" t="str">
        <f t="shared" si="165"/>
        <v>2022</v>
      </c>
      <c r="D1216" s="90" t="str">
        <f t="shared" si="166"/>
        <v>juillet2022</v>
      </c>
      <c r="E1216" s="91" t="s">
        <v>1190</v>
      </c>
      <c r="F1216" s="91">
        <v>150</v>
      </c>
      <c r="G1216" s="94">
        <f t="shared" si="167"/>
        <v>0.15</v>
      </c>
      <c r="H1216" s="92" t="s">
        <v>46</v>
      </c>
      <c r="I1216" s="96">
        <f t="shared" si="162"/>
        <v>0.3</v>
      </c>
      <c r="J1216" s="96">
        <f t="shared" si="163"/>
        <v>0.7</v>
      </c>
      <c r="K1216" s="92">
        <f>VLOOKUP(H1216,'Taux émission CO2e'!$A$5:$D$16,4,FALSE)</f>
        <v>0.16</v>
      </c>
      <c r="L1216" s="93">
        <f t="shared" si="168"/>
        <v>2.7402191999999999</v>
      </c>
      <c r="M1216" s="92">
        <f>VLOOKUP(H1216,'Taux émission CO2e'!$A$20:$D$31,4,FALSE)</f>
        <v>6.7400000000000002E-2</v>
      </c>
      <c r="N1216" s="105">
        <f t="shared" si="169"/>
        <v>2.693407122</v>
      </c>
      <c r="O1216" s="93">
        <f t="shared" si="170"/>
        <v>5.4336263220000003</v>
      </c>
      <c r="P1216" s="92">
        <v>165</v>
      </c>
      <c r="Q1216" s="92" t="s">
        <v>91</v>
      </c>
      <c r="R1216" s="92" t="s">
        <v>55</v>
      </c>
      <c r="S1216" s="20">
        <v>380.58600000000001</v>
      </c>
    </row>
    <row r="1217" spans="1:19" x14ac:dyDescent="0.15">
      <c r="A1217" s="90">
        <v>44761</v>
      </c>
      <c r="B1217" s="90" t="str">
        <f t="shared" si="164"/>
        <v>juillet</v>
      </c>
      <c r="C1217" s="90" t="str">
        <f t="shared" si="165"/>
        <v>2022</v>
      </c>
      <c r="D1217" s="90" t="str">
        <f t="shared" si="166"/>
        <v>juillet2022</v>
      </c>
      <c r="E1217" s="91" t="s">
        <v>1191</v>
      </c>
      <c r="F1217" s="91">
        <v>150</v>
      </c>
      <c r="G1217" s="94">
        <f t="shared" si="167"/>
        <v>0.15</v>
      </c>
      <c r="H1217" s="92" t="s">
        <v>45</v>
      </c>
      <c r="I1217" s="96">
        <f t="shared" si="162"/>
        <v>0.3</v>
      </c>
      <c r="J1217" s="96">
        <f t="shared" si="163"/>
        <v>0.7</v>
      </c>
      <c r="K1217" s="92">
        <f>VLOOKUP(H1217,'Taux émission CO2e'!$A$5:$D$16,4,FALSE)</f>
        <v>0.16</v>
      </c>
      <c r="L1217" s="93">
        <f t="shared" si="168"/>
        <v>1.9215215999999999</v>
      </c>
      <c r="M1217" s="92">
        <f>VLOOKUP(H1217,'Taux émission CO2e'!$A$20:$D$31,4,FALSE)</f>
        <v>6.7400000000000002E-2</v>
      </c>
      <c r="N1217" s="105">
        <f t="shared" si="169"/>
        <v>1.888695606</v>
      </c>
      <c r="O1217" s="93">
        <f t="shared" si="170"/>
        <v>3.8102172059999999</v>
      </c>
      <c r="P1217" s="92">
        <v>193</v>
      </c>
      <c r="Q1217" s="92" t="s">
        <v>730</v>
      </c>
      <c r="R1217" s="92" t="s">
        <v>55</v>
      </c>
      <c r="S1217" s="20">
        <v>266.87799999999999</v>
      </c>
    </row>
    <row r="1218" spans="1:19" x14ac:dyDescent="0.15">
      <c r="A1218" s="90">
        <v>44761</v>
      </c>
      <c r="B1218" s="90" t="str">
        <f t="shared" si="164"/>
        <v>juillet</v>
      </c>
      <c r="C1218" s="90" t="str">
        <f t="shared" si="165"/>
        <v>2022</v>
      </c>
      <c r="D1218" s="90" t="str">
        <f t="shared" si="166"/>
        <v>juillet2022</v>
      </c>
      <c r="E1218" s="91" t="s">
        <v>1192</v>
      </c>
      <c r="F1218" s="91">
        <v>150</v>
      </c>
      <c r="G1218" s="94">
        <f t="shared" si="167"/>
        <v>0.15</v>
      </c>
      <c r="H1218" s="92" t="s">
        <v>46</v>
      </c>
      <c r="I1218" s="96">
        <f t="shared" ref="I1218:I1281" si="171">VLOOKUP(H1218,Segment1,2,FALSE)</f>
        <v>0.3</v>
      </c>
      <c r="J1218" s="96">
        <f t="shared" ref="J1218:J1281" si="172">VLOOKUP(H1218,Segment2,2,FALSE)</f>
        <v>0.7</v>
      </c>
      <c r="K1218" s="92">
        <f>VLOOKUP(H1218,'Taux émission CO2e'!$A$5:$D$16,4,FALSE)</f>
        <v>0.16</v>
      </c>
      <c r="L1218" s="93">
        <f t="shared" si="168"/>
        <v>5.3287055999999993</v>
      </c>
      <c r="M1218" s="92">
        <f>VLOOKUP(H1218,'Taux émission CO2e'!$A$20:$D$31,4,FALSE)</f>
        <v>6.7400000000000002E-2</v>
      </c>
      <c r="N1218" s="105">
        <f t="shared" si="169"/>
        <v>5.2376735459999999</v>
      </c>
      <c r="O1218" s="93">
        <f t="shared" si="170"/>
        <v>10.566379145999999</v>
      </c>
      <c r="P1218" s="92">
        <v>570</v>
      </c>
      <c r="Q1218" s="92" t="s">
        <v>473</v>
      </c>
      <c r="R1218" s="92" t="s">
        <v>55</v>
      </c>
      <c r="S1218" s="20">
        <v>740.09799999999996</v>
      </c>
    </row>
    <row r="1219" spans="1:19" x14ac:dyDescent="0.15">
      <c r="A1219" s="90">
        <v>44762</v>
      </c>
      <c r="B1219" s="90" t="str">
        <f t="shared" ref="B1219:B1282" si="173">TEXT(A1219,"mmmm")</f>
        <v>juillet</v>
      </c>
      <c r="C1219" s="90" t="str">
        <f t="shared" ref="C1219:C1282" si="174">TEXT(A1219,"aaaa")</f>
        <v>2022</v>
      </c>
      <c r="D1219" s="90" t="str">
        <f t="shared" ref="D1219:D1282" si="175">B1219&amp;C1219</f>
        <v>juillet2022</v>
      </c>
      <c r="E1219" s="91" t="s">
        <v>1193</v>
      </c>
      <c r="F1219" s="91">
        <v>150</v>
      </c>
      <c r="G1219" s="94">
        <f t="shared" ref="G1219:G1282" si="176">F1219/1000</f>
        <v>0.15</v>
      </c>
      <c r="H1219" s="92" t="s">
        <v>45</v>
      </c>
      <c r="I1219" s="96">
        <f t="shared" si="171"/>
        <v>0.3</v>
      </c>
      <c r="J1219" s="96">
        <f t="shared" si="172"/>
        <v>0.7</v>
      </c>
      <c r="K1219" s="92">
        <f>VLOOKUP(H1219,'Taux émission CO2e'!$A$5:$D$16,4,FALSE)</f>
        <v>0.16</v>
      </c>
      <c r="L1219" s="93">
        <f t="shared" ref="L1219:L1282" si="177">IFERROR(I1219*K1219*G1219*S1219,"0")</f>
        <v>2.0026439999999996</v>
      </c>
      <c r="M1219" s="92">
        <f>VLOOKUP(H1219,'Taux émission CO2e'!$A$20:$D$31,4,FALSE)</f>
        <v>6.7400000000000002E-2</v>
      </c>
      <c r="N1219" s="105">
        <f t="shared" ref="N1219:N1282" si="178">IFERROR(J1219*M1219*G1219*S1219,"0")</f>
        <v>1.9684321649999998</v>
      </c>
      <c r="O1219" s="93">
        <f t="shared" ref="O1219:O1282" si="179">L1219+N1219</f>
        <v>3.9710761649999995</v>
      </c>
      <c r="P1219" s="92">
        <v>158</v>
      </c>
      <c r="Q1219" s="92" t="s">
        <v>74</v>
      </c>
      <c r="R1219" s="92" t="s">
        <v>55</v>
      </c>
      <c r="S1219" s="20">
        <v>278.14499999999998</v>
      </c>
    </row>
    <row r="1220" spans="1:19" x14ac:dyDescent="0.15">
      <c r="A1220" s="90">
        <v>44762</v>
      </c>
      <c r="B1220" s="90" t="str">
        <f t="shared" si="173"/>
        <v>juillet</v>
      </c>
      <c r="C1220" s="90" t="str">
        <f t="shared" si="174"/>
        <v>2022</v>
      </c>
      <c r="D1220" s="90" t="str">
        <f t="shared" si="175"/>
        <v>juillet2022</v>
      </c>
      <c r="E1220" s="91" t="s">
        <v>1194</v>
      </c>
      <c r="F1220" s="91">
        <v>150</v>
      </c>
      <c r="G1220" s="94">
        <f t="shared" si="176"/>
        <v>0.15</v>
      </c>
      <c r="H1220" s="92" t="s">
        <v>45</v>
      </c>
      <c r="I1220" s="96">
        <f t="shared" si="171"/>
        <v>0.3</v>
      </c>
      <c r="J1220" s="96">
        <f t="shared" si="172"/>
        <v>0.7</v>
      </c>
      <c r="K1220" s="92">
        <f>VLOOKUP(H1220,'Taux émission CO2e'!$A$5:$D$16,4,FALSE)</f>
        <v>0.16</v>
      </c>
      <c r="L1220" s="93">
        <f t="shared" si="177"/>
        <v>5.4150624000000001</v>
      </c>
      <c r="M1220" s="92">
        <f>VLOOKUP(H1220,'Taux émission CO2e'!$A$20:$D$31,4,FALSE)</f>
        <v>6.7400000000000002E-2</v>
      </c>
      <c r="N1220" s="105">
        <f t="shared" si="178"/>
        <v>5.3225550840000002</v>
      </c>
      <c r="O1220" s="93">
        <f t="shared" si="179"/>
        <v>10.737617484000001</v>
      </c>
      <c r="P1220" s="92">
        <v>165</v>
      </c>
      <c r="Q1220" s="92" t="s">
        <v>73</v>
      </c>
      <c r="R1220" s="92" t="s">
        <v>55</v>
      </c>
      <c r="S1220" s="20">
        <v>752.09199999999998</v>
      </c>
    </row>
    <row r="1221" spans="1:19" x14ac:dyDescent="0.15">
      <c r="A1221" s="90">
        <v>44763</v>
      </c>
      <c r="B1221" s="90" t="str">
        <f t="shared" si="173"/>
        <v>juillet</v>
      </c>
      <c r="C1221" s="90" t="str">
        <f t="shared" si="174"/>
        <v>2022</v>
      </c>
      <c r="D1221" s="90" t="str">
        <f t="shared" si="175"/>
        <v>juillet2022</v>
      </c>
      <c r="E1221" s="91" t="s">
        <v>1195</v>
      </c>
      <c r="F1221" s="91">
        <v>150</v>
      </c>
      <c r="G1221" s="94">
        <f t="shared" si="176"/>
        <v>0.15</v>
      </c>
      <c r="H1221" s="92" t="s">
        <v>45</v>
      </c>
      <c r="I1221" s="96">
        <f t="shared" si="171"/>
        <v>0.3</v>
      </c>
      <c r="J1221" s="96">
        <f t="shared" si="172"/>
        <v>0.7</v>
      </c>
      <c r="K1221" s="92">
        <f>VLOOKUP(H1221,'Taux émission CO2e'!$A$5:$D$16,4,FALSE)</f>
        <v>0.16</v>
      </c>
      <c r="L1221" s="93">
        <f t="shared" si="177"/>
        <v>2.2767263999999998</v>
      </c>
      <c r="M1221" s="92">
        <f>VLOOKUP(H1221,'Taux émission CO2e'!$A$20:$D$31,4,FALSE)</f>
        <v>6.7400000000000002E-2</v>
      </c>
      <c r="N1221" s="105">
        <f t="shared" si="178"/>
        <v>2.2378323239999998</v>
      </c>
      <c r="O1221" s="93">
        <f t="shared" si="179"/>
        <v>4.5145587239999996</v>
      </c>
      <c r="P1221" s="92">
        <v>158</v>
      </c>
      <c r="Q1221" s="92" t="s">
        <v>1029</v>
      </c>
      <c r="R1221" s="92" t="s">
        <v>55</v>
      </c>
      <c r="S1221" s="20">
        <v>316.21199999999999</v>
      </c>
    </row>
    <row r="1222" spans="1:19" x14ac:dyDescent="0.15">
      <c r="A1222" s="90">
        <v>44763</v>
      </c>
      <c r="B1222" s="90" t="str">
        <f t="shared" si="173"/>
        <v>juillet</v>
      </c>
      <c r="C1222" s="90" t="str">
        <f t="shared" si="174"/>
        <v>2022</v>
      </c>
      <c r="D1222" s="90" t="str">
        <f t="shared" si="175"/>
        <v>juillet2022</v>
      </c>
      <c r="E1222" s="91" t="s">
        <v>1196</v>
      </c>
      <c r="F1222" s="91">
        <v>150</v>
      </c>
      <c r="G1222" s="94">
        <f t="shared" si="176"/>
        <v>0.15</v>
      </c>
      <c r="H1222" s="92" t="s">
        <v>46</v>
      </c>
      <c r="I1222" s="96">
        <f t="shared" si="171"/>
        <v>0.3</v>
      </c>
      <c r="J1222" s="96">
        <f t="shared" si="172"/>
        <v>0.7</v>
      </c>
      <c r="K1222" s="92">
        <f>VLOOKUP(H1222,'Taux émission CO2e'!$A$5:$D$16,4,FALSE)</f>
        <v>0.16</v>
      </c>
      <c r="L1222" s="93">
        <f t="shared" si="177"/>
        <v>1.9966031999999998</v>
      </c>
      <c r="M1222" s="92">
        <f>VLOOKUP(H1222,'Taux émission CO2e'!$A$20:$D$31,4,FALSE)</f>
        <v>6.7400000000000002E-2</v>
      </c>
      <c r="N1222" s="105">
        <f t="shared" si="178"/>
        <v>1.9624945619999998</v>
      </c>
      <c r="O1222" s="93">
        <f t="shared" si="179"/>
        <v>3.9590977619999999</v>
      </c>
      <c r="P1222" s="92">
        <v>180</v>
      </c>
      <c r="Q1222" s="92" t="s">
        <v>1197</v>
      </c>
      <c r="R1222" s="92" t="s">
        <v>1198</v>
      </c>
      <c r="S1222" s="20">
        <v>277.30599999999998</v>
      </c>
    </row>
    <row r="1223" spans="1:19" x14ac:dyDescent="0.15">
      <c r="A1223" s="90">
        <v>44763</v>
      </c>
      <c r="B1223" s="90" t="str">
        <f t="shared" si="173"/>
        <v>juillet</v>
      </c>
      <c r="C1223" s="90" t="str">
        <f t="shared" si="174"/>
        <v>2022</v>
      </c>
      <c r="D1223" s="90" t="str">
        <f t="shared" si="175"/>
        <v>juillet2022</v>
      </c>
      <c r="E1223" s="91" t="s">
        <v>1199</v>
      </c>
      <c r="F1223" s="91">
        <v>302</v>
      </c>
      <c r="G1223" s="94">
        <f t="shared" si="176"/>
        <v>0.30199999999999999</v>
      </c>
      <c r="H1223" s="92" t="s">
        <v>46</v>
      </c>
      <c r="I1223" s="96">
        <f t="shared" si="171"/>
        <v>0.3</v>
      </c>
      <c r="J1223" s="96">
        <f t="shared" si="172"/>
        <v>0.7</v>
      </c>
      <c r="K1223" s="92">
        <f>VLOOKUP(H1223,'Taux émission CO2e'!$A$5:$D$16,4,FALSE)</f>
        <v>0.16</v>
      </c>
      <c r="L1223" s="93">
        <f t="shared" si="177"/>
        <v>3.724181856</v>
      </c>
      <c r="M1223" s="92">
        <f>VLOOKUP(H1223,'Taux émission CO2e'!$A$20:$D$31,4,FALSE)</f>
        <v>6.7400000000000002E-2</v>
      </c>
      <c r="N1223" s="105">
        <f t="shared" si="178"/>
        <v>3.66056041596</v>
      </c>
      <c r="O1223" s="93">
        <f t="shared" si="179"/>
        <v>7.3847422719600004</v>
      </c>
      <c r="P1223" s="92">
        <v>200</v>
      </c>
      <c r="Q1223" s="92" t="s">
        <v>58</v>
      </c>
      <c r="R1223" s="92" t="s">
        <v>60</v>
      </c>
      <c r="S1223" s="20">
        <v>256.911</v>
      </c>
    </row>
    <row r="1224" spans="1:19" x14ac:dyDescent="0.15">
      <c r="A1224" s="90">
        <v>44763</v>
      </c>
      <c r="B1224" s="90" t="str">
        <f t="shared" si="173"/>
        <v>juillet</v>
      </c>
      <c r="C1224" s="90" t="str">
        <f t="shared" si="174"/>
        <v>2022</v>
      </c>
      <c r="D1224" s="90" t="str">
        <f t="shared" si="175"/>
        <v>juillet2022</v>
      </c>
      <c r="E1224" s="91" t="s">
        <v>1200</v>
      </c>
      <c r="F1224" s="91">
        <v>482</v>
      </c>
      <c r="G1224" s="94">
        <f t="shared" si="176"/>
        <v>0.48199999999999998</v>
      </c>
      <c r="H1224" s="92" t="s">
        <v>46</v>
      </c>
      <c r="I1224" s="96">
        <f t="shared" si="171"/>
        <v>0.3</v>
      </c>
      <c r="J1224" s="96">
        <f t="shared" si="172"/>
        <v>0.7</v>
      </c>
      <c r="K1224" s="92">
        <f>VLOOKUP(H1224,'Taux émission CO2e'!$A$5:$D$16,4,FALSE)</f>
        <v>0.16</v>
      </c>
      <c r="L1224" s="93">
        <f t="shared" si="177"/>
        <v>11.933502528</v>
      </c>
      <c r="M1224" s="92">
        <f>VLOOKUP(H1224,'Taux émission CO2e'!$A$20:$D$31,4,FALSE)</f>
        <v>6.7400000000000002E-2</v>
      </c>
      <c r="N1224" s="105">
        <f t="shared" si="178"/>
        <v>11.729638526479999</v>
      </c>
      <c r="O1224" s="93">
        <f t="shared" si="179"/>
        <v>23.66314105448</v>
      </c>
      <c r="P1224" s="92">
        <v>341</v>
      </c>
      <c r="Q1224" s="92" t="s">
        <v>58</v>
      </c>
      <c r="R1224" s="92" t="s">
        <v>57</v>
      </c>
      <c r="S1224" s="20">
        <v>515.798</v>
      </c>
    </row>
    <row r="1225" spans="1:19" x14ac:dyDescent="0.15">
      <c r="A1225" s="90">
        <v>44763</v>
      </c>
      <c r="B1225" s="90" t="str">
        <f t="shared" si="173"/>
        <v>juillet</v>
      </c>
      <c r="C1225" s="90" t="str">
        <f t="shared" si="174"/>
        <v>2022</v>
      </c>
      <c r="D1225" s="90" t="str">
        <f t="shared" si="175"/>
        <v>juillet2022</v>
      </c>
      <c r="E1225" s="91" t="s">
        <v>1201</v>
      </c>
      <c r="F1225" s="92">
        <v>1000</v>
      </c>
      <c r="G1225" s="94">
        <f t="shared" si="176"/>
        <v>1</v>
      </c>
      <c r="H1225" s="92" t="s">
        <v>45</v>
      </c>
      <c r="I1225" s="96">
        <f t="shared" si="171"/>
        <v>0.3</v>
      </c>
      <c r="J1225" s="96">
        <f t="shared" si="172"/>
        <v>0.7</v>
      </c>
      <c r="K1225" s="92">
        <f>VLOOKUP(H1225,'Taux émission CO2e'!$A$5:$D$16,4,FALSE)</f>
        <v>0.16</v>
      </c>
      <c r="L1225" s="93">
        <f t="shared" si="177"/>
        <v>24.790752000000001</v>
      </c>
      <c r="M1225" s="92">
        <f>VLOOKUP(H1225,'Taux émission CO2e'!$A$20:$D$31,4,FALSE)</f>
        <v>6.7400000000000002E-2</v>
      </c>
      <c r="N1225" s="105">
        <f t="shared" si="178"/>
        <v>24.367243320000004</v>
      </c>
      <c r="O1225" s="93">
        <f t="shared" si="179"/>
        <v>49.157995320000005</v>
      </c>
      <c r="P1225" s="92">
        <v>520</v>
      </c>
      <c r="Q1225" s="92" t="s">
        <v>52</v>
      </c>
      <c r="R1225" s="92" t="s">
        <v>55</v>
      </c>
      <c r="S1225" s="20">
        <v>516.47400000000005</v>
      </c>
    </row>
    <row r="1226" spans="1:19" x14ac:dyDescent="0.15">
      <c r="A1226" s="90">
        <v>44764</v>
      </c>
      <c r="B1226" s="90" t="str">
        <f t="shared" si="173"/>
        <v>juillet</v>
      </c>
      <c r="C1226" s="90" t="str">
        <f t="shared" si="174"/>
        <v>2022</v>
      </c>
      <c r="D1226" s="90" t="str">
        <f t="shared" si="175"/>
        <v>juillet2022</v>
      </c>
      <c r="E1226" s="91" t="s">
        <v>1202</v>
      </c>
      <c r="F1226" s="91">
        <v>150</v>
      </c>
      <c r="G1226" s="94">
        <f t="shared" si="176"/>
        <v>0.15</v>
      </c>
      <c r="H1226" s="92" t="s">
        <v>45</v>
      </c>
      <c r="I1226" s="96">
        <f t="shared" si="171"/>
        <v>0.3</v>
      </c>
      <c r="J1226" s="96">
        <f t="shared" si="172"/>
        <v>0.7</v>
      </c>
      <c r="K1226" s="92">
        <f>VLOOKUP(H1226,'Taux émission CO2e'!$A$5:$D$16,4,FALSE)</f>
        <v>0.16</v>
      </c>
      <c r="L1226" s="93">
        <f t="shared" si="177"/>
        <v>1.3450607999999999</v>
      </c>
      <c r="M1226" s="92">
        <f>VLOOKUP(H1226,'Taux émission CO2e'!$A$20:$D$31,4,FALSE)</f>
        <v>6.7400000000000002E-2</v>
      </c>
      <c r="N1226" s="105">
        <f t="shared" si="178"/>
        <v>1.3220826779999999</v>
      </c>
      <c r="O1226" s="93">
        <f t="shared" si="179"/>
        <v>2.6671434779999998</v>
      </c>
      <c r="P1226" s="92">
        <v>140</v>
      </c>
      <c r="Q1226" s="92" t="s">
        <v>688</v>
      </c>
      <c r="R1226" s="92" t="s">
        <v>55</v>
      </c>
      <c r="S1226" s="20">
        <v>186.81399999999999</v>
      </c>
    </row>
    <row r="1227" spans="1:19" x14ac:dyDescent="0.15">
      <c r="A1227" s="90">
        <v>44764</v>
      </c>
      <c r="B1227" s="90" t="str">
        <f t="shared" si="173"/>
        <v>juillet</v>
      </c>
      <c r="C1227" s="90" t="str">
        <f t="shared" si="174"/>
        <v>2022</v>
      </c>
      <c r="D1227" s="90" t="str">
        <f t="shared" si="175"/>
        <v>juillet2022</v>
      </c>
      <c r="E1227" s="91" t="s">
        <v>1203</v>
      </c>
      <c r="F1227" s="91">
        <v>400</v>
      </c>
      <c r="G1227" s="94">
        <f t="shared" si="176"/>
        <v>0.4</v>
      </c>
      <c r="H1227" s="92" t="s">
        <v>45</v>
      </c>
      <c r="I1227" s="96">
        <f t="shared" si="171"/>
        <v>0.3</v>
      </c>
      <c r="J1227" s="96">
        <f t="shared" si="172"/>
        <v>0.7</v>
      </c>
      <c r="K1227" s="92">
        <f>VLOOKUP(H1227,'Taux émission CO2e'!$A$5:$D$16,4,FALSE)</f>
        <v>0.16</v>
      </c>
      <c r="L1227" s="93">
        <f t="shared" si="177"/>
        <v>5.347142400000001</v>
      </c>
      <c r="M1227" s="92">
        <f>VLOOKUP(H1227,'Taux émission CO2e'!$A$20:$D$31,4,FALSE)</f>
        <v>6.7400000000000002E-2</v>
      </c>
      <c r="N1227" s="105">
        <f t="shared" si="178"/>
        <v>5.2557953839999998</v>
      </c>
      <c r="O1227" s="93">
        <f t="shared" si="179"/>
        <v>10.602937784000002</v>
      </c>
      <c r="P1227" s="92">
        <v>158</v>
      </c>
      <c r="Q1227" s="92" t="s">
        <v>90</v>
      </c>
      <c r="R1227" s="92" t="s">
        <v>55</v>
      </c>
      <c r="S1227" s="20">
        <v>278.49700000000001</v>
      </c>
    </row>
    <row r="1228" spans="1:19" x14ac:dyDescent="0.15">
      <c r="A1228" s="90">
        <v>44764</v>
      </c>
      <c r="B1228" s="90" t="str">
        <f t="shared" si="173"/>
        <v>juillet</v>
      </c>
      <c r="C1228" s="90" t="str">
        <f t="shared" si="174"/>
        <v>2022</v>
      </c>
      <c r="D1228" s="90" t="str">
        <f t="shared" si="175"/>
        <v>juillet2022</v>
      </c>
      <c r="E1228" s="91" t="s">
        <v>1204</v>
      </c>
      <c r="F1228" s="91">
        <v>150</v>
      </c>
      <c r="G1228" s="94">
        <f t="shared" si="176"/>
        <v>0.15</v>
      </c>
      <c r="H1228" s="92" t="s">
        <v>45</v>
      </c>
      <c r="I1228" s="96">
        <f t="shared" si="171"/>
        <v>0.3</v>
      </c>
      <c r="J1228" s="96">
        <f t="shared" si="172"/>
        <v>0.7</v>
      </c>
      <c r="K1228" s="92">
        <f>VLOOKUP(H1228,'Taux émission CO2e'!$A$5:$D$16,4,FALSE)</f>
        <v>0.16</v>
      </c>
      <c r="L1228" s="93">
        <f t="shared" si="177"/>
        <v>2.8012535999999999</v>
      </c>
      <c r="M1228" s="92">
        <f>VLOOKUP(H1228,'Taux émission CO2e'!$A$20:$D$31,4,FALSE)</f>
        <v>6.7400000000000002E-2</v>
      </c>
      <c r="N1228" s="105">
        <f t="shared" si="178"/>
        <v>2.753398851</v>
      </c>
      <c r="O1228" s="93">
        <f t="shared" si="179"/>
        <v>5.5546524509999999</v>
      </c>
      <c r="P1228" s="92">
        <v>160</v>
      </c>
      <c r="Q1228" s="92" t="s">
        <v>842</v>
      </c>
      <c r="R1228" s="92" t="s">
        <v>55</v>
      </c>
      <c r="S1228" s="20">
        <v>389.06299999999999</v>
      </c>
    </row>
    <row r="1229" spans="1:19" x14ac:dyDescent="0.15">
      <c r="A1229" s="90">
        <v>44764</v>
      </c>
      <c r="B1229" s="90" t="str">
        <f t="shared" si="173"/>
        <v>juillet</v>
      </c>
      <c r="C1229" s="90" t="str">
        <f t="shared" si="174"/>
        <v>2022</v>
      </c>
      <c r="D1229" s="90" t="str">
        <f t="shared" si="175"/>
        <v>juillet2022</v>
      </c>
      <c r="E1229" s="91" t="s">
        <v>1205</v>
      </c>
      <c r="F1229" s="91">
        <v>150</v>
      </c>
      <c r="G1229" s="94">
        <f t="shared" si="176"/>
        <v>0.15</v>
      </c>
      <c r="H1229" s="92" t="s">
        <v>45</v>
      </c>
      <c r="I1229" s="96">
        <f t="shared" si="171"/>
        <v>0.3</v>
      </c>
      <c r="J1229" s="96">
        <f t="shared" si="172"/>
        <v>0.7</v>
      </c>
      <c r="K1229" s="92">
        <f>VLOOKUP(H1229,'Taux émission CO2e'!$A$5:$D$16,4,FALSE)</f>
        <v>0.16</v>
      </c>
      <c r="L1229" s="93">
        <f t="shared" si="177"/>
        <v>3.7013975999999995</v>
      </c>
      <c r="M1229" s="92">
        <f>VLOOKUP(H1229,'Taux émission CO2e'!$A$20:$D$31,4,FALSE)</f>
        <v>6.7400000000000002E-2</v>
      </c>
      <c r="N1229" s="105">
        <f t="shared" si="178"/>
        <v>3.6381653909999998</v>
      </c>
      <c r="O1229" s="93">
        <f t="shared" si="179"/>
        <v>7.3395629909999993</v>
      </c>
      <c r="P1229" s="92">
        <v>165</v>
      </c>
      <c r="Q1229" s="92" t="s">
        <v>1012</v>
      </c>
      <c r="R1229" s="92" t="s">
        <v>55</v>
      </c>
      <c r="S1229" s="20">
        <v>514.08299999999997</v>
      </c>
    </row>
    <row r="1230" spans="1:19" x14ac:dyDescent="0.15">
      <c r="A1230" s="90">
        <v>44764</v>
      </c>
      <c r="B1230" s="90" t="str">
        <f t="shared" si="173"/>
        <v>juillet</v>
      </c>
      <c r="C1230" s="90" t="str">
        <f t="shared" si="174"/>
        <v>2022</v>
      </c>
      <c r="D1230" s="90" t="str">
        <f t="shared" si="175"/>
        <v>juillet2022</v>
      </c>
      <c r="E1230" s="91" t="s">
        <v>1206</v>
      </c>
      <c r="F1230" s="91">
        <v>150</v>
      </c>
      <c r="G1230" s="94">
        <f t="shared" si="176"/>
        <v>0.15</v>
      </c>
      <c r="H1230" s="92" t="s">
        <v>46</v>
      </c>
      <c r="I1230" s="96">
        <f t="shared" si="171"/>
        <v>0.3</v>
      </c>
      <c r="J1230" s="96">
        <f t="shared" si="172"/>
        <v>0.7</v>
      </c>
      <c r="K1230" s="92">
        <f>VLOOKUP(H1230,'Taux émission CO2e'!$A$5:$D$16,4,FALSE)</f>
        <v>0.16</v>
      </c>
      <c r="L1230" s="93">
        <f t="shared" si="177"/>
        <v>2.7016776</v>
      </c>
      <c r="M1230" s="92">
        <f>VLOOKUP(H1230,'Taux émission CO2e'!$A$20:$D$31,4,FALSE)</f>
        <v>6.7400000000000002E-2</v>
      </c>
      <c r="N1230" s="105">
        <f t="shared" si="178"/>
        <v>2.6555239410000002</v>
      </c>
      <c r="O1230" s="93">
        <f t="shared" si="179"/>
        <v>5.3572015410000002</v>
      </c>
      <c r="P1230" s="92">
        <v>210</v>
      </c>
      <c r="Q1230" s="92" t="s">
        <v>856</v>
      </c>
      <c r="R1230" s="92" t="s">
        <v>1198</v>
      </c>
      <c r="S1230" s="20">
        <v>375.233</v>
      </c>
    </row>
    <row r="1231" spans="1:19" x14ac:dyDescent="0.15">
      <c r="A1231" s="90">
        <v>44764</v>
      </c>
      <c r="B1231" s="90" t="str">
        <f t="shared" si="173"/>
        <v>juillet</v>
      </c>
      <c r="C1231" s="90" t="str">
        <f t="shared" si="174"/>
        <v>2022</v>
      </c>
      <c r="D1231" s="90" t="str">
        <f t="shared" si="175"/>
        <v>juillet2022</v>
      </c>
      <c r="E1231" s="91" t="s">
        <v>1207</v>
      </c>
      <c r="F1231" s="91">
        <v>173</v>
      </c>
      <c r="G1231" s="94">
        <f t="shared" si="176"/>
        <v>0.17299999999999999</v>
      </c>
      <c r="H1231" s="92" t="s">
        <v>46</v>
      </c>
      <c r="I1231" s="96">
        <f t="shared" si="171"/>
        <v>0.3</v>
      </c>
      <c r="J1231" s="96">
        <f t="shared" si="172"/>
        <v>0.7</v>
      </c>
      <c r="K1231" s="92">
        <f>VLOOKUP(H1231,'Taux émission CO2e'!$A$5:$D$16,4,FALSE)</f>
        <v>0.16</v>
      </c>
      <c r="L1231" s="93">
        <f t="shared" si="177"/>
        <v>4.5074693279999991</v>
      </c>
      <c r="M1231" s="92">
        <f>VLOOKUP(H1231,'Taux émission CO2e'!$A$20:$D$31,4,FALSE)</f>
        <v>6.7400000000000002E-2</v>
      </c>
      <c r="N1231" s="105">
        <f t="shared" si="178"/>
        <v>4.4304667269799998</v>
      </c>
      <c r="O1231" s="93">
        <f t="shared" si="179"/>
        <v>8.9379360549799998</v>
      </c>
      <c r="P1231" s="92">
        <v>239</v>
      </c>
      <c r="Q1231" s="92" t="s">
        <v>62</v>
      </c>
      <c r="R1231" s="92" t="s">
        <v>1198</v>
      </c>
      <c r="S1231" s="20">
        <v>542.80700000000002</v>
      </c>
    </row>
    <row r="1232" spans="1:19" x14ac:dyDescent="0.15">
      <c r="A1232" s="90">
        <v>44764</v>
      </c>
      <c r="B1232" s="90" t="str">
        <f t="shared" si="173"/>
        <v>juillet</v>
      </c>
      <c r="C1232" s="90" t="str">
        <f t="shared" si="174"/>
        <v>2022</v>
      </c>
      <c r="D1232" s="90" t="str">
        <f t="shared" si="175"/>
        <v>juillet2022</v>
      </c>
      <c r="E1232" s="91" t="s">
        <v>1208</v>
      </c>
      <c r="F1232" s="91">
        <v>300</v>
      </c>
      <c r="G1232" s="94">
        <f t="shared" si="176"/>
        <v>0.3</v>
      </c>
      <c r="H1232" s="92" t="s">
        <v>46</v>
      </c>
      <c r="I1232" s="96">
        <f t="shared" si="171"/>
        <v>0.3</v>
      </c>
      <c r="J1232" s="96">
        <f t="shared" si="172"/>
        <v>0.7</v>
      </c>
      <c r="K1232" s="92">
        <f>VLOOKUP(H1232,'Taux émission CO2e'!$A$5:$D$16,4,FALSE)</f>
        <v>0.16</v>
      </c>
      <c r="L1232" s="93">
        <f t="shared" si="177"/>
        <v>3.7023695999999995</v>
      </c>
      <c r="M1232" s="92">
        <f>VLOOKUP(H1232,'Taux émission CO2e'!$A$20:$D$31,4,FALSE)</f>
        <v>6.7400000000000002E-2</v>
      </c>
      <c r="N1232" s="105">
        <f t="shared" si="178"/>
        <v>3.6391207859999999</v>
      </c>
      <c r="O1232" s="93">
        <f t="shared" si="179"/>
        <v>7.3414903859999994</v>
      </c>
      <c r="P1232" s="92">
        <v>275</v>
      </c>
      <c r="Q1232" s="92" t="s">
        <v>102</v>
      </c>
      <c r="R1232" s="92" t="s">
        <v>1198</v>
      </c>
      <c r="S1232" s="20">
        <v>257.10899999999998</v>
      </c>
    </row>
    <row r="1233" spans="1:19" x14ac:dyDescent="0.15">
      <c r="A1233" s="90">
        <v>44764</v>
      </c>
      <c r="B1233" s="90" t="str">
        <f t="shared" si="173"/>
        <v>juillet</v>
      </c>
      <c r="C1233" s="90" t="str">
        <f t="shared" si="174"/>
        <v>2022</v>
      </c>
      <c r="D1233" s="90" t="str">
        <f t="shared" si="175"/>
        <v>juillet2022</v>
      </c>
      <c r="E1233" s="91" t="s">
        <v>1209</v>
      </c>
      <c r="F1233" s="91">
        <v>650</v>
      </c>
      <c r="G1233" s="94">
        <f t="shared" si="176"/>
        <v>0.65</v>
      </c>
      <c r="H1233" s="92" t="s">
        <v>46</v>
      </c>
      <c r="I1233" s="96">
        <f t="shared" si="171"/>
        <v>0.3</v>
      </c>
      <c r="J1233" s="96">
        <f t="shared" si="172"/>
        <v>0.7</v>
      </c>
      <c r="K1233" s="92">
        <f>VLOOKUP(H1233,'Taux émission CO2e'!$A$5:$D$16,4,FALSE)</f>
        <v>0.16</v>
      </c>
      <c r="L1233" s="93">
        <f t="shared" si="177"/>
        <v>23.3281776</v>
      </c>
      <c r="M1233" s="92">
        <f>VLOOKUP(H1233,'Taux émission CO2e'!$A$20:$D$31,4,FALSE)</f>
        <v>6.7400000000000002E-2</v>
      </c>
      <c r="N1233" s="105">
        <f t="shared" si="178"/>
        <v>22.929654566</v>
      </c>
      <c r="O1233" s="93">
        <f t="shared" si="179"/>
        <v>46.257832166</v>
      </c>
      <c r="P1233" s="92">
        <v>385</v>
      </c>
      <c r="Q1233" s="92" t="s">
        <v>503</v>
      </c>
      <c r="R1233" s="92" t="s">
        <v>1198</v>
      </c>
      <c r="S1233" s="20">
        <v>747.69799999999998</v>
      </c>
    </row>
    <row r="1234" spans="1:19" x14ac:dyDescent="0.15">
      <c r="A1234" s="90">
        <v>44767</v>
      </c>
      <c r="B1234" s="90" t="str">
        <f t="shared" si="173"/>
        <v>juillet</v>
      </c>
      <c r="C1234" s="90" t="str">
        <f t="shared" si="174"/>
        <v>2022</v>
      </c>
      <c r="D1234" s="90" t="str">
        <f t="shared" si="175"/>
        <v>juillet2022</v>
      </c>
      <c r="E1234" s="91" t="s">
        <v>1210</v>
      </c>
      <c r="F1234" s="91">
        <v>150</v>
      </c>
      <c r="G1234" s="94">
        <f t="shared" si="176"/>
        <v>0.15</v>
      </c>
      <c r="H1234" s="92" t="s">
        <v>38</v>
      </c>
      <c r="I1234" s="96">
        <f t="shared" si="171"/>
        <v>1</v>
      </c>
      <c r="J1234" s="96">
        <f t="shared" si="172"/>
        <v>0</v>
      </c>
      <c r="K1234" s="92">
        <f>VLOOKUP(H1234,'Taux émission CO2e'!$A$5:$D$16,4,FALSE)</f>
        <v>0.24099999999999999</v>
      </c>
      <c r="L1234" s="93">
        <f t="shared" si="177"/>
        <v>1.2287746499999999</v>
      </c>
      <c r="M1234" s="92">
        <f>VLOOKUP(H1234,'Taux émission CO2e'!$A$20:$D$31,4,FALSE)</f>
        <v>0</v>
      </c>
      <c r="N1234" s="105">
        <f t="shared" si="178"/>
        <v>0</v>
      </c>
      <c r="O1234" s="93">
        <f t="shared" si="179"/>
        <v>1.2287746499999999</v>
      </c>
      <c r="P1234" s="92">
        <v>100</v>
      </c>
      <c r="Q1234" s="92" t="s">
        <v>67</v>
      </c>
      <c r="R1234" s="92" t="s">
        <v>55</v>
      </c>
      <c r="S1234" s="20">
        <v>33.991</v>
      </c>
    </row>
    <row r="1235" spans="1:19" x14ac:dyDescent="0.15">
      <c r="A1235" s="90">
        <v>44767</v>
      </c>
      <c r="B1235" s="90" t="str">
        <f t="shared" si="173"/>
        <v>juillet</v>
      </c>
      <c r="C1235" s="90" t="str">
        <f t="shared" si="174"/>
        <v>2022</v>
      </c>
      <c r="D1235" s="90" t="str">
        <f t="shared" si="175"/>
        <v>juillet2022</v>
      </c>
      <c r="E1235" s="91" t="s">
        <v>1211</v>
      </c>
      <c r="F1235" s="91">
        <v>150</v>
      </c>
      <c r="G1235" s="94">
        <f t="shared" si="176"/>
        <v>0.15</v>
      </c>
      <c r="H1235" s="92" t="s">
        <v>46</v>
      </c>
      <c r="I1235" s="96">
        <f t="shared" si="171"/>
        <v>0.3</v>
      </c>
      <c r="J1235" s="96">
        <f t="shared" si="172"/>
        <v>0.7</v>
      </c>
      <c r="K1235" s="92">
        <f>VLOOKUP(H1235,'Taux émission CO2e'!$A$5:$D$16,4,FALSE)</f>
        <v>0.16</v>
      </c>
      <c r="L1235" s="93">
        <f t="shared" si="177"/>
        <v>2.7494424</v>
      </c>
      <c r="M1235" s="92">
        <f>VLOOKUP(H1235,'Taux émission CO2e'!$A$20:$D$31,4,FALSE)</f>
        <v>6.7400000000000002E-2</v>
      </c>
      <c r="N1235" s="105">
        <f t="shared" si="178"/>
        <v>2.7024727589999999</v>
      </c>
      <c r="O1235" s="93">
        <f t="shared" si="179"/>
        <v>5.4519151590000003</v>
      </c>
      <c r="P1235" s="92">
        <v>165</v>
      </c>
      <c r="Q1235" s="92" t="s">
        <v>91</v>
      </c>
      <c r="R1235" s="92" t="s">
        <v>1198</v>
      </c>
      <c r="S1235" s="20">
        <v>381.86700000000002</v>
      </c>
    </row>
    <row r="1236" spans="1:19" x14ac:dyDescent="0.15">
      <c r="A1236" s="90">
        <v>44767</v>
      </c>
      <c r="B1236" s="90" t="str">
        <f t="shared" si="173"/>
        <v>juillet</v>
      </c>
      <c r="C1236" s="90" t="str">
        <f t="shared" si="174"/>
        <v>2022</v>
      </c>
      <c r="D1236" s="90" t="str">
        <f t="shared" si="175"/>
        <v>juillet2022</v>
      </c>
      <c r="E1236" s="91" t="s">
        <v>1212</v>
      </c>
      <c r="F1236" s="91">
        <v>150</v>
      </c>
      <c r="G1236" s="94">
        <f t="shared" si="176"/>
        <v>0.15</v>
      </c>
      <c r="H1236" s="92" t="s">
        <v>46</v>
      </c>
      <c r="I1236" s="96">
        <f t="shared" si="171"/>
        <v>0.3</v>
      </c>
      <c r="J1236" s="96">
        <f t="shared" si="172"/>
        <v>0.7</v>
      </c>
      <c r="K1236" s="92">
        <f>VLOOKUP(H1236,'Taux émission CO2e'!$A$5:$D$16,4,FALSE)</f>
        <v>0.16</v>
      </c>
      <c r="L1236" s="93">
        <f t="shared" si="177"/>
        <v>1.8102672</v>
      </c>
      <c r="M1236" s="92">
        <f>VLOOKUP(H1236,'Taux émission CO2e'!$A$20:$D$31,4,FALSE)</f>
        <v>6.7400000000000002E-2</v>
      </c>
      <c r="N1236" s="105">
        <f t="shared" si="178"/>
        <v>1.7793418019999998</v>
      </c>
      <c r="O1236" s="93">
        <f t="shared" si="179"/>
        <v>3.5896090019999995</v>
      </c>
      <c r="P1236" s="92">
        <v>185</v>
      </c>
      <c r="Q1236" s="92" t="s">
        <v>92</v>
      </c>
      <c r="R1236" s="92" t="s">
        <v>1198</v>
      </c>
      <c r="S1236" s="20">
        <v>251.42599999999999</v>
      </c>
    </row>
    <row r="1237" spans="1:19" x14ac:dyDescent="0.15">
      <c r="A1237" s="90">
        <v>44768</v>
      </c>
      <c r="B1237" s="90" t="str">
        <f t="shared" si="173"/>
        <v>juillet</v>
      </c>
      <c r="C1237" s="90" t="str">
        <f t="shared" si="174"/>
        <v>2022</v>
      </c>
      <c r="D1237" s="90" t="str">
        <f t="shared" si="175"/>
        <v>juillet2022</v>
      </c>
      <c r="E1237" s="91" t="s">
        <v>1213</v>
      </c>
      <c r="F1237" s="91">
        <v>170</v>
      </c>
      <c r="G1237" s="94">
        <f t="shared" si="176"/>
        <v>0.17</v>
      </c>
      <c r="H1237" s="92" t="s">
        <v>46</v>
      </c>
      <c r="I1237" s="96">
        <f t="shared" si="171"/>
        <v>0.3</v>
      </c>
      <c r="J1237" s="96">
        <f t="shared" si="172"/>
        <v>0.7</v>
      </c>
      <c r="K1237" s="92">
        <f>VLOOKUP(H1237,'Taux émission CO2e'!$A$5:$D$16,4,FALSE)</f>
        <v>0.16</v>
      </c>
      <c r="L1237" s="93">
        <f t="shared" si="177"/>
        <v>1.3657392000000002</v>
      </c>
      <c r="M1237" s="92">
        <f>VLOOKUP(H1237,'Taux émission CO2e'!$A$20:$D$31,4,FALSE)</f>
        <v>6.7400000000000002E-2</v>
      </c>
      <c r="N1237" s="105">
        <f t="shared" si="178"/>
        <v>1.3424078220000002</v>
      </c>
      <c r="O1237" s="93">
        <f t="shared" si="179"/>
        <v>2.7081470220000003</v>
      </c>
      <c r="P1237" s="92">
        <v>108</v>
      </c>
      <c r="Q1237" s="92" t="s">
        <v>58</v>
      </c>
      <c r="R1237" s="92" t="s">
        <v>112</v>
      </c>
      <c r="S1237" s="20">
        <v>167.37</v>
      </c>
    </row>
    <row r="1238" spans="1:19" x14ac:dyDescent="0.15">
      <c r="A1238" s="90">
        <v>44768</v>
      </c>
      <c r="B1238" s="90" t="str">
        <f t="shared" si="173"/>
        <v>juillet</v>
      </c>
      <c r="C1238" s="90" t="str">
        <f t="shared" si="174"/>
        <v>2022</v>
      </c>
      <c r="D1238" s="90" t="str">
        <f t="shared" si="175"/>
        <v>juillet2022</v>
      </c>
      <c r="E1238" s="91" t="s">
        <v>1214</v>
      </c>
      <c r="F1238" s="91">
        <v>342</v>
      </c>
      <c r="G1238" s="94">
        <f t="shared" si="176"/>
        <v>0.34200000000000003</v>
      </c>
      <c r="H1238" s="92" t="s">
        <v>46</v>
      </c>
      <c r="I1238" s="96">
        <f t="shared" si="171"/>
        <v>0.3</v>
      </c>
      <c r="J1238" s="96">
        <f t="shared" si="172"/>
        <v>0.7</v>
      </c>
      <c r="K1238" s="92">
        <f>VLOOKUP(H1238,'Taux émission CO2e'!$A$5:$D$16,4,FALSE)</f>
        <v>0.16</v>
      </c>
      <c r="L1238" s="93">
        <f t="shared" si="177"/>
        <v>4.5931803840000001</v>
      </c>
      <c r="M1238" s="92">
        <f>VLOOKUP(H1238,'Taux émission CO2e'!$A$20:$D$31,4,FALSE)</f>
        <v>6.7400000000000002E-2</v>
      </c>
      <c r="N1238" s="105">
        <f t="shared" si="178"/>
        <v>4.5147135524399999</v>
      </c>
      <c r="O1238" s="93">
        <f t="shared" si="179"/>
        <v>9.10789393644</v>
      </c>
      <c r="P1238" s="92">
        <v>205</v>
      </c>
      <c r="Q1238" s="92" t="s">
        <v>58</v>
      </c>
      <c r="R1238" s="92" t="s">
        <v>70</v>
      </c>
      <c r="S1238" s="20">
        <v>279.79899999999998</v>
      </c>
    </row>
    <row r="1239" spans="1:19" x14ac:dyDescent="0.15">
      <c r="A1239" s="90">
        <v>44768</v>
      </c>
      <c r="B1239" s="90" t="str">
        <f t="shared" si="173"/>
        <v>juillet</v>
      </c>
      <c r="C1239" s="90" t="str">
        <f t="shared" si="174"/>
        <v>2022</v>
      </c>
      <c r="D1239" s="90" t="str">
        <f t="shared" si="175"/>
        <v>juillet2022</v>
      </c>
      <c r="E1239" s="91" t="s">
        <v>1215</v>
      </c>
      <c r="F1239" s="91">
        <v>440</v>
      </c>
      <c r="G1239" s="94">
        <f t="shared" si="176"/>
        <v>0.44</v>
      </c>
      <c r="H1239" s="92" t="s">
        <v>46</v>
      </c>
      <c r="I1239" s="96">
        <f t="shared" si="171"/>
        <v>0.3</v>
      </c>
      <c r="J1239" s="96">
        <f t="shared" si="172"/>
        <v>0.7</v>
      </c>
      <c r="K1239" s="92">
        <f>VLOOKUP(H1239,'Taux émission CO2e'!$A$5:$D$16,4,FALSE)</f>
        <v>0.16</v>
      </c>
      <c r="L1239" s="93">
        <f t="shared" si="177"/>
        <v>9.68366784</v>
      </c>
      <c r="M1239" s="92">
        <f>VLOOKUP(H1239,'Taux émission CO2e'!$A$20:$D$31,4,FALSE)</f>
        <v>6.7400000000000002E-2</v>
      </c>
      <c r="N1239" s="105">
        <f t="shared" si="178"/>
        <v>9.5182385144000001</v>
      </c>
      <c r="O1239" s="93">
        <f t="shared" si="179"/>
        <v>19.201906354400002</v>
      </c>
      <c r="P1239" s="92">
        <v>280</v>
      </c>
      <c r="Q1239" s="92" t="s">
        <v>58</v>
      </c>
      <c r="R1239" s="92" t="s">
        <v>427</v>
      </c>
      <c r="S1239" s="20">
        <v>458.50700000000001</v>
      </c>
    </row>
    <row r="1240" spans="1:19" x14ac:dyDescent="0.15">
      <c r="A1240" s="90">
        <v>44768</v>
      </c>
      <c r="B1240" s="90" t="str">
        <f t="shared" si="173"/>
        <v>juillet</v>
      </c>
      <c r="C1240" s="90" t="str">
        <f t="shared" si="174"/>
        <v>2022</v>
      </c>
      <c r="D1240" s="90" t="str">
        <f t="shared" si="175"/>
        <v>juillet2022</v>
      </c>
      <c r="E1240" s="91" t="s">
        <v>1216</v>
      </c>
      <c r="F1240" s="91">
        <v>750</v>
      </c>
      <c r="G1240" s="94">
        <f t="shared" si="176"/>
        <v>0.75</v>
      </c>
      <c r="H1240" s="92" t="s">
        <v>46</v>
      </c>
      <c r="I1240" s="96">
        <f t="shared" si="171"/>
        <v>0.3</v>
      </c>
      <c r="J1240" s="96">
        <f t="shared" si="172"/>
        <v>0.7</v>
      </c>
      <c r="K1240" s="92">
        <f>VLOOKUP(H1240,'Taux émission CO2e'!$A$5:$D$16,4,FALSE)</f>
        <v>0.16</v>
      </c>
      <c r="L1240" s="93">
        <f t="shared" si="177"/>
        <v>18.593064000000005</v>
      </c>
      <c r="M1240" s="92">
        <f>VLOOKUP(H1240,'Taux émission CO2e'!$A$20:$D$31,4,FALSE)</f>
        <v>6.7400000000000002E-2</v>
      </c>
      <c r="N1240" s="105">
        <f t="shared" si="178"/>
        <v>18.27543249</v>
      </c>
      <c r="O1240" s="93">
        <f t="shared" si="179"/>
        <v>36.868496490000005</v>
      </c>
      <c r="P1240" s="92">
        <v>365</v>
      </c>
      <c r="Q1240" s="92" t="s">
        <v>52</v>
      </c>
      <c r="R1240" s="92" t="s">
        <v>55</v>
      </c>
      <c r="S1240" s="20">
        <v>516.47400000000005</v>
      </c>
    </row>
    <row r="1241" spans="1:19" x14ac:dyDescent="0.15">
      <c r="A1241" s="90">
        <v>44769</v>
      </c>
      <c r="B1241" s="90" t="str">
        <f t="shared" si="173"/>
        <v>juillet</v>
      </c>
      <c r="C1241" s="90" t="str">
        <f t="shared" si="174"/>
        <v>2022</v>
      </c>
      <c r="D1241" s="90" t="str">
        <f t="shared" si="175"/>
        <v>juillet2022</v>
      </c>
      <c r="E1241" s="91" t="s">
        <v>1217</v>
      </c>
      <c r="F1241" s="91">
        <v>428</v>
      </c>
      <c r="G1241" s="94">
        <f t="shared" si="176"/>
        <v>0.42799999999999999</v>
      </c>
      <c r="H1241" s="92" t="s">
        <v>45</v>
      </c>
      <c r="I1241" s="96">
        <f t="shared" si="171"/>
        <v>0.3</v>
      </c>
      <c r="J1241" s="96">
        <f t="shared" si="172"/>
        <v>0.7</v>
      </c>
      <c r="K1241" s="92">
        <f>VLOOKUP(H1241,'Taux émission CO2e'!$A$5:$D$16,4,FALSE)</f>
        <v>0.16</v>
      </c>
      <c r="L1241" s="93">
        <f t="shared" si="177"/>
        <v>5.1478949759999999</v>
      </c>
      <c r="M1241" s="92">
        <f>VLOOKUP(H1241,'Taux émission CO2e'!$A$20:$D$31,4,FALSE)</f>
        <v>6.7400000000000002E-2</v>
      </c>
      <c r="N1241" s="105">
        <f t="shared" si="178"/>
        <v>5.0599517701599996</v>
      </c>
      <c r="O1241" s="93">
        <f t="shared" si="179"/>
        <v>10.20784674616</v>
      </c>
      <c r="P1241" s="92">
        <v>140</v>
      </c>
      <c r="Q1241" s="92" t="s">
        <v>58</v>
      </c>
      <c r="R1241" s="92" t="s">
        <v>79</v>
      </c>
      <c r="S1241" s="20">
        <v>250.57900000000001</v>
      </c>
    </row>
    <row r="1242" spans="1:19" x14ac:dyDescent="0.15">
      <c r="A1242" s="90">
        <v>44769</v>
      </c>
      <c r="B1242" s="90" t="str">
        <f t="shared" si="173"/>
        <v>juillet</v>
      </c>
      <c r="C1242" s="90" t="str">
        <f t="shared" si="174"/>
        <v>2022</v>
      </c>
      <c r="D1242" s="90" t="str">
        <f t="shared" si="175"/>
        <v>juillet2022</v>
      </c>
      <c r="E1242" s="91" t="s">
        <v>1218</v>
      </c>
      <c r="F1242" s="91">
        <v>300</v>
      </c>
      <c r="G1242" s="94">
        <f t="shared" si="176"/>
        <v>0.3</v>
      </c>
      <c r="H1242" s="92" t="s">
        <v>45</v>
      </c>
      <c r="I1242" s="96">
        <f t="shared" si="171"/>
        <v>0.3</v>
      </c>
      <c r="J1242" s="96">
        <f t="shared" si="172"/>
        <v>0.7</v>
      </c>
      <c r="K1242" s="92">
        <f>VLOOKUP(H1242,'Taux émission CO2e'!$A$5:$D$16,4,FALSE)</f>
        <v>0.16</v>
      </c>
      <c r="L1242" s="93">
        <f t="shared" si="177"/>
        <v>7.7429951999999993</v>
      </c>
      <c r="M1242" s="92">
        <f>VLOOKUP(H1242,'Taux émission CO2e'!$A$20:$D$31,4,FALSE)</f>
        <v>6.7400000000000002E-2</v>
      </c>
      <c r="N1242" s="105">
        <f t="shared" si="178"/>
        <v>7.6107190319999996</v>
      </c>
      <c r="O1242" s="93">
        <f t="shared" si="179"/>
        <v>15.353714231999998</v>
      </c>
      <c r="P1242" s="92">
        <v>195</v>
      </c>
      <c r="Q1242" s="92" t="s">
        <v>612</v>
      </c>
      <c r="R1242" s="92" t="s">
        <v>55</v>
      </c>
      <c r="S1242" s="20">
        <v>537.70799999999997</v>
      </c>
    </row>
    <row r="1243" spans="1:19" x14ac:dyDescent="0.15">
      <c r="A1243" s="90">
        <v>44769</v>
      </c>
      <c r="B1243" s="90" t="str">
        <f t="shared" si="173"/>
        <v>juillet</v>
      </c>
      <c r="C1243" s="90" t="str">
        <f t="shared" si="174"/>
        <v>2022</v>
      </c>
      <c r="D1243" s="90" t="str">
        <f t="shared" si="175"/>
        <v>juillet2022</v>
      </c>
      <c r="E1243" s="91" t="s">
        <v>1219</v>
      </c>
      <c r="F1243" s="91">
        <v>150</v>
      </c>
      <c r="G1243" s="94">
        <f t="shared" si="176"/>
        <v>0.15</v>
      </c>
      <c r="H1243" s="92" t="s">
        <v>46</v>
      </c>
      <c r="I1243" s="96">
        <f t="shared" si="171"/>
        <v>0.3</v>
      </c>
      <c r="J1243" s="96">
        <f t="shared" si="172"/>
        <v>0.7</v>
      </c>
      <c r="K1243" s="92">
        <f>VLOOKUP(H1243,'Taux émission CO2e'!$A$5:$D$16,4,FALSE)</f>
        <v>0.16</v>
      </c>
      <c r="L1243" s="93">
        <f t="shared" si="177"/>
        <v>1.2436343999999999</v>
      </c>
      <c r="M1243" s="92">
        <f>VLOOKUP(H1243,'Taux émission CO2e'!$A$20:$D$31,4,FALSE)</f>
        <v>6.7400000000000002E-2</v>
      </c>
      <c r="N1243" s="105">
        <f t="shared" si="178"/>
        <v>1.222388979</v>
      </c>
      <c r="O1243" s="93">
        <f t="shared" si="179"/>
        <v>2.4660233790000001</v>
      </c>
      <c r="P1243" s="92">
        <v>200</v>
      </c>
      <c r="Q1243" s="92" t="s">
        <v>708</v>
      </c>
      <c r="R1243" s="92" t="s">
        <v>1198</v>
      </c>
      <c r="S1243" s="20">
        <v>172.727</v>
      </c>
    </row>
    <row r="1244" spans="1:19" x14ac:dyDescent="0.15">
      <c r="A1244" s="90">
        <v>44769</v>
      </c>
      <c r="B1244" s="90" t="str">
        <f t="shared" si="173"/>
        <v>juillet</v>
      </c>
      <c r="C1244" s="90" t="str">
        <f t="shared" si="174"/>
        <v>2022</v>
      </c>
      <c r="D1244" s="90" t="str">
        <f t="shared" si="175"/>
        <v>juillet2022</v>
      </c>
      <c r="E1244" s="91" t="s">
        <v>1220</v>
      </c>
      <c r="F1244" s="91">
        <v>1055</v>
      </c>
      <c r="G1244" s="94">
        <f t="shared" si="176"/>
        <v>1.0549999999999999</v>
      </c>
      <c r="H1244" s="92" t="s">
        <v>43</v>
      </c>
      <c r="I1244" s="96">
        <f t="shared" si="171"/>
        <v>1</v>
      </c>
      <c r="J1244" s="96">
        <f t="shared" si="172"/>
        <v>0</v>
      </c>
      <c r="K1244" s="92">
        <f>VLOOKUP(H1244,'Taux émission CO2e'!$A$5:$D$16,4,FALSE)</f>
        <v>0.16</v>
      </c>
      <c r="L1244" s="93">
        <f t="shared" si="177"/>
        <v>87.066702399999997</v>
      </c>
      <c r="M1244" s="92">
        <f>VLOOKUP(H1244,'Taux émission CO2e'!$A$20:$D$31,4,FALSE)</f>
        <v>0</v>
      </c>
      <c r="N1244" s="105">
        <f t="shared" si="178"/>
        <v>0</v>
      </c>
      <c r="O1244" s="93">
        <f t="shared" si="179"/>
        <v>87.066702399999997</v>
      </c>
      <c r="P1244" s="92">
        <v>485</v>
      </c>
      <c r="Q1244" s="92" t="s">
        <v>58</v>
      </c>
      <c r="R1244" s="92" t="s">
        <v>57</v>
      </c>
      <c r="S1244" s="20">
        <v>515.798</v>
      </c>
    </row>
    <row r="1245" spans="1:19" x14ac:dyDescent="0.15">
      <c r="A1245" s="90">
        <v>44770</v>
      </c>
      <c r="B1245" s="90" t="str">
        <f t="shared" si="173"/>
        <v>juillet</v>
      </c>
      <c r="C1245" s="90" t="str">
        <f t="shared" si="174"/>
        <v>2022</v>
      </c>
      <c r="D1245" s="90" t="str">
        <f t="shared" si="175"/>
        <v>juillet2022</v>
      </c>
      <c r="E1245" s="91" t="s">
        <v>1221</v>
      </c>
      <c r="F1245" s="91">
        <v>170</v>
      </c>
      <c r="G1245" s="94">
        <f t="shared" si="176"/>
        <v>0.17</v>
      </c>
      <c r="H1245" s="92" t="s">
        <v>46</v>
      </c>
      <c r="I1245" s="96">
        <f t="shared" si="171"/>
        <v>0.3</v>
      </c>
      <c r="J1245" s="96">
        <f t="shared" si="172"/>
        <v>0.7</v>
      </c>
      <c r="K1245" s="92">
        <f>VLOOKUP(H1245,'Taux émission CO2e'!$A$5:$D$16,4,FALSE)</f>
        <v>0.16</v>
      </c>
      <c r="L1245" s="93">
        <f t="shared" si="177"/>
        <v>1.37440512</v>
      </c>
      <c r="M1245" s="92">
        <f>VLOOKUP(H1245,'Taux émission CO2e'!$A$20:$D$31,4,FALSE)</f>
        <v>6.7400000000000002E-2</v>
      </c>
      <c r="N1245" s="105">
        <f t="shared" si="178"/>
        <v>1.3509256992000001</v>
      </c>
      <c r="O1245" s="93">
        <f t="shared" si="179"/>
        <v>2.7253308191999999</v>
      </c>
      <c r="P1245" s="92">
        <v>108</v>
      </c>
      <c r="Q1245" s="92" t="s">
        <v>1222</v>
      </c>
      <c r="R1245" s="92" t="s">
        <v>1198</v>
      </c>
      <c r="S1245" s="20">
        <v>168.43199999999999</v>
      </c>
    </row>
    <row r="1246" spans="1:19" x14ac:dyDescent="0.15">
      <c r="A1246" s="90">
        <v>44770</v>
      </c>
      <c r="B1246" s="90" t="str">
        <f t="shared" si="173"/>
        <v>juillet</v>
      </c>
      <c r="C1246" s="90" t="str">
        <f t="shared" si="174"/>
        <v>2022</v>
      </c>
      <c r="D1246" s="90" t="str">
        <f t="shared" si="175"/>
        <v>juillet2022</v>
      </c>
      <c r="E1246" s="91" t="s">
        <v>1223</v>
      </c>
      <c r="F1246" s="91">
        <v>150</v>
      </c>
      <c r="G1246" s="94">
        <f t="shared" si="176"/>
        <v>0.15</v>
      </c>
      <c r="H1246" s="92" t="s">
        <v>45</v>
      </c>
      <c r="I1246" s="96">
        <f t="shared" si="171"/>
        <v>0.3</v>
      </c>
      <c r="J1246" s="96">
        <f t="shared" si="172"/>
        <v>0.7</v>
      </c>
      <c r="K1246" s="92">
        <f>VLOOKUP(H1246,'Taux émission CO2e'!$A$5:$D$16,4,FALSE)</f>
        <v>0.16</v>
      </c>
      <c r="L1246" s="93">
        <f t="shared" si="177"/>
        <v>3.2137920000000002</v>
      </c>
      <c r="M1246" s="92">
        <f>VLOOKUP(H1246,'Taux émission CO2e'!$A$20:$D$31,4,FALSE)</f>
        <v>6.7400000000000002E-2</v>
      </c>
      <c r="N1246" s="105">
        <f t="shared" si="178"/>
        <v>3.1588897199999999</v>
      </c>
      <c r="O1246" s="93">
        <f t="shared" si="179"/>
        <v>6.3726817200000001</v>
      </c>
      <c r="P1246" s="92">
        <v>130</v>
      </c>
      <c r="Q1246" s="92" t="s">
        <v>1224</v>
      </c>
      <c r="R1246" s="92" t="s">
        <v>55</v>
      </c>
      <c r="S1246" s="20">
        <v>446.36</v>
      </c>
    </row>
    <row r="1247" spans="1:19" x14ac:dyDescent="0.15">
      <c r="A1247" s="90">
        <v>44770</v>
      </c>
      <c r="B1247" s="90" t="str">
        <f t="shared" si="173"/>
        <v>juillet</v>
      </c>
      <c r="C1247" s="90" t="str">
        <f t="shared" si="174"/>
        <v>2022</v>
      </c>
      <c r="D1247" s="90" t="str">
        <f t="shared" si="175"/>
        <v>juillet2022</v>
      </c>
      <c r="E1247" s="91" t="s">
        <v>1225</v>
      </c>
      <c r="F1247" s="91">
        <v>150</v>
      </c>
      <c r="G1247" s="94">
        <f t="shared" si="176"/>
        <v>0.15</v>
      </c>
      <c r="H1247" s="92" t="s">
        <v>45</v>
      </c>
      <c r="I1247" s="96">
        <f t="shared" si="171"/>
        <v>0.3</v>
      </c>
      <c r="J1247" s="96">
        <f t="shared" si="172"/>
        <v>0.7</v>
      </c>
      <c r="K1247" s="92">
        <f>VLOOKUP(H1247,'Taux émission CO2e'!$A$5:$D$16,4,FALSE)</f>
        <v>0.16</v>
      </c>
      <c r="L1247" s="93">
        <f t="shared" si="177"/>
        <v>2.0026439999999996</v>
      </c>
      <c r="M1247" s="92">
        <f>VLOOKUP(H1247,'Taux émission CO2e'!$A$20:$D$31,4,FALSE)</f>
        <v>6.7400000000000002E-2</v>
      </c>
      <c r="N1247" s="105">
        <f t="shared" si="178"/>
        <v>1.9684321649999998</v>
      </c>
      <c r="O1247" s="93">
        <f t="shared" si="179"/>
        <v>3.9710761649999995</v>
      </c>
      <c r="P1247" s="92">
        <v>158</v>
      </c>
      <c r="Q1247" s="92" t="s">
        <v>74</v>
      </c>
      <c r="R1247" s="92" t="s">
        <v>55</v>
      </c>
      <c r="S1247" s="20">
        <v>278.14499999999998</v>
      </c>
    </row>
    <row r="1248" spans="1:19" x14ac:dyDescent="0.15">
      <c r="A1248" s="90">
        <v>44770</v>
      </c>
      <c r="B1248" s="90" t="str">
        <f t="shared" si="173"/>
        <v>juillet</v>
      </c>
      <c r="C1248" s="90" t="str">
        <f t="shared" si="174"/>
        <v>2022</v>
      </c>
      <c r="D1248" s="90" t="str">
        <f t="shared" si="175"/>
        <v>juillet2022</v>
      </c>
      <c r="E1248" s="91" t="s">
        <v>1226</v>
      </c>
      <c r="F1248" s="91">
        <v>150</v>
      </c>
      <c r="G1248" s="94">
        <f t="shared" si="176"/>
        <v>0.15</v>
      </c>
      <c r="H1248" s="92" t="s">
        <v>45</v>
      </c>
      <c r="I1248" s="96">
        <f t="shared" si="171"/>
        <v>0.3</v>
      </c>
      <c r="J1248" s="96">
        <f t="shared" si="172"/>
        <v>0.7</v>
      </c>
      <c r="K1248" s="92">
        <f>VLOOKUP(H1248,'Taux émission CO2e'!$A$5:$D$16,4,FALSE)</f>
        <v>0.16</v>
      </c>
      <c r="L1248" s="93">
        <f t="shared" si="177"/>
        <v>1.9215215999999999</v>
      </c>
      <c r="M1248" s="92">
        <f>VLOOKUP(H1248,'Taux émission CO2e'!$A$20:$D$31,4,FALSE)</f>
        <v>6.7400000000000002E-2</v>
      </c>
      <c r="N1248" s="105">
        <f t="shared" si="178"/>
        <v>1.888695606</v>
      </c>
      <c r="O1248" s="93">
        <f t="shared" si="179"/>
        <v>3.8102172059999999</v>
      </c>
      <c r="P1248" s="92">
        <v>193</v>
      </c>
      <c r="Q1248" s="92" t="s">
        <v>730</v>
      </c>
      <c r="R1248" s="92" t="s">
        <v>55</v>
      </c>
      <c r="S1248" s="20">
        <v>266.87799999999999</v>
      </c>
    </row>
    <row r="1249" spans="1:19" x14ac:dyDescent="0.15">
      <c r="A1249" s="90">
        <v>44770</v>
      </c>
      <c r="B1249" s="90" t="str">
        <f t="shared" si="173"/>
        <v>juillet</v>
      </c>
      <c r="C1249" s="90" t="str">
        <f t="shared" si="174"/>
        <v>2022</v>
      </c>
      <c r="D1249" s="90" t="str">
        <f t="shared" si="175"/>
        <v>juillet2022</v>
      </c>
      <c r="E1249" s="91" t="s">
        <v>1227</v>
      </c>
      <c r="F1249" s="91">
        <v>300</v>
      </c>
      <c r="G1249" s="94">
        <f t="shared" si="176"/>
        <v>0.3</v>
      </c>
      <c r="H1249" s="92" t="s">
        <v>46</v>
      </c>
      <c r="I1249" s="96">
        <f t="shared" si="171"/>
        <v>0.3</v>
      </c>
      <c r="J1249" s="96">
        <f t="shared" si="172"/>
        <v>0.7</v>
      </c>
      <c r="K1249" s="92">
        <f>VLOOKUP(H1249,'Taux émission CO2e'!$A$5:$D$16,4,FALSE)</f>
        <v>0.16</v>
      </c>
      <c r="L1249" s="93">
        <f t="shared" si="177"/>
        <v>10.236024</v>
      </c>
      <c r="M1249" s="92">
        <f>VLOOKUP(H1249,'Taux émission CO2e'!$A$20:$D$31,4,FALSE)</f>
        <v>6.7400000000000002E-2</v>
      </c>
      <c r="N1249" s="105">
        <f t="shared" si="178"/>
        <v>10.06115859</v>
      </c>
      <c r="O1249" s="93">
        <f t="shared" si="179"/>
        <v>20.297182589999998</v>
      </c>
      <c r="P1249" s="92">
        <v>260</v>
      </c>
      <c r="Q1249" s="92" t="s">
        <v>766</v>
      </c>
      <c r="R1249" s="92" t="s">
        <v>1198</v>
      </c>
      <c r="S1249" s="20">
        <v>710.83500000000004</v>
      </c>
    </row>
    <row r="1250" spans="1:19" x14ac:dyDescent="0.15">
      <c r="A1250" s="90">
        <v>44770</v>
      </c>
      <c r="B1250" s="90" t="str">
        <f t="shared" si="173"/>
        <v>juillet</v>
      </c>
      <c r="C1250" s="90" t="str">
        <f t="shared" si="174"/>
        <v>2022</v>
      </c>
      <c r="D1250" s="90" t="str">
        <f t="shared" si="175"/>
        <v>juillet2022</v>
      </c>
      <c r="E1250" s="91" t="s">
        <v>1228</v>
      </c>
      <c r="F1250" s="91">
        <v>300</v>
      </c>
      <c r="G1250" s="94">
        <f t="shared" si="176"/>
        <v>0.3</v>
      </c>
      <c r="H1250" s="92" t="s">
        <v>45</v>
      </c>
      <c r="I1250" s="96">
        <f t="shared" si="171"/>
        <v>0.3</v>
      </c>
      <c r="J1250" s="96">
        <f t="shared" si="172"/>
        <v>0.7</v>
      </c>
      <c r="K1250" s="92">
        <f>VLOOKUP(H1250,'Taux émission CO2e'!$A$5:$D$16,4,FALSE)</f>
        <v>0.16</v>
      </c>
      <c r="L1250" s="93">
        <f t="shared" si="177"/>
        <v>11.0469168</v>
      </c>
      <c r="M1250" s="92">
        <f>VLOOKUP(H1250,'Taux émission CO2e'!$A$20:$D$31,4,FALSE)</f>
        <v>6.7400000000000002E-2</v>
      </c>
      <c r="N1250" s="105">
        <f t="shared" si="178"/>
        <v>10.858198638000001</v>
      </c>
      <c r="O1250" s="93">
        <f t="shared" si="179"/>
        <v>21.905115438000003</v>
      </c>
      <c r="P1250" s="92">
        <v>385</v>
      </c>
      <c r="Q1250" s="92" t="s">
        <v>635</v>
      </c>
      <c r="R1250" s="92" t="s">
        <v>55</v>
      </c>
      <c r="S1250" s="20">
        <v>767.14700000000005</v>
      </c>
    </row>
    <row r="1251" spans="1:19" x14ac:dyDescent="0.15">
      <c r="A1251" s="90">
        <v>44771</v>
      </c>
      <c r="B1251" s="90" t="str">
        <f t="shared" si="173"/>
        <v>juillet</v>
      </c>
      <c r="C1251" s="90" t="str">
        <f t="shared" si="174"/>
        <v>2022</v>
      </c>
      <c r="D1251" s="90" t="str">
        <f t="shared" si="175"/>
        <v>juillet2022</v>
      </c>
      <c r="E1251" s="91" t="s">
        <v>1229</v>
      </c>
      <c r="F1251" s="91">
        <v>52</v>
      </c>
      <c r="G1251" s="94">
        <f t="shared" si="176"/>
        <v>5.1999999999999998E-2</v>
      </c>
      <c r="H1251" s="92" t="s">
        <v>46</v>
      </c>
      <c r="I1251" s="96">
        <f t="shared" si="171"/>
        <v>0.3</v>
      </c>
      <c r="J1251" s="96">
        <f t="shared" si="172"/>
        <v>0.7</v>
      </c>
      <c r="K1251" s="92">
        <f>VLOOKUP(H1251,'Taux émission CO2e'!$A$5:$D$16,4,FALSE)</f>
        <v>0.16</v>
      </c>
      <c r="L1251" s="93">
        <f t="shared" si="177"/>
        <v>1.032565248</v>
      </c>
      <c r="M1251" s="92">
        <f>VLOOKUP(H1251,'Taux émission CO2e'!$A$20:$D$31,4,FALSE)</f>
        <v>6.7400000000000002E-2</v>
      </c>
      <c r="N1251" s="105">
        <f t="shared" si="178"/>
        <v>1.01492559168</v>
      </c>
      <c r="O1251" s="93">
        <f t="shared" si="179"/>
        <v>2.04749083968</v>
      </c>
      <c r="P1251" s="92">
        <v>126.6</v>
      </c>
      <c r="Q1251" s="92" t="s">
        <v>58</v>
      </c>
      <c r="R1251" s="92" t="s">
        <v>81</v>
      </c>
      <c r="S1251" s="20">
        <v>413.68799999999999</v>
      </c>
    </row>
    <row r="1252" spans="1:19" x14ac:dyDescent="0.15">
      <c r="A1252" s="90">
        <v>44771</v>
      </c>
      <c r="B1252" s="90" t="str">
        <f t="shared" si="173"/>
        <v>juillet</v>
      </c>
      <c r="C1252" s="90" t="str">
        <f t="shared" si="174"/>
        <v>2022</v>
      </c>
      <c r="D1252" s="90" t="str">
        <f t="shared" si="175"/>
        <v>juillet2022</v>
      </c>
      <c r="E1252" s="91" t="s">
        <v>1230</v>
      </c>
      <c r="F1252" s="91">
        <v>78</v>
      </c>
      <c r="G1252" s="94">
        <f t="shared" si="176"/>
        <v>7.8E-2</v>
      </c>
      <c r="H1252" s="92" t="s">
        <v>46</v>
      </c>
      <c r="I1252" s="96">
        <f t="shared" si="171"/>
        <v>0.3</v>
      </c>
      <c r="J1252" s="96">
        <f t="shared" si="172"/>
        <v>0.7</v>
      </c>
      <c r="K1252" s="92">
        <f>VLOOKUP(H1252,'Taux émission CO2e'!$A$5:$D$16,4,FALSE)</f>
        <v>0.16</v>
      </c>
      <c r="L1252" s="93">
        <f t="shared" si="177"/>
        <v>1.931147712</v>
      </c>
      <c r="M1252" s="92">
        <f>VLOOKUP(H1252,'Taux émission CO2e'!$A$20:$D$31,4,FALSE)</f>
        <v>6.7400000000000002E-2</v>
      </c>
      <c r="N1252" s="105">
        <f t="shared" si="178"/>
        <v>1.8981572719199999</v>
      </c>
      <c r="O1252" s="93">
        <f t="shared" si="179"/>
        <v>3.8293049839200002</v>
      </c>
      <c r="P1252" s="92">
        <v>185</v>
      </c>
      <c r="Q1252" s="92" t="s">
        <v>58</v>
      </c>
      <c r="R1252" s="92" t="s">
        <v>57</v>
      </c>
      <c r="S1252" s="20">
        <v>515.798</v>
      </c>
    </row>
    <row r="1253" spans="1:19" x14ac:dyDescent="0.15">
      <c r="A1253" s="90">
        <v>44771</v>
      </c>
      <c r="B1253" s="90" t="str">
        <f t="shared" si="173"/>
        <v>juillet</v>
      </c>
      <c r="C1253" s="90" t="str">
        <f t="shared" si="174"/>
        <v>2022</v>
      </c>
      <c r="D1253" s="90" t="str">
        <f t="shared" si="175"/>
        <v>juillet2022</v>
      </c>
      <c r="E1253" s="91" t="s">
        <v>1231</v>
      </c>
      <c r="F1253" s="91">
        <v>150</v>
      </c>
      <c r="G1253" s="94">
        <f t="shared" si="176"/>
        <v>0.15</v>
      </c>
      <c r="H1253" s="92" t="s">
        <v>46</v>
      </c>
      <c r="I1253" s="96">
        <f t="shared" si="171"/>
        <v>0.3</v>
      </c>
      <c r="J1253" s="96">
        <f t="shared" si="172"/>
        <v>0.7</v>
      </c>
      <c r="K1253" s="92">
        <f>VLOOKUP(H1253,'Taux émission CO2e'!$A$5:$D$16,4,FALSE)</f>
        <v>0.16</v>
      </c>
      <c r="L1253" s="93">
        <f t="shared" si="177"/>
        <v>1.2436343999999999</v>
      </c>
      <c r="M1253" s="92">
        <f>VLOOKUP(H1253,'Taux émission CO2e'!$A$20:$D$31,4,FALSE)</f>
        <v>6.7400000000000002E-2</v>
      </c>
      <c r="N1253" s="105">
        <f t="shared" si="178"/>
        <v>1.222388979</v>
      </c>
      <c r="O1253" s="93">
        <f t="shared" si="179"/>
        <v>2.4660233790000001</v>
      </c>
      <c r="P1253" s="92">
        <v>200</v>
      </c>
      <c r="Q1253" s="92" t="s">
        <v>708</v>
      </c>
      <c r="R1253" s="92" t="s">
        <v>1198</v>
      </c>
      <c r="S1253" s="20">
        <v>172.727</v>
      </c>
    </row>
    <row r="1254" spans="1:19" x14ac:dyDescent="0.15">
      <c r="A1254" s="90">
        <v>44771</v>
      </c>
      <c r="B1254" s="90" t="str">
        <f t="shared" si="173"/>
        <v>juillet</v>
      </c>
      <c r="C1254" s="90" t="str">
        <f t="shared" si="174"/>
        <v>2022</v>
      </c>
      <c r="D1254" s="90" t="str">
        <f t="shared" si="175"/>
        <v>juillet2022</v>
      </c>
      <c r="E1254" s="91" t="s">
        <v>1232</v>
      </c>
      <c r="F1254" s="91">
        <v>300</v>
      </c>
      <c r="G1254" s="94">
        <f t="shared" si="176"/>
        <v>0.3</v>
      </c>
      <c r="H1254" s="92" t="s">
        <v>46</v>
      </c>
      <c r="I1254" s="96">
        <f t="shared" si="171"/>
        <v>0.3</v>
      </c>
      <c r="J1254" s="96">
        <f t="shared" si="172"/>
        <v>0.7</v>
      </c>
      <c r="K1254" s="92">
        <f>VLOOKUP(H1254,'Taux émission CO2e'!$A$5:$D$16,4,FALSE)</f>
        <v>0.16</v>
      </c>
      <c r="L1254" s="93">
        <f t="shared" si="177"/>
        <v>3.7023695999999995</v>
      </c>
      <c r="M1254" s="92">
        <f>VLOOKUP(H1254,'Taux émission CO2e'!$A$20:$D$31,4,FALSE)</f>
        <v>6.7400000000000002E-2</v>
      </c>
      <c r="N1254" s="105">
        <f t="shared" si="178"/>
        <v>3.6391207859999999</v>
      </c>
      <c r="O1254" s="93">
        <f t="shared" si="179"/>
        <v>7.3414903859999994</v>
      </c>
      <c r="P1254" s="92">
        <v>200</v>
      </c>
      <c r="Q1254" s="92" t="s">
        <v>102</v>
      </c>
      <c r="R1254" s="92" t="s">
        <v>1198</v>
      </c>
      <c r="S1254" s="20">
        <v>257.10899999999998</v>
      </c>
    </row>
    <row r="1255" spans="1:19" x14ac:dyDescent="0.15">
      <c r="A1255" s="90">
        <v>44771</v>
      </c>
      <c r="B1255" s="90" t="str">
        <f t="shared" si="173"/>
        <v>juillet</v>
      </c>
      <c r="C1255" s="90" t="str">
        <f t="shared" si="174"/>
        <v>2022</v>
      </c>
      <c r="D1255" s="90" t="str">
        <f t="shared" si="175"/>
        <v>juillet2022</v>
      </c>
      <c r="E1255" s="91" t="s">
        <v>1233</v>
      </c>
      <c r="F1255" s="91">
        <v>150</v>
      </c>
      <c r="G1255" s="94">
        <f t="shared" si="176"/>
        <v>0.15</v>
      </c>
      <c r="H1255" s="92" t="s">
        <v>46</v>
      </c>
      <c r="I1255" s="96">
        <f t="shared" si="171"/>
        <v>0.3</v>
      </c>
      <c r="J1255" s="96">
        <f t="shared" si="172"/>
        <v>0.7</v>
      </c>
      <c r="K1255" s="92">
        <f>VLOOKUP(H1255,'Taux émission CO2e'!$A$5:$D$16,4,FALSE)</f>
        <v>0.16</v>
      </c>
      <c r="L1255" s="93">
        <f t="shared" si="177"/>
        <v>1.3415112</v>
      </c>
      <c r="M1255" s="92">
        <f>VLOOKUP(H1255,'Taux émission CO2e'!$A$20:$D$31,4,FALSE)</f>
        <v>6.7400000000000002E-2</v>
      </c>
      <c r="N1255" s="105">
        <f t="shared" si="178"/>
        <v>1.3185937169999999</v>
      </c>
      <c r="O1255" s="93">
        <f t="shared" si="179"/>
        <v>2.660104917</v>
      </c>
      <c r="P1255" s="92">
        <v>220</v>
      </c>
      <c r="Q1255" s="92" t="s">
        <v>688</v>
      </c>
      <c r="R1255" s="92" t="s">
        <v>1198</v>
      </c>
      <c r="S1255" s="20">
        <v>186.321</v>
      </c>
    </row>
    <row r="1256" spans="1:19" x14ac:dyDescent="0.15">
      <c r="A1256" s="90">
        <v>44771</v>
      </c>
      <c r="B1256" s="90" t="str">
        <f t="shared" si="173"/>
        <v>juillet</v>
      </c>
      <c r="C1256" s="90" t="str">
        <f t="shared" si="174"/>
        <v>2022</v>
      </c>
      <c r="D1256" s="90" t="str">
        <f t="shared" si="175"/>
        <v>juillet2022</v>
      </c>
      <c r="E1256" s="91" t="s">
        <v>1234</v>
      </c>
      <c r="F1256" s="91">
        <v>150</v>
      </c>
      <c r="G1256" s="94">
        <f t="shared" si="176"/>
        <v>0.15</v>
      </c>
      <c r="H1256" s="92" t="s">
        <v>46</v>
      </c>
      <c r="I1256" s="96">
        <f t="shared" si="171"/>
        <v>0.3</v>
      </c>
      <c r="J1256" s="96">
        <f t="shared" si="172"/>
        <v>0.7</v>
      </c>
      <c r="K1256" s="92">
        <f>VLOOKUP(H1256,'Taux émission CO2e'!$A$5:$D$16,4,FALSE)</f>
        <v>0.16</v>
      </c>
      <c r="L1256" s="93">
        <f t="shared" si="177"/>
        <v>5.3379288000000003</v>
      </c>
      <c r="M1256" s="92">
        <f>VLOOKUP(H1256,'Taux émission CO2e'!$A$20:$D$31,4,FALSE)</f>
        <v>6.7400000000000002E-2</v>
      </c>
      <c r="N1256" s="105">
        <f t="shared" si="178"/>
        <v>5.2467391829999999</v>
      </c>
      <c r="O1256" s="93">
        <f t="shared" si="179"/>
        <v>10.584667982999999</v>
      </c>
      <c r="P1256" s="92">
        <v>470</v>
      </c>
      <c r="Q1256" s="92" t="s">
        <v>473</v>
      </c>
      <c r="R1256" s="92" t="s">
        <v>1198</v>
      </c>
      <c r="S1256" s="20">
        <v>741.37900000000002</v>
      </c>
    </row>
    <row r="1257" spans="1:19" x14ac:dyDescent="0.15">
      <c r="A1257" s="90">
        <v>44774</v>
      </c>
      <c r="B1257" s="90" t="str">
        <f t="shared" si="173"/>
        <v>août</v>
      </c>
      <c r="C1257" s="90" t="str">
        <f t="shared" si="174"/>
        <v>2022</v>
      </c>
      <c r="D1257" s="90" t="str">
        <f t="shared" si="175"/>
        <v>août2022</v>
      </c>
      <c r="E1257" s="91" t="s">
        <v>1235</v>
      </c>
      <c r="F1257" s="91">
        <v>150</v>
      </c>
      <c r="G1257" s="94">
        <f t="shared" si="176"/>
        <v>0.15</v>
      </c>
      <c r="H1257" s="92" t="s">
        <v>45</v>
      </c>
      <c r="I1257" s="96">
        <f t="shared" si="171"/>
        <v>0.3</v>
      </c>
      <c r="J1257" s="96">
        <f t="shared" si="172"/>
        <v>0.7</v>
      </c>
      <c r="K1257" s="92">
        <f>VLOOKUP(H1257,'Taux émission CO2e'!$A$5:$D$16,4,FALSE)</f>
        <v>0.16</v>
      </c>
      <c r="L1257" s="93">
        <f t="shared" si="177"/>
        <v>2.8012535999999999</v>
      </c>
      <c r="M1257" s="92">
        <f>VLOOKUP(H1257,'Taux émission CO2e'!$A$20:$D$31,4,FALSE)</f>
        <v>6.7400000000000002E-2</v>
      </c>
      <c r="N1257" s="105">
        <f t="shared" si="178"/>
        <v>2.753398851</v>
      </c>
      <c r="O1257" s="93">
        <f t="shared" si="179"/>
        <v>5.5546524509999999</v>
      </c>
      <c r="P1257" s="92">
        <v>145</v>
      </c>
      <c r="Q1257" s="92" t="s">
        <v>842</v>
      </c>
      <c r="R1257" s="92" t="s">
        <v>55</v>
      </c>
      <c r="S1257" s="20">
        <v>389.06299999999999</v>
      </c>
    </row>
    <row r="1258" spans="1:19" x14ac:dyDescent="0.15">
      <c r="A1258" s="90">
        <v>44774</v>
      </c>
      <c r="B1258" s="90" t="str">
        <f t="shared" si="173"/>
        <v>août</v>
      </c>
      <c r="C1258" s="90" t="str">
        <f t="shared" si="174"/>
        <v>2022</v>
      </c>
      <c r="D1258" s="90" t="str">
        <f t="shared" si="175"/>
        <v>août2022</v>
      </c>
      <c r="E1258" s="91" t="s">
        <v>1236</v>
      </c>
      <c r="F1258" s="91">
        <v>150</v>
      </c>
      <c r="G1258" s="94">
        <f t="shared" si="176"/>
        <v>0.15</v>
      </c>
      <c r="H1258" s="92" t="s">
        <v>46</v>
      </c>
      <c r="I1258" s="96">
        <f t="shared" si="171"/>
        <v>0.3</v>
      </c>
      <c r="J1258" s="96">
        <f t="shared" si="172"/>
        <v>0.7</v>
      </c>
      <c r="K1258" s="92">
        <f>VLOOKUP(H1258,'Taux émission CO2e'!$A$5:$D$16,4,FALSE)</f>
        <v>0.16</v>
      </c>
      <c r="L1258" s="93">
        <f t="shared" si="177"/>
        <v>5.4067680000000005</v>
      </c>
      <c r="M1258" s="92">
        <f>VLOOKUP(H1258,'Taux émission CO2e'!$A$20:$D$31,4,FALSE)</f>
        <v>6.7400000000000002E-2</v>
      </c>
      <c r="N1258" s="105">
        <f t="shared" si="178"/>
        <v>5.3144023800000006</v>
      </c>
      <c r="O1258" s="93">
        <f t="shared" si="179"/>
        <v>10.72117038</v>
      </c>
      <c r="P1258" s="92">
        <v>165</v>
      </c>
      <c r="Q1258" s="92" t="s">
        <v>73</v>
      </c>
      <c r="R1258" s="92" t="s">
        <v>1198</v>
      </c>
      <c r="S1258" s="20">
        <v>750.94</v>
      </c>
    </row>
    <row r="1259" spans="1:19" x14ac:dyDescent="0.15">
      <c r="A1259" s="90">
        <v>44774</v>
      </c>
      <c r="B1259" s="90" t="str">
        <f t="shared" si="173"/>
        <v>août</v>
      </c>
      <c r="C1259" s="90" t="str">
        <f t="shared" si="174"/>
        <v>2022</v>
      </c>
      <c r="D1259" s="90" t="str">
        <f t="shared" si="175"/>
        <v>août2022</v>
      </c>
      <c r="E1259" s="91" t="s">
        <v>1237</v>
      </c>
      <c r="F1259" s="91">
        <v>342</v>
      </c>
      <c r="G1259" s="94">
        <f t="shared" si="176"/>
        <v>0.34200000000000003</v>
      </c>
      <c r="H1259" s="92" t="s">
        <v>46</v>
      </c>
      <c r="I1259" s="96">
        <f t="shared" si="171"/>
        <v>0.3</v>
      </c>
      <c r="J1259" s="96">
        <f t="shared" si="172"/>
        <v>0.7</v>
      </c>
      <c r="K1259" s="92">
        <f>VLOOKUP(H1259,'Taux émission CO2e'!$A$5:$D$16,4,FALSE)</f>
        <v>0.16</v>
      </c>
      <c r="L1259" s="93">
        <f t="shared" si="177"/>
        <v>8.8840108799999999</v>
      </c>
      <c r="M1259" s="92">
        <f>VLOOKUP(H1259,'Taux émission CO2e'!$A$20:$D$31,4,FALSE)</f>
        <v>6.7400000000000002E-2</v>
      </c>
      <c r="N1259" s="105">
        <f t="shared" si="178"/>
        <v>8.732242360799999</v>
      </c>
      <c r="O1259" s="93">
        <f t="shared" si="179"/>
        <v>17.616253240799999</v>
      </c>
      <c r="P1259" s="92">
        <v>225</v>
      </c>
      <c r="Q1259" s="92" t="s">
        <v>58</v>
      </c>
      <c r="R1259" s="92" t="s">
        <v>65</v>
      </c>
      <c r="S1259" s="20">
        <v>541.17999999999995</v>
      </c>
    </row>
    <row r="1260" spans="1:19" x14ac:dyDescent="0.15">
      <c r="A1260" s="90">
        <v>44774</v>
      </c>
      <c r="B1260" s="90" t="str">
        <f t="shared" si="173"/>
        <v>août</v>
      </c>
      <c r="C1260" s="90" t="str">
        <f t="shared" si="174"/>
        <v>2022</v>
      </c>
      <c r="D1260" s="90" t="str">
        <f t="shared" si="175"/>
        <v>août2022</v>
      </c>
      <c r="E1260" s="91" t="s">
        <v>1238</v>
      </c>
      <c r="F1260" s="91">
        <v>450</v>
      </c>
      <c r="G1260" s="94">
        <f t="shared" si="176"/>
        <v>0.45</v>
      </c>
      <c r="H1260" s="92" t="s">
        <v>45</v>
      </c>
      <c r="I1260" s="96">
        <f t="shared" si="171"/>
        <v>0.3</v>
      </c>
      <c r="J1260" s="96">
        <f t="shared" si="172"/>
        <v>0.7</v>
      </c>
      <c r="K1260" s="92">
        <f>VLOOKUP(H1260,'Taux émission CO2e'!$A$5:$D$16,4,FALSE)</f>
        <v>0.16</v>
      </c>
      <c r="L1260" s="93">
        <f t="shared" si="177"/>
        <v>16.570375200000001</v>
      </c>
      <c r="M1260" s="92">
        <f>VLOOKUP(H1260,'Taux émission CO2e'!$A$20:$D$31,4,FALSE)</f>
        <v>6.7400000000000002E-2</v>
      </c>
      <c r="N1260" s="105">
        <f t="shared" si="178"/>
        <v>16.287297957</v>
      </c>
      <c r="O1260" s="93">
        <f t="shared" si="179"/>
        <v>32.857673157000001</v>
      </c>
      <c r="P1260" s="92">
        <v>300</v>
      </c>
      <c r="Q1260" s="92" t="s">
        <v>635</v>
      </c>
      <c r="R1260" s="92" t="s">
        <v>55</v>
      </c>
      <c r="S1260" s="20">
        <v>767.14700000000005</v>
      </c>
    </row>
    <row r="1261" spans="1:19" x14ac:dyDescent="0.15">
      <c r="A1261" s="90">
        <v>44774</v>
      </c>
      <c r="B1261" s="90" t="str">
        <f t="shared" si="173"/>
        <v>août</v>
      </c>
      <c r="C1261" s="90" t="str">
        <f t="shared" si="174"/>
        <v>2022</v>
      </c>
      <c r="D1261" s="90" t="str">
        <f t="shared" si="175"/>
        <v>août2022</v>
      </c>
      <c r="E1261" s="91" t="s">
        <v>1239</v>
      </c>
      <c r="F1261" s="91">
        <v>1650</v>
      </c>
      <c r="G1261" s="94">
        <f t="shared" si="176"/>
        <v>1.65</v>
      </c>
      <c r="H1261" s="92" t="s">
        <v>45</v>
      </c>
      <c r="I1261" s="96">
        <f t="shared" si="171"/>
        <v>0.3</v>
      </c>
      <c r="J1261" s="96">
        <f t="shared" si="172"/>
        <v>0.7</v>
      </c>
      <c r="K1261" s="92">
        <f>VLOOKUP(H1261,'Taux émission CO2e'!$A$5:$D$16,4,FALSE)</f>
        <v>0.16</v>
      </c>
      <c r="L1261" s="93">
        <f t="shared" si="177"/>
        <v>40.904740799999999</v>
      </c>
      <c r="M1261" s="92">
        <f>VLOOKUP(H1261,'Taux émission CO2e'!$A$20:$D$31,4,FALSE)</f>
        <v>6.7400000000000002E-2</v>
      </c>
      <c r="N1261" s="105">
        <f t="shared" si="178"/>
        <v>40.205951478000003</v>
      </c>
      <c r="O1261" s="93">
        <f t="shared" si="179"/>
        <v>81.110692278000002</v>
      </c>
      <c r="P1261" s="92">
        <v>477</v>
      </c>
      <c r="Q1261" s="92" t="s">
        <v>52</v>
      </c>
      <c r="R1261" s="92" t="s">
        <v>55</v>
      </c>
      <c r="S1261" s="20">
        <v>516.47400000000005</v>
      </c>
    </row>
    <row r="1262" spans="1:19" x14ac:dyDescent="0.15">
      <c r="A1262" s="90">
        <v>44775</v>
      </c>
      <c r="B1262" s="90" t="str">
        <f t="shared" si="173"/>
        <v>août</v>
      </c>
      <c r="C1262" s="90" t="str">
        <f t="shared" si="174"/>
        <v>2022</v>
      </c>
      <c r="D1262" s="90" t="str">
        <f t="shared" si="175"/>
        <v>août2022</v>
      </c>
      <c r="E1262" s="91" t="s">
        <v>1240</v>
      </c>
      <c r="F1262" s="91">
        <v>212</v>
      </c>
      <c r="G1262" s="94">
        <f t="shared" si="176"/>
        <v>0.21199999999999999</v>
      </c>
      <c r="H1262" s="92" t="s">
        <v>38</v>
      </c>
      <c r="I1262" s="96">
        <f t="shared" si="171"/>
        <v>1</v>
      </c>
      <c r="J1262" s="96">
        <f t="shared" si="172"/>
        <v>0</v>
      </c>
      <c r="K1262" s="92">
        <f>VLOOKUP(H1262,'Taux émission CO2e'!$A$5:$D$16,4,FALSE)</f>
        <v>0.24099999999999999</v>
      </c>
      <c r="L1262" s="93">
        <f t="shared" si="177"/>
        <v>1.7415219119999998</v>
      </c>
      <c r="M1262" s="92">
        <f>VLOOKUP(H1262,'Taux émission CO2e'!$A$20:$D$31,4,FALSE)</f>
        <v>0</v>
      </c>
      <c r="N1262" s="105">
        <f t="shared" si="178"/>
        <v>0</v>
      </c>
      <c r="O1262" s="93">
        <f t="shared" si="179"/>
        <v>1.7415219119999998</v>
      </c>
      <c r="P1262" s="92">
        <v>80</v>
      </c>
      <c r="Q1262" s="92" t="s">
        <v>58</v>
      </c>
      <c r="R1262" s="92" t="s">
        <v>98</v>
      </c>
      <c r="S1262" s="20">
        <v>34.085999999999999</v>
      </c>
    </row>
    <row r="1263" spans="1:19" x14ac:dyDescent="0.15">
      <c r="A1263" s="90">
        <v>44775</v>
      </c>
      <c r="B1263" s="90" t="str">
        <f t="shared" si="173"/>
        <v>août</v>
      </c>
      <c r="C1263" s="90" t="str">
        <f t="shared" si="174"/>
        <v>2022</v>
      </c>
      <c r="D1263" s="90" t="str">
        <f t="shared" si="175"/>
        <v>août2022</v>
      </c>
      <c r="E1263" s="91" t="s">
        <v>1241</v>
      </c>
      <c r="F1263" s="91">
        <v>150</v>
      </c>
      <c r="G1263" s="94">
        <f t="shared" si="176"/>
        <v>0.15</v>
      </c>
      <c r="H1263" s="92" t="s">
        <v>45</v>
      </c>
      <c r="I1263" s="96">
        <f t="shared" si="171"/>
        <v>0.3</v>
      </c>
      <c r="J1263" s="96">
        <f t="shared" si="172"/>
        <v>0.7</v>
      </c>
      <c r="K1263" s="92">
        <f>VLOOKUP(H1263,'Taux émission CO2e'!$A$5:$D$16,4,FALSE)</f>
        <v>0.16</v>
      </c>
      <c r="L1263" s="93">
        <f t="shared" si="177"/>
        <v>3.5499527999999998</v>
      </c>
      <c r="M1263" s="92">
        <f>VLOOKUP(H1263,'Taux émission CO2e'!$A$20:$D$31,4,FALSE)</f>
        <v>6.7400000000000002E-2</v>
      </c>
      <c r="N1263" s="105">
        <f t="shared" si="178"/>
        <v>3.4893077729999997</v>
      </c>
      <c r="O1263" s="93">
        <f t="shared" si="179"/>
        <v>7.039260573</v>
      </c>
      <c r="P1263" s="92">
        <v>165</v>
      </c>
      <c r="Q1263" s="92" t="s">
        <v>52</v>
      </c>
      <c r="R1263" s="92" t="s">
        <v>421</v>
      </c>
      <c r="S1263" s="20">
        <v>493.04899999999998</v>
      </c>
    </row>
    <row r="1264" spans="1:19" x14ac:dyDescent="0.15">
      <c r="A1264" s="90">
        <v>44775</v>
      </c>
      <c r="B1264" s="90" t="str">
        <f t="shared" si="173"/>
        <v>août</v>
      </c>
      <c r="C1264" s="90" t="str">
        <f t="shared" si="174"/>
        <v>2022</v>
      </c>
      <c r="D1264" s="90" t="str">
        <f t="shared" si="175"/>
        <v>août2022</v>
      </c>
      <c r="E1264" s="91" t="s">
        <v>1242</v>
      </c>
      <c r="F1264" s="91">
        <v>150</v>
      </c>
      <c r="G1264" s="94">
        <f t="shared" si="176"/>
        <v>0.15</v>
      </c>
      <c r="H1264" s="92" t="s">
        <v>45</v>
      </c>
      <c r="I1264" s="96">
        <f t="shared" si="171"/>
        <v>0.3</v>
      </c>
      <c r="J1264" s="96">
        <f t="shared" si="172"/>
        <v>0.7</v>
      </c>
      <c r="K1264" s="92">
        <f>VLOOKUP(H1264,'Taux émission CO2e'!$A$5:$D$16,4,FALSE)</f>
        <v>0.16</v>
      </c>
      <c r="L1264" s="93">
        <f t="shared" si="177"/>
        <v>3.5516159999999997</v>
      </c>
      <c r="M1264" s="92">
        <f>VLOOKUP(H1264,'Taux émission CO2e'!$A$20:$D$31,4,FALSE)</f>
        <v>6.7400000000000002E-2</v>
      </c>
      <c r="N1264" s="105">
        <f t="shared" si="178"/>
        <v>3.4909425599999997</v>
      </c>
      <c r="O1264" s="93">
        <f t="shared" si="179"/>
        <v>7.0425585599999998</v>
      </c>
      <c r="P1264" s="92">
        <v>165</v>
      </c>
      <c r="Q1264" s="92" t="s">
        <v>52</v>
      </c>
      <c r="R1264" s="92" t="s">
        <v>98</v>
      </c>
      <c r="S1264" s="20">
        <v>493.28</v>
      </c>
    </row>
    <row r="1265" spans="1:19" x14ac:dyDescent="0.15">
      <c r="A1265" s="90">
        <v>44775</v>
      </c>
      <c r="B1265" s="90" t="str">
        <f t="shared" si="173"/>
        <v>août</v>
      </c>
      <c r="C1265" s="90" t="str">
        <f t="shared" si="174"/>
        <v>2022</v>
      </c>
      <c r="D1265" s="90" t="str">
        <f t="shared" si="175"/>
        <v>août2022</v>
      </c>
      <c r="E1265" s="91" t="s">
        <v>1243</v>
      </c>
      <c r="F1265" s="91">
        <v>300</v>
      </c>
      <c r="G1265" s="94">
        <f t="shared" si="176"/>
        <v>0.3</v>
      </c>
      <c r="H1265" s="92" t="s">
        <v>45</v>
      </c>
      <c r="I1265" s="96">
        <f t="shared" si="171"/>
        <v>0.3</v>
      </c>
      <c r="J1265" s="96">
        <f t="shared" si="172"/>
        <v>0.7</v>
      </c>
      <c r="K1265" s="92">
        <f>VLOOKUP(H1265,'Taux émission CO2e'!$A$5:$D$16,4,FALSE)</f>
        <v>0.16</v>
      </c>
      <c r="L1265" s="93">
        <f t="shared" si="177"/>
        <v>3.8430431999999999</v>
      </c>
      <c r="M1265" s="92">
        <f>VLOOKUP(H1265,'Taux émission CO2e'!$A$20:$D$31,4,FALSE)</f>
        <v>6.7400000000000002E-2</v>
      </c>
      <c r="N1265" s="105">
        <f t="shared" si="178"/>
        <v>3.7773912119999999</v>
      </c>
      <c r="O1265" s="93">
        <f t="shared" si="179"/>
        <v>7.6204344119999998</v>
      </c>
      <c r="P1265" s="92">
        <v>193</v>
      </c>
      <c r="Q1265" s="92" t="s">
        <v>730</v>
      </c>
      <c r="R1265" s="92" t="s">
        <v>55</v>
      </c>
      <c r="S1265" s="20">
        <v>266.87799999999999</v>
      </c>
    </row>
    <row r="1266" spans="1:19" x14ac:dyDescent="0.15">
      <c r="A1266" s="90">
        <v>44775</v>
      </c>
      <c r="B1266" s="90" t="str">
        <f t="shared" si="173"/>
        <v>août</v>
      </c>
      <c r="C1266" s="90" t="str">
        <f t="shared" si="174"/>
        <v>2022</v>
      </c>
      <c r="D1266" s="90" t="str">
        <f t="shared" si="175"/>
        <v>août2022</v>
      </c>
      <c r="E1266" s="91" t="s">
        <v>1244</v>
      </c>
      <c r="F1266" s="91">
        <v>685</v>
      </c>
      <c r="G1266" s="94">
        <f t="shared" si="176"/>
        <v>0.68500000000000005</v>
      </c>
      <c r="H1266" s="92" t="s">
        <v>46</v>
      </c>
      <c r="I1266" s="96">
        <f t="shared" si="171"/>
        <v>0.3</v>
      </c>
      <c r="J1266" s="96">
        <f t="shared" si="172"/>
        <v>0.7</v>
      </c>
      <c r="K1266" s="92">
        <f>VLOOKUP(H1266,'Taux émission CO2e'!$A$5:$D$16,4,FALSE)</f>
        <v>0.16</v>
      </c>
      <c r="L1266" s="93">
        <f t="shared" si="177"/>
        <v>8.180445360000002</v>
      </c>
      <c r="M1266" s="92">
        <f>VLOOKUP(H1266,'Taux émission CO2e'!$A$20:$D$31,4,FALSE)</f>
        <v>6.7400000000000002E-2</v>
      </c>
      <c r="N1266" s="105">
        <f t="shared" si="178"/>
        <v>8.0406960851000004</v>
      </c>
      <c r="O1266" s="93">
        <f t="shared" si="179"/>
        <v>16.221141445100002</v>
      </c>
      <c r="P1266" s="92">
        <v>245</v>
      </c>
      <c r="Q1266" s="92" t="s">
        <v>58</v>
      </c>
      <c r="R1266" s="92" t="s">
        <v>82</v>
      </c>
      <c r="S1266" s="20">
        <v>248.797</v>
      </c>
    </row>
    <row r="1267" spans="1:19" x14ac:dyDescent="0.15">
      <c r="A1267" s="90">
        <v>44776</v>
      </c>
      <c r="B1267" s="90" t="str">
        <f t="shared" si="173"/>
        <v>août</v>
      </c>
      <c r="C1267" s="90" t="str">
        <f t="shared" si="174"/>
        <v>2022</v>
      </c>
      <c r="D1267" s="90" t="str">
        <f t="shared" si="175"/>
        <v>août2022</v>
      </c>
      <c r="E1267" s="91" t="s">
        <v>1245</v>
      </c>
      <c r="F1267" s="91">
        <v>450</v>
      </c>
      <c r="G1267" s="94">
        <f t="shared" si="176"/>
        <v>0.45</v>
      </c>
      <c r="H1267" s="92" t="s">
        <v>38</v>
      </c>
      <c r="I1267" s="96">
        <f t="shared" si="171"/>
        <v>1</v>
      </c>
      <c r="J1267" s="96">
        <f t="shared" si="172"/>
        <v>0</v>
      </c>
      <c r="K1267" s="92">
        <f>VLOOKUP(H1267,'Taux émission CO2e'!$A$5:$D$16,4,FALSE)</f>
        <v>0.24099999999999999</v>
      </c>
      <c r="L1267" s="93">
        <f t="shared" si="177"/>
        <v>3.6863239500000002</v>
      </c>
      <c r="M1267" s="92">
        <f>VLOOKUP(H1267,'Taux émission CO2e'!$A$20:$D$31,4,FALSE)</f>
        <v>0</v>
      </c>
      <c r="N1267" s="105">
        <f t="shared" si="178"/>
        <v>0</v>
      </c>
      <c r="O1267" s="93">
        <f t="shared" si="179"/>
        <v>3.6863239500000002</v>
      </c>
      <c r="P1267" s="92">
        <v>120</v>
      </c>
      <c r="Q1267" s="92" t="s">
        <v>67</v>
      </c>
      <c r="R1267" s="92" t="s">
        <v>55</v>
      </c>
      <c r="S1267" s="20">
        <v>33.991</v>
      </c>
    </row>
    <row r="1268" spans="1:19" x14ac:dyDescent="0.15">
      <c r="A1268" s="90">
        <v>44776</v>
      </c>
      <c r="B1268" s="90" t="str">
        <f t="shared" si="173"/>
        <v>août</v>
      </c>
      <c r="C1268" s="90" t="str">
        <f t="shared" si="174"/>
        <v>2022</v>
      </c>
      <c r="D1268" s="90" t="str">
        <f t="shared" si="175"/>
        <v>août2022</v>
      </c>
      <c r="E1268" s="91" t="s">
        <v>1246</v>
      </c>
      <c r="F1268" s="91">
        <v>150</v>
      </c>
      <c r="G1268" s="94">
        <f t="shared" si="176"/>
        <v>0.15</v>
      </c>
      <c r="H1268" s="92" t="s">
        <v>45</v>
      </c>
      <c r="I1268" s="96">
        <f t="shared" si="171"/>
        <v>0.3</v>
      </c>
      <c r="J1268" s="96">
        <f t="shared" si="172"/>
        <v>0.7</v>
      </c>
      <c r="K1268" s="92">
        <f>VLOOKUP(H1268,'Taux émission CO2e'!$A$5:$D$16,4,FALSE)</f>
        <v>0.16</v>
      </c>
      <c r="L1268" s="93">
        <f t="shared" si="177"/>
        <v>2.0026439999999996</v>
      </c>
      <c r="M1268" s="92">
        <f>VLOOKUP(H1268,'Taux émission CO2e'!$A$20:$D$31,4,FALSE)</f>
        <v>6.7400000000000002E-2</v>
      </c>
      <c r="N1268" s="105">
        <f t="shared" si="178"/>
        <v>1.9684321649999998</v>
      </c>
      <c r="O1268" s="93">
        <f t="shared" si="179"/>
        <v>3.9710761649999995</v>
      </c>
      <c r="P1268" s="92">
        <v>158</v>
      </c>
      <c r="Q1268" s="92" t="s">
        <v>74</v>
      </c>
      <c r="R1268" s="92" t="s">
        <v>55</v>
      </c>
      <c r="S1268" s="20">
        <v>278.14499999999998</v>
      </c>
    </row>
    <row r="1269" spans="1:19" x14ac:dyDescent="0.15">
      <c r="A1269" s="90">
        <v>44776</v>
      </c>
      <c r="B1269" s="90" t="str">
        <f t="shared" si="173"/>
        <v>août</v>
      </c>
      <c r="C1269" s="90" t="str">
        <f t="shared" si="174"/>
        <v>2022</v>
      </c>
      <c r="D1269" s="90" t="str">
        <f t="shared" si="175"/>
        <v>août2022</v>
      </c>
      <c r="E1269" s="91" t="s">
        <v>1247</v>
      </c>
      <c r="F1269" s="91">
        <v>150</v>
      </c>
      <c r="G1269" s="94">
        <f t="shared" si="176"/>
        <v>0.15</v>
      </c>
      <c r="H1269" s="92" t="s">
        <v>46</v>
      </c>
      <c r="I1269" s="96">
        <f t="shared" si="171"/>
        <v>0.3</v>
      </c>
      <c r="J1269" s="96">
        <f t="shared" si="172"/>
        <v>0.7</v>
      </c>
      <c r="K1269" s="92">
        <f>VLOOKUP(H1269,'Taux émission CO2e'!$A$5:$D$16,4,FALSE)</f>
        <v>0.16</v>
      </c>
      <c r="L1269" s="93">
        <f t="shared" si="177"/>
        <v>4.1551992000000002</v>
      </c>
      <c r="M1269" s="92">
        <f>VLOOKUP(H1269,'Taux émission CO2e'!$A$20:$D$31,4,FALSE)</f>
        <v>6.7400000000000002E-2</v>
      </c>
      <c r="N1269" s="105">
        <f t="shared" si="178"/>
        <v>4.0842145470000002</v>
      </c>
      <c r="O1269" s="93">
        <f t="shared" si="179"/>
        <v>8.2394137470000004</v>
      </c>
      <c r="P1269" s="92">
        <v>195</v>
      </c>
      <c r="Q1269" s="92" t="s">
        <v>898</v>
      </c>
      <c r="R1269" s="92" t="s">
        <v>55</v>
      </c>
      <c r="S1269" s="20">
        <v>577.11099999999999</v>
      </c>
    </row>
    <row r="1270" spans="1:19" x14ac:dyDescent="0.15">
      <c r="A1270" s="90">
        <v>44777</v>
      </c>
      <c r="B1270" s="90" t="str">
        <f t="shared" si="173"/>
        <v>août</v>
      </c>
      <c r="C1270" s="90" t="str">
        <f t="shared" si="174"/>
        <v>2022</v>
      </c>
      <c r="D1270" s="90" t="str">
        <f t="shared" si="175"/>
        <v>août2022</v>
      </c>
      <c r="E1270" s="91" t="s">
        <v>1248</v>
      </c>
      <c r="F1270" s="91">
        <v>214</v>
      </c>
      <c r="G1270" s="94">
        <f t="shared" si="176"/>
        <v>0.214</v>
      </c>
      <c r="H1270" s="92" t="s">
        <v>45</v>
      </c>
      <c r="I1270" s="96">
        <f t="shared" si="171"/>
        <v>0.3</v>
      </c>
      <c r="J1270" s="96">
        <f t="shared" si="172"/>
        <v>0.7</v>
      </c>
      <c r="K1270" s="92">
        <f>VLOOKUP(H1270,'Taux émission CO2e'!$A$5:$D$16,4,FALSE)</f>
        <v>0.16</v>
      </c>
      <c r="L1270" s="93">
        <f t="shared" si="177"/>
        <v>2.6389897919999998</v>
      </c>
      <c r="M1270" s="92">
        <f>VLOOKUP(H1270,'Taux émission CO2e'!$A$20:$D$31,4,FALSE)</f>
        <v>6.7400000000000002E-2</v>
      </c>
      <c r="N1270" s="105">
        <f t="shared" si="178"/>
        <v>2.5939070497199999</v>
      </c>
      <c r="O1270" s="93">
        <f t="shared" si="179"/>
        <v>5.2328968417199997</v>
      </c>
      <c r="P1270" s="92">
        <v>100</v>
      </c>
      <c r="Q1270" s="92" t="s">
        <v>58</v>
      </c>
      <c r="R1270" s="92" t="s">
        <v>60</v>
      </c>
      <c r="S1270" s="20">
        <v>256.911</v>
      </c>
    </row>
    <row r="1271" spans="1:19" x14ac:dyDescent="0.15">
      <c r="A1271" s="90">
        <v>44777</v>
      </c>
      <c r="B1271" s="90" t="str">
        <f t="shared" si="173"/>
        <v>août</v>
      </c>
      <c r="C1271" s="90" t="str">
        <f t="shared" si="174"/>
        <v>2022</v>
      </c>
      <c r="D1271" s="90" t="str">
        <f t="shared" si="175"/>
        <v>août2022</v>
      </c>
      <c r="E1271" s="91" t="s">
        <v>1249</v>
      </c>
      <c r="F1271" s="91">
        <v>106</v>
      </c>
      <c r="G1271" s="94">
        <f t="shared" si="176"/>
        <v>0.106</v>
      </c>
      <c r="H1271" s="92" t="s">
        <v>46</v>
      </c>
      <c r="I1271" s="96">
        <f t="shared" si="171"/>
        <v>0.3</v>
      </c>
      <c r="J1271" s="96">
        <f t="shared" si="172"/>
        <v>0.7</v>
      </c>
      <c r="K1271" s="92">
        <f>VLOOKUP(H1271,'Taux émission CO2e'!$A$5:$D$16,4,FALSE)</f>
        <v>0.16</v>
      </c>
      <c r="L1271" s="93">
        <f t="shared" si="177"/>
        <v>3.5198122559999998</v>
      </c>
      <c r="M1271" s="92">
        <f>VLOOKUP(H1271,'Taux émission CO2e'!$A$20:$D$31,4,FALSE)</f>
        <v>6.7400000000000002E-2</v>
      </c>
      <c r="N1271" s="105">
        <f t="shared" si="178"/>
        <v>3.45968212996</v>
      </c>
      <c r="O1271" s="93">
        <f t="shared" si="179"/>
        <v>6.9794943859599998</v>
      </c>
      <c r="P1271" s="92">
        <v>159</v>
      </c>
      <c r="Q1271" s="92" t="s">
        <v>58</v>
      </c>
      <c r="R1271" s="92" t="s">
        <v>1250</v>
      </c>
      <c r="S1271" s="20">
        <v>691.78700000000003</v>
      </c>
    </row>
    <row r="1272" spans="1:19" x14ac:dyDescent="0.15">
      <c r="A1272" s="90">
        <v>44777</v>
      </c>
      <c r="B1272" s="90" t="str">
        <f t="shared" si="173"/>
        <v>août</v>
      </c>
      <c r="C1272" s="90" t="str">
        <f t="shared" si="174"/>
        <v>2022</v>
      </c>
      <c r="D1272" s="90" t="str">
        <f t="shared" si="175"/>
        <v>août2022</v>
      </c>
      <c r="E1272" s="91" t="s">
        <v>1251</v>
      </c>
      <c r="F1272" s="91">
        <v>300</v>
      </c>
      <c r="G1272" s="94">
        <f t="shared" si="176"/>
        <v>0.3</v>
      </c>
      <c r="H1272" s="92" t="s">
        <v>46</v>
      </c>
      <c r="I1272" s="96">
        <f t="shared" si="171"/>
        <v>0.3</v>
      </c>
      <c r="J1272" s="96">
        <f t="shared" si="172"/>
        <v>0.7</v>
      </c>
      <c r="K1272" s="92">
        <f>VLOOKUP(H1272,'Taux émission CO2e'!$A$5:$D$16,4,FALSE)</f>
        <v>0.16</v>
      </c>
      <c r="L1272" s="93">
        <f t="shared" si="177"/>
        <v>7.7979743999999993</v>
      </c>
      <c r="M1272" s="92">
        <f>VLOOKUP(H1272,'Taux émission CO2e'!$A$20:$D$31,4,FALSE)</f>
        <v>6.7400000000000002E-2</v>
      </c>
      <c r="N1272" s="105">
        <f t="shared" si="178"/>
        <v>7.6647590039999995</v>
      </c>
      <c r="O1272" s="93">
        <f t="shared" si="179"/>
        <v>15.462733403999998</v>
      </c>
      <c r="P1272" s="92">
        <v>239</v>
      </c>
      <c r="Q1272" s="92" t="s">
        <v>62</v>
      </c>
      <c r="R1272" s="92" t="s">
        <v>55</v>
      </c>
      <c r="S1272" s="20">
        <v>541.52599999999995</v>
      </c>
    </row>
    <row r="1273" spans="1:19" x14ac:dyDescent="0.15">
      <c r="A1273" s="90">
        <v>44777</v>
      </c>
      <c r="B1273" s="90" t="str">
        <f t="shared" si="173"/>
        <v>août</v>
      </c>
      <c r="C1273" s="90" t="str">
        <f t="shared" si="174"/>
        <v>2022</v>
      </c>
      <c r="D1273" s="90" t="str">
        <f t="shared" si="175"/>
        <v>août2022</v>
      </c>
      <c r="E1273" s="91" t="s">
        <v>1252</v>
      </c>
      <c r="F1273" s="91">
        <v>438</v>
      </c>
      <c r="G1273" s="94">
        <f t="shared" si="176"/>
        <v>0.438</v>
      </c>
      <c r="H1273" s="92" t="s">
        <v>46</v>
      </c>
      <c r="I1273" s="96">
        <f t="shared" si="171"/>
        <v>0.3</v>
      </c>
      <c r="J1273" s="96">
        <f t="shared" si="172"/>
        <v>0.7</v>
      </c>
      <c r="K1273" s="92">
        <f>VLOOKUP(H1273,'Taux émission CO2e'!$A$5:$D$16,4,FALSE)</f>
        <v>0.16</v>
      </c>
      <c r="L1273" s="93">
        <f t="shared" si="177"/>
        <v>9.6396511680000003</v>
      </c>
      <c r="M1273" s="92">
        <f>VLOOKUP(H1273,'Taux émission CO2e'!$A$20:$D$31,4,FALSE)</f>
        <v>6.7400000000000002E-2</v>
      </c>
      <c r="N1273" s="105">
        <f t="shared" si="178"/>
        <v>9.4749737938800003</v>
      </c>
      <c r="O1273" s="93">
        <f t="shared" si="179"/>
        <v>19.114624961880001</v>
      </c>
      <c r="P1273" s="92">
        <v>290</v>
      </c>
      <c r="Q1273" s="92" t="s">
        <v>58</v>
      </c>
      <c r="R1273" s="92" t="s">
        <v>427</v>
      </c>
      <c r="S1273" s="20">
        <v>458.50700000000001</v>
      </c>
    </row>
    <row r="1274" spans="1:19" x14ac:dyDescent="0.15">
      <c r="A1274" s="90">
        <v>44777</v>
      </c>
      <c r="B1274" s="90" t="str">
        <f t="shared" si="173"/>
        <v>août</v>
      </c>
      <c r="C1274" s="90" t="str">
        <f t="shared" si="174"/>
        <v>2022</v>
      </c>
      <c r="D1274" s="90" t="str">
        <f t="shared" si="175"/>
        <v>août2022</v>
      </c>
      <c r="E1274" s="91" t="s">
        <v>1253</v>
      </c>
      <c r="F1274" s="91">
        <v>950</v>
      </c>
      <c r="G1274" s="94">
        <f t="shared" si="176"/>
        <v>0.95</v>
      </c>
      <c r="H1274" s="92" t="s">
        <v>43</v>
      </c>
      <c r="I1274" s="96">
        <f t="shared" si="171"/>
        <v>1</v>
      </c>
      <c r="J1274" s="96">
        <f t="shared" si="172"/>
        <v>0</v>
      </c>
      <c r="K1274" s="92">
        <f>VLOOKUP(H1274,'Taux émission CO2e'!$A$5:$D$16,4,FALSE)</f>
        <v>0.16</v>
      </c>
      <c r="L1274" s="93">
        <f t="shared" si="177"/>
        <v>37.083439999999996</v>
      </c>
      <c r="M1274" s="92">
        <f>VLOOKUP(H1274,'Taux émission CO2e'!$A$20:$D$31,4,FALSE)</f>
        <v>0</v>
      </c>
      <c r="N1274" s="105">
        <f t="shared" si="178"/>
        <v>0</v>
      </c>
      <c r="O1274" s="93">
        <f t="shared" si="179"/>
        <v>37.083439999999996</v>
      </c>
      <c r="P1274" s="92">
        <v>420</v>
      </c>
      <c r="Q1274" s="92" t="s">
        <v>89</v>
      </c>
      <c r="R1274" s="92" t="s">
        <v>98</v>
      </c>
      <c r="S1274" s="20">
        <v>243.97</v>
      </c>
    </row>
    <row r="1275" spans="1:19" x14ac:dyDescent="0.15">
      <c r="A1275" s="90">
        <v>44778</v>
      </c>
      <c r="B1275" s="90" t="str">
        <f t="shared" si="173"/>
        <v>août</v>
      </c>
      <c r="C1275" s="90" t="str">
        <f t="shared" si="174"/>
        <v>2022</v>
      </c>
      <c r="D1275" s="90" t="str">
        <f t="shared" si="175"/>
        <v>août2022</v>
      </c>
      <c r="E1275" s="91" t="s">
        <v>1254</v>
      </c>
      <c r="F1275" s="91">
        <v>150</v>
      </c>
      <c r="G1275" s="94">
        <f t="shared" si="176"/>
        <v>0.15</v>
      </c>
      <c r="H1275" s="92" t="s">
        <v>45</v>
      </c>
      <c r="I1275" s="96">
        <f t="shared" si="171"/>
        <v>0.3</v>
      </c>
      <c r="J1275" s="96">
        <f t="shared" si="172"/>
        <v>0.7</v>
      </c>
      <c r="K1275" s="92">
        <f>VLOOKUP(H1275,'Taux émission CO2e'!$A$5:$D$16,4,FALSE)</f>
        <v>0.16</v>
      </c>
      <c r="L1275" s="93">
        <f t="shared" si="177"/>
        <v>1.3450607999999999</v>
      </c>
      <c r="M1275" s="92">
        <f>VLOOKUP(H1275,'Taux émission CO2e'!$A$20:$D$31,4,FALSE)</f>
        <v>6.7400000000000002E-2</v>
      </c>
      <c r="N1275" s="105">
        <f t="shared" si="178"/>
        <v>1.3220826779999999</v>
      </c>
      <c r="O1275" s="93">
        <f t="shared" si="179"/>
        <v>2.6671434779999998</v>
      </c>
      <c r="P1275" s="92">
        <v>140</v>
      </c>
      <c r="Q1275" s="92" t="s">
        <v>688</v>
      </c>
      <c r="R1275" s="92" t="s">
        <v>55</v>
      </c>
      <c r="S1275" s="20">
        <v>186.81399999999999</v>
      </c>
    </row>
    <row r="1276" spans="1:19" x14ac:dyDescent="0.15">
      <c r="A1276" s="90">
        <v>44778</v>
      </c>
      <c r="B1276" s="90" t="str">
        <f t="shared" si="173"/>
        <v>août</v>
      </c>
      <c r="C1276" s="90" t="str">
        <f t="shared" si="174"/>
        <v>2022</v>
      </c>
      <c r="D1276" s="90" t="str">
        <f t="shared" si="175"/>
        <v>août2022</v>
      </c>
      <c r="E1276" s="91" t="s">
        <v>1255</v>
      </c>
      <c r="F1276" s="91">
        <v>150</v>
      </c>
      <c r="G1276" s="94">
        <f t="shared" si="176"/>
        <v>0.15</v>
      </c>
      <c r="H1276" s="92" t="s">
        <v>45</v>
      </c>
      <c r="I1276" s="96">
        <f t="shared" si="171"/>
        <v>0.3</v>
      </c>
      <c r="J1276" s="96">
        <f t="shared" si="172"/>
        <v>0.7</v>
      </c>
      <c r="K1276" s="92">
        <f>VLOOKUP(H1276,'Taux émission CO2e'!$A$5:$D$16,4,FALSE)</f>
        <v>0.16</v>
      </c>
      <c r="L1276" s="93">
        <f t="shared" si="177"/>
        <v>1.9215215999999999</v>
      </c>
      <c r="M1276" s="92">
        <f>VLOOKUP(H1276,'Taux émission CO2e'!$A$20:$D$31,4,FALSE)</f>
        <v>6.7400000000000002E-2</v>
      </c>
      <c r="N1276" s="105">
        <f t="shared" si="178"/>
        <v>1.888695606</v>
      </c>
      <c r="O1276" s="93">
        <f t="shared" si="179"/>
        <v>3.8102172059999999</v>
      </c>
      <c r="P1276" s="92">
        <v>158</v>
      </c>
      <c r="Q1276" s="92" t="s">
        <v>730</v>
      </c>
      <c r="R1276" s="92" t="s">
        <v>55</v>
      </c>
      <c r="S1276" s="20">
        <v>266.87799999999999</v>
      </c>
    </row>
    <row r="1277" spans="1:19" x14ac:dyDescent="0.15">
      <c r="A1277" s="90">
        <v>44778</v>
      </c>
      <c r="B1277" s="90" t="str">
        <f t="shared" si="173"/>
        <v>août</v>
      </c>
      <c r="C1277" s="90" t="str">
        <f t="shared" si="174"/>
        <v>2022</v>
      </c>
      <c r="D1277" s="90" t="str">
        <f t="shared" si="175"/>
        <v>août2022</v>
      </c>
      <c r="E1277" s="91" t="s">
        <v>1256</v>
      </c>
      <c r="F1277" s="91">
        <v>300</v>
      </c>
      <c r="G1277" s="94">
        <f t="shared" si="176"/>
        <v>0.3</v>
      </c>
      <c r="H1277" s="92" t="s">
        <v>46</v>
      </c>
      <c r="I1277" s="96">
        <f t="shared" si="171"/>
        <v>0.3</v>
      </c>
      <c r="J1277" s="96">
        <f t="shared" si="172"/>
        <v>0.7</v>
      </c>
      <c r="K1277" s="92">
        <f>VLOOKUP(H1277,'Taux émission CO2e'!$A$5:$D$16,4,FALSE)</f>
        <v>0.16</v>
      </c>
      <c r="L1277" s="93">
        <f t="shared" si="177"/>
        <v>3.7158191999999999</v>
      </c>
      <c r="M1277" s="92">
        <f>VLOOKUP(H1277,'Taux émission CO2e'!$A$20:$D$31,4,FALSE)</f>
        <v>6.7400000000000002E-2</v>
      </c>
      <c r="N1277" s="105">
        <f t="shared" si="178"/>
        <v>3.6523406220000001</v>
      </c>
      <c r="O1277" s="93">
        <f t="shared" si="179"/>
        <v>7.368159822</v>
      </c>
      <c r="P1277" s="92">
        <v>260</v>
      </c>
      <c r="Q1277" s="92" t="s">
        <v>102</v>
      </c>
      <c r="R1277" s="92" t="s">
        <v>55</v>
      </c>
      <c r="S1277" s="20">
        <v>258.04300000000001</v>
      </c>
    </row>
    <row r="1278" spans="1:19" x14ac:dyDescent="0.15">
      <c r="A1278" s="90">
        <v>44778</v>
      </c>
      <c r="B1278" s="90" t="str">
        <f t="shared" si="173"/>
        <v>août</v>
      </c>
      <c r="C1278" s="90" t="str">
        <f t="shared" si="174"/>
        <v>2022</v>
      </c>
      <c r="D1278" s="90" t="str">
        <f t="shared" si="175"/>
        <v>août2022</v>
      </c>
      <c r="E1278" s="91" t="s">
        <v>1257</v>
      </c>
      <c r="F1278" s="91">
        <v>400</v>
      </c>
      <c r="G1278" s="94">
        <f t="shared" si="176"/>
        <v>0.4</v>
      </c>
      <c r="H1278" s="92" t="s">
        <v>45</v>
      </c>
      <c r="I1278" s="96">
        <f t="shared" si="171"/>
        <v>0.3</v>
      </c>
      <c r="J1278" s="96">
        <f t="shared" si="172"/>
        <v>0.7</v>
      </c>
      <c r="K1278" s="92">
        <f>VLOOKUP(H1278,'Taux émission CO2e'!$A$5:$D$16,4,FALSE)</f>
        <v>0.16</v>
      </c>
      <c r="L1278" s="93">
        <f t="shared" si="177"/>
        <v>14.729222400000003</v>
      </c>
      <c r="M1278" s="92">
        <f>VLOOKUP(H1278,'Taux émission CO2e'!$A$20:$D$31,4,FALSE)</f>
        <v>6.7400000000000002E-2</v>
      </c>
      <c r="N1278" s="105">
        <f t="shared" si="178"/>
        <v>14.477598184000001</v>
      </c>
      <c r="O1278" s="93">
        <f t="shared" si="179"/>
        <v>29.206820584000006</v>
      </c>
      <c r="P1278" s="92">
        <v>400</v>
      </c>
      <c r="Q1278" s="92" t="s">
        <v>635</v>
      </c>
      <c r="R1278" s="92" t="s">
        <v>55</v>
      </c>
      <c r="S1278" s="20">
        <v>767.14700000000005</v>
      </c>
    </row>
    <row r="1279" spans="1:19" x14ac:dyDescent="0.15">
      <c r="A1279" s="90">
        <v>44778</v>
      </c>
      <c r="B1279" s="90" t="str">
        <f t="shared" si="173"/>
        <v>août</v>
      </c>
      <c r="C1279" s="90" t="str">
        <f t="shared" si="174"/>
        <v>2022</v>
      </c>
      <c r="D1279" s="90" t="str">
        <f t="shared" si="175"/>
        <v>août2022</v>
      </c>
      <c r="E1279" s="91" t="s">
        <v>1258</v>
      </c>
      <c r="F1279" s="91">
        <v>600</v>
      </c>
      <c r="G1279" s="94">
        <f t="shared" si="176"/>
        <v>0.6</v>
      </c>
      <c r="H1279" s="92" t="s">
        <v>46</v>
      </c>
      <c r="I1279" s="96">
        <f t="shared" si="171"/>
        <v>0.3</v>
      </c>
      <c r="J1279" s="96">
        <f t="shared" si="172"/>
        <v>0.7</v>
      </c>
      <c r="K1279" s="92">
        <f>VLOOKUP(H1279,'Taux émission CO2e'!$A$5:$D$16,4,FALSE)</f>
        <v>0.16</v>
      </c>
      <c r="L1279" s="93">
        <f t="shared" si="177"/>
        <v>21.314822399999997</v>
      </c>
      <c r="M1279" s="92">
        <f>VLOOKUP(H1279,'Taux émission CO2e'!$A$20:$D$31,4,FALSE)</f>
        <v>6.7400000000000002E-2</v>
      </c>
      <c r="N1279" s="105">
        <f t="shared" si="178"/>
        <v>20.950694184</v>
      </c>
      <c r="O1279" s="93">
        <f t="shared" si="179"/>
        <v>42.265516583999997</v>
      </c>
      <c r="P1279" s="92">
        <v>470</v>
      </c>
      <c r="Q1279" s="92" t="s">
        <v>473</v>
      </c>
      <c r="R1279" s="92" t="s">
        <v>55</v>
      </c>
      <c r="S1279" s="20">
        <v>740.09799999999996</v>
      </c>
    </row>
    <row r="1280" spans="1:19" x14ac:dyDescent="0.15">
      <c r="A1280" s="90">
        <v>44781</v>
      </c>
      <c r="B1280" s="90" t="str">
        <f t="shared" si="173"/>
        <v>août</v>
      </c>
      <c r="C1280" s="90" t="str">
        <f t="shared" si="174"/>
        <v>2022</v>
      </c>
      <c r="D1280" s="90" t="str">
        <f t="shared" si="175"/>
        <v>août2022</v>
      </c>
      <c r="E1280" s="91" t="s">
        <v>1259</v>
      </c>
      <c r="F1280" s="91">
        <v>150</v>
      </c>
      <c r="G1280" s="94">
        <f t="shared" si="176"/>
        <v>0.15</v>
      </c>
      <c r="H1280" s="92" t="s">
        <v>46</v>
      </c>
      <c r="I1280" s="96">
        <f t="shared" si="171"/>
        <v>0.3</v>
      </c>
      <c r="J1280" s="96">
        <f t="shared" si="172"/>
        <v>0.7</v>
      </c>
      <c r="K1280" s="92">
        <f>VLOOKUP(H1280,'Taux émission CO2e'!$A$5:$D$16,4,FALSE)</f>
        <v>0.16</v>
      </c>
      <c r="L1280" s="93">
        <f t="shared" si="177"/>
        <v>1.2471839999999998</v>
      </c>
      <c r="M1280" s="92">
        <f>VLOOKUP(H1280,'Taux émission CO2e'!$A$20:$D$31,4,FALSE)</f>
        <v>6.7400000000000002E-2</v>
      </c>
      <c r="N1280" s="105">
        <f t="shared" si="178"/>
        <v>1.2258779399999999</v>
      </c>
      <c r="O1280" s="93">
        <f t="shared" si="179"/>
        <v>2.47306194</v>
      </c>
      <c r="P1280" s="92">
        <v>140</v>
      </c>
      <c r="Q1280" s="92" t="s">
        <v>708</v>
      </c>
      <c r="R1280" s="92" t="s">
        <v>55</v>
      </c>
      <c r="S1280" s="20">
        <v>173.22</v>
      </c>
    </row>
    <row r="1281" spans="1:19" x14ac:dyDescent="0.15">
      <c r="A1281" s="90">
        <v>44781</v>
      </c>
      <c r="B1281" s="90" t="str">
        <f t="shared" si="173"/>
        <v>août</v>
      </c>
      <c r="C1281" s="90" t="str">
        <f t="shared" si="174"/>
        <v>2022</v>
      </c>
      <c r="D1281" s="90" t="str">
        <f t="shared" si="175"/>
        <v>août2022</v>
      </c>
      <c r="E1281" s="91" t="s">
        <v>1260</v>
      </c>
      <c r="F1281" s="91">
        <v>685</v>
      </c>
      <c r="G1281" s="94">
        <f t="shared" si="176"/>
        <v>0.68500000000000005</v>
      </c>
      <c r="H1281" s="92" t="s">
        <v>46</v>
      </c>
      <c r="I1281" s="96">
        <f t="shared" si="171"/>
        <v>0.3</v>
      </c>
      <c r="J1281" s="96">
        <f t="shared" si="172"/>
        <v>0.7</v>
      </c>
      <c r="K1281" s="92">
        <f>VLOOKUP(H1281,'Taux émission CO2e'!$A$5:$D$16,4,FALSE)</f>
        <v>0.16</v>
      </c>
      <c r="L1281" s="93">
        <f t="shared" si="177"/>
        <v>8.7515380800000013</v>
      </c>
      <c r="M1281" s="92">
        <f>VLOOKUP(H1281,'Taux émission CO2e'!$A$20:$D$31,4,FALSE)</f>
        <v>6.7400000000000002E-2</v>
      </c>
      <c r="N1281" s="105">
        <f t="shared" si="178"/>
        <v>8.6020326378000007</v>
      </c>
      <c r="O1281" s="93">
        <f t="shared" si="179"/>
        <v>17.353570717800004</v>
      </c>
      <c r="P1281" s="92">
        <v>220</v>
      </c>
      <c r="Q1281" s="92" t="s">
        <v>58</v>
      </c>
      <c r="R1281" s="92" t="s">
        <v>53</v>
      </c>
      <c r="S1281" s="20">
        <v>266.166</v>
      </c>
    </row>
    <row r="1282" spans="1:19" x14ac:dyDescent="0.15">
      <c r="A1282" s="90">
        <v>44781</v>
      </c>
      <c r="B1282" s="90" t="str">
        <f t="shared" si="173"/>
        <v>août</v>
      </c>
      <c r="C1282" s="90" t="str">
        <f t="shared" si="174"/>
        <v>2022</v>
      </c>
      <c r="D1282" s="90" t="str">
        <f t="shared" si="175"/>
        <v>août2022</v>
      </c>
      <c r="E1282" s="91" t="s">
        <v>1261</v>
      </c>
      <c r="F1282" s="91">
        <v>750</v>
      </c>
      <c r="G1282" s="94">
        <f t="shared" si="176"/>
        <v>0.75</v>
      </c>
      <c r="H1282" s="92" t="s">
        <v>45</v>
      </c>
      <c r="I1282" s="96">
        <f t="shared" ref="I1282:I1345" si="180">VLOOKUP(H1282,Segment1,2,FALSE)</f>
        <v>0.3</v>
      </c>
      <c r="J1282" s="96">
        <f t="shared" ref="J1282:J1345" si="181">VLOOKUP(H1282,Segment2,2,FALSE)</f>
        <v>0.7</v>
      </c>
      <c r="K1282" s="92">
        <f>VLOOKUP(H1282,'Taux émission CO2e'!$A$5:$D$16,4,FALSE)</f>
        <v>0.16</v>
      </c>
      <c r="L1282" s="93">
        <f t="shared" si="177"/>
        <v>18.593064000000005</v>
      </c>
      <c r="M1282" s="92">
        <f>VLOOKUP(H1282,'Taux émission CO2e'!$A$20:$D$31,4,FALSE)</f>
        <v>6.7400000000000002E-2</v>
      </c>
      <c r="N1282" s="105">
        <f t="shared" si="178"/>
        <v>18.27543249</v>
      </c>
      <c r="O1282" s="93">
        <f t="shared" si="179"/>
        <v>36.868496490000005</v>
      </c>
      <c r="P1282" s="92">
        <v>450</v>
      </c>
      <c r="Q1282" s="92" t="s">
        <v>52</v>
      </c>
      <c r="R1282" s="92" t="s">
        <v>55</v>
      </c>
      <c r="S1282" s="20">
        <v>516.47400000000005</v>
      </c>
    </row>
    <row r="1283" spans="1:19" x14ac:dyDescent="0.15">
      <c r="A1283" s="90">
        <v>44782</v>
      </c>
      <c r="B1283" s="90" t="str">
        <f t="shared" ref="B1283:B1346" si="182">TEXT(A1283,"mmmm")</f>
        <v>août</v>
      </c>
      <c r="C1283" s="90" t="str">
        <f t="shared" ref="C1283:C1346" si="183">TEXT(A1283,"aaaa")</f>
        <v>2022</v>
      </c>
      <c r="D1283" s="90" t="str">
        <f t="shared" ref="D1283:D1346" si="184">B1283&amp;C1283</f>
        <v>août2022</v>
      </c>
      <c r="E1283" s="91" t="s">
        <v>1262</v>
      </c>
      <c r="F1283" s="91">
        <v>300</v>
      </c>
      <c r="G1283" s="94">
        <f t="shared" ref="G1283:G1346" si="185">F1283/1000</f>
        <v>0.3</v>
      </c>
      <c r="H1283" s="92" t="s">
        <v>38</v>
      </c>
      <c r="I1283" s="96">
        <f t="shared" si="180"/>
        <v>1</v>
      </c>
      <c r="J1283" s="96">
        <f t="shared" si="181"/>
        <v>0</v>
      </c>
      <c r="K1283" s="92">
        <f>VLOOKUP(H1283,'Taux émission CO2e'!$A$5:$D$16,4,FALSE)</f>
        <v>0.24099999999999999</v>
      </c>
      <c r="L1283" s="93">
        <f t="shared" ref="L1283:L1346" si="186">IFERROR(I1283*K1283*G1283*S1283,"0")</f>
        <v>2.4575492999999997</v>
      </c>
      <c r="M1283" s="92">
        <f>VLOOKUP(H1283,'Taux émission CO2e'!$A$20:$D$31,4,FALSE)</f>
        <v>0</v>
      </c>
      <c r="N1283" s="105">
        <f t="shared" ref="N1283:N1346" si="187">IFERROR(J1283*M1283*G1283*S1283,"0")</f>
        <v>0</v>
      </c>
      <c r="O1283" s="93">
        <f t="shared" ref="O1283:O1346" si="188">L1283+N1283</f>
        <v>2.4575492999999997</v>
      </c>
      <c r="P1283" s="92">
        <v>100</v>
      </c>
      <c r="Q1283" s="92" t="s">
        <v>67</v>
      </c>
      <c r="R1283" s="92" t="s">
        <v>55</v>
      </c>
      <c r="S1283" s="20">
        <v>33.991</v>
      </c>
    </row>
    <row r="1284" spans="1:19" x14ac:dyDescent="0.15">
      <c r="A1284" s="90">
        <v>44782</v>
      </c>
      <c r="B1284" s="90" t="str">
        <f t="shared" si="182"/>
        <v>août</v>
      </c>
      <c r="C1284" s="90" t="str">
        <f t="shared" si="183"/>
        <v>2022</v>
      </c>
      <c r="D1284" s="90" t="str">
        <f t="shared" si="184"/>
        <v>août2022</v>
      </c>
      <c r="E1284" s="91" t="s">
        <v>1263</v>
      </c>
      <c r="F1284" s="91">
        <v>40</v>
      </c>
      <c r="G1284" s="94">
        <f t="shared" si="185"/>
        <v>0.04</v>
      </c>
      <c r="H1284" s="92" t="s">
        <v>46</v>
      </c>
      <c r="I1284" s="96">
        <f t="shared" si="180"/>
        <v>0.3</v>
      </c>
      <c r="J1284" s="96">
        <f t="shared" si="181"/>
        <v>0.7</v>
      </c>
      <c r="K1284" s="92">
        <f>VLOOKUP(H1284,'Taux émission CO2e'!$A$5:$D$16,4,FALSE)</f>
        <v>0.16</v>
      </c>
      <c r="L1284" s="93">
        <f t="shared" si="186"/>
        <v>0.51103872000000006</v>
      </c>
      <c r="M1284" s="92">
        <f>VLOOKUP(H1284,'Taux émission CO2e'!$A$20:$D$31,4,FALSE)</f>
        <v>6.7400000000000002E-2</v>
      </c>
      <c r="N1284" s="105">
        <f t="shared" si="187"/>
        <v>0.50230847519999999</v>
      </c>
      <c r="O1284" s="93">
        <f t="shared" si="188"/>
        <v>1.0133471952000002</v>
      </c>
      <c r="P1284" s="92">
        <v>113</v>
      </c>
      <c r="Q1284" s="92" t="s">
        <v>58</v>
      </c>
      <c r="R1284" s="92" t="s">
        <v>53</v>
      </c>
      <c r="S1284" s="20">
        <v>266.166</v>
      </c>
    </row>
    <row r="1285" spans="1:19" x14ac:dyDescent="0.15">
      <c r="A1285" s="90">
        <v>44782</v>
      </c>
      <c r="B1285" s="90" t="str">
        <f t="shared" si="182"/>
        <v>août</v>
      </c>
      <c r="C1285" s="90" t="str">
        <f t="shared" si="183"/>
        <v>2022</v>
      </c>
      <c r="D1285" s="90" t="str">
        <f t="shared" si="184"/>
        <v>août2022</v>
      </c>
      <c r="E1285" s="91" t="s">
        <v>1264</v>
      </c>
      <c r="F1285" s="91">
        <v>86</v>
      </c>
      <c r="G1285" s="94">
        <f t="shared" si="185"/>
        <v>8.5999999999999993E-2</v>
      </c>
      <c r="H1285" s="92" t="s">
        <v>46</v>
      </c>
      <c r="I1285" s="96">
        <f t="shared" si="180"/>
        <v>0.3</v>
      </c>
      <c r="J1285" s="96">
        <f t="shared" si="181"/>
        <v>0.7</v>
      </c>
      <c r="K1285" s="92">
        <f>VLOOKUP(H1285,'Taux émission CO2e'!$A$5:$D$16,4,FALSE)</f>
        <v>0.16</v>
      </c>
      <c r="L1285" s="93">
        <f t="shared" si="186"/>
        <v>2.9515530239999999</v>
      </c>
      <c r="M1285" s="92">
        <f>VLOOKUP(H1285,'Taux émission CO2e'!$A$20:$D$31,4,FALSE)</f>
        <v>6.7400000000000002E-2</v>
      </c>
      <c r="N1285" s="105">
        <f t="shared" si="187"/>
        <v>2.9011306598399997</v>
      </c>
      <c r="O1285" s="93">
        <f t="shared" si="188"/>
        <v>5.8526836838399996</v>
      </c>
      <c r="P1285" s="92">
        <v>173</v>
      </c>
      <c r="Q1285" s="92" t="s">
        <v>58</v>
      </c>
      <c r="R1285" s="92" t="s">
        <v>544</v>
      </c>
      <c r="S1285" s="20">
        <v>715.00800000000004</v>
      </c>
    </row>
    <row r="1286" spans="1:19" x14ac:dyDescent="0.15">
      <c r="A1286" s="90">
        <v>44782</v>
      </c>
      <c r="B1286" s="90" t="str">
        <f t="shared" si="182"/>
        <v>août</v>
      </c>
      <c r="C1286" s="90" t="str">
        <f t="shared" si="183"/>
        <v>2022</v>
      </c>
      <c r="D1286" s="90" t="str">
        <f t="shared" si="184"/>
        <v>août2022</v>
      </c>
      <c r="E1286" s="91" t="s">
        <v>1265</v>
      </c>
      <c r="F1286" s="91">
        <v>150</v>
      </c>
      <c r="G1286" s="94">
        <f t="shared" si="185"/>
        <v>0.15</v>
      </c>
      <c r="H1286" s="92" t="s">
        <v>46</v>
      </c>
      <c r="I1286" s="96">
        <f t="shared" si="180"/>
        <v>0.3</v>
      </c>
      <c r="J1286" s="96">
        <f t="shared" si="181"/>
        <v>0.7</v>
      </c>
      <c r="K1286" s="92">
        <f>VLOOKUP(H1286,'Taux émission CO2e'!$A$5:$D$16,4,FALSE)</f>
        <v>0.16</v>
      </c>
      <c r="L1286" s="93">
        <f t="shared" si="186"/>
        <v>2.0048976000000001</v>
      </c>
      <c r="M1286" s="92">
        <f>VLOOKUP(H1286,'Taux émission CO2e'!$A$20:$D$31,4,FALSE)</f>
        <v>6.7400000000000002E-2</v>
      </c>
      <c r="N1286" s="105">
        <f t="shared" si="187"/>
        <v>1.9706472660000003</v>
      </c>
      <c r="O1286" s="93">
        <f t="shared" si="188"/>
        <v>3.9755448660000003</v>
      </c>
      <c r="P1286" s="92">
        <v>180</v>
      </c>
      <c r="Q1286" s="92" t="s">
        <v>1197</v>
      </c>
      <c r="R1286" s="92" t="s">
        <v>55</v>
      </c>
      <c r="S1286" s="20">
        <v>278.45800000000003</v>
      </c>
    </row>
    <row r="1287" spans="1:19" x14ac:dyDescent="0.15">
      <c r="A1287" s="90">
        <v>44782</v>
      </c>
      <c r="B1287" s="90" t="str">
        <f t="shared" si="182"/>
        <v>août</v>
      </c>
      <c r="C1287" s="90" t="str">
        <f t="shared" si="183"/>
        <v>2022</v>
      </c>
      <c r="D1287" s="90" t="str">
        <f t="shared" si="184"/>
        <v>août2022</v>
      </c>
      <c r="E1287" s="91" t="s">
        <v>1266</v>
      </c>
      <c r="F1287" s="91">
        <v>450</v>
      </c>
      <c r="G1287" s="94">
        <f t="shared" si="185"/>
        <v>0.45</v>
      </c>
      <c r="H1287" s="92" t="s">
        <v>46</v>
      </c>
      <c r="I1287" s="96">
        <f t="shared" si="180"/>
        <v>0.3</v>
      </c>
      <c r="J1287" s="96">
        <f t="shared" si="181"/>
        <v>0.7</v>
      </c>
      <c r="K1287" s="92">
        <f>VLOOKUP(H1287,'Taux émission CO2e'!$A$5:$D$16,4,FALSE)</f>
        <v>0.16</v>
      </c>
      <c r="L1287" s="93">
        <f t="shared" si="186"/>
        <v>8.1252072000000002</v>
      </c>
      <c r="M1287" s="92">
        <f>VLOOKUP(H1287,'Taux émission CO2e'!$A$20:$D$31,4,FALSE)</f>
        <v>6.7400000000000002E-2</v>
      </c>
      <c r="N1287" s="105">
        <f t="shared" si="187"/>
        <v>7.9864015769999996</v>
      </c>
      <c r="O1287" s="93">
        <f t="shared" si="188"/>
        <v>16.111608777000001</v>
      </c>
      <c r="P1287" s="92">
        <v>220</v>
      </c>
      <c r="Q1287" s="92" t="s">
        <v>856</v>
      </c>
      <c r="R1287" s="92" t="s">
        <v>55</v>
      </c>
      <c r="S1287" s="20">
        <v>376.16699999999997</v>
      </c>
    </row>
    <row r="1288" spans="1:19" x14ac:dyDescent="0.15">
      <c r="A1288" s="90">
        <v>44782</v>
      </c>
      <c r="B1288" s="90" t="str">
        <f t="shared" si="182"/>
        <v>août</v>
      </c>
      <c r="C1288" s="90" t="str">
        <f t="shared" si="183"/>
        <v>2022</v>
      </c>
      <c r="D1288" s="90" t="str">
        <f t="shared" si="184"/>
        <v>août2022</v>
      </c>
      <c r="E1288" s="91" t="s">
        <v>1267</v>
      </c>
      <c r="F1288" s="91">
        <v>450</v>
      </c>
      <c r="G1288" s="94">
        <f t="shared" si="185"/>
        <v>0.45</v>
      </c>
      <c r="H1288" s="92" t="s">
        <v>46</v>
      </c>
      <c r="I1288" s="96">
        <f t="shared" si="180"/>
        <v>0.3</v>
      </c>
      <c r="J1288" s="96">
        <f t="shared" si="181"/>
        <v>0.7</v>
      </c>
      <c r="K1288" s="92">
        <f>VLOOKUP(H1288,'Taux émission CO2e'!$A$5:$D$16,4,FALSE)</f>
        <v>0.16</v>
      </c>
      <c r="L1288" s="93">
        <f t="shared" si="186"/>
        <v>8.2206576000000009</v>
      </c>
      <c r="M1288" s="92">
        <f>VLOOKUP(H1288,'Taux émission CO2e'!$A$20:$D$31,4,FALSE)</f>
        <v>6.7400000000000002E-2</v>
      </c>
      <c r="N1288" s="105">
        <f t="shared" si="187"/>
        <v>8.080221366</v>
      </c>
      <c r="O1288" s="93">
        <f t="shared" si="188"/>
        <v>16.300878965999999</v>
      </c>
      <c r="P1288" s="92">
        <v>300</v>
      </c>
      <c r="Q1288" s="92" t="s">
        <v>91</v>
      </c>
      <c r="R1288" s="92" t="s">
        <v>55</v>
      </c>
      <c r="S1288" s="20">
        <v>380.58600000000001</v>
      </c>
    </row>
    <row r="1289" spans="1:19" x14ac:dyDescent="0.15">
      <c r="A1289" s="90">
        <v>44783</v>
      </c>
      <c r="B1289" s="90" t="str">
        <f t="shared" si="182"/>
        <v>août</v>
      </c>
      <c r="C1289" s="90" t="str">
        <f t="shared" si="183"/>
        <v>2022</v>
      </c>
      <c r="D1289" s="90" t="str">
        <f t="shared" si="184"/>
        <v>août2022</v>
      </c>
      <c r="E1289" s="91" t="s">
        <v>1268</v>
      </c>
      <c r="F1289" s="91">
        <v>428</v>
      </c>
      <c r="G1289" s="94">
        <f t="shared" si="185"/>
        <v>0.42799999999999999</v>
      </c>
      <c r="H1289" s="92" t="s">
        <v>46</v>
      </c>
      <c r="I1289" s="96">
        <f t="shared" si="180"/>
        <v>0.3</v>
      </c>
      <c r="J1289" s="96">
        <f t="shared" si="181"/>
        <v>0.7</v>
      </c>
      <c r="K1289" s="92">
        <f>VLOOKUP(H1289,'Taux émission CO2e'!$A$5:$D$16,4,FALSE)</f>
        <v>0.16</v>
      </c>
      <c r="L1289" s="93">
        <f t="shared" si="186"/>
        <v>5.1112855679999996</v>
      </c>
      <c r="M1289" s="92">
        <f>VLOOKUP(H1289,'Taux émission CO2e'!$A$20:$D$31,4,FALSE)</f>
        <v>6.7400000000000002E-2</v>
      </c>
      <c r="N1289" s="105">
        <f t="shared" si="187"/>
        <v>5.0239677728799998</v>
      </c>
      <c r="O1289" s="93">
        <f t="shared" si="188"/>
        <v>10.135253340879999</v>
      </c>
      <c r="P1289" s="92">
        <v>215</v>
      </c>
      <c r="Q1289" s="92" t="s">
        <v>58</v>
      </c>
      <c r="R1289" s="92" t="s">
        <v>82</v>
      </c>
      <c r="S1289" s="20">
        <v>248.797</v>
      </c>
    </row>
    <row r="1290" spans="1:19" x14ac:dyDescent="0.15">
      <c r="A1290" s="90">
        <v>44783</v>
      </c>
      <c r="B1290" s="90" t="str">
        <f t="shared" si="182"/>
        <v>août</v>
      </c>
      <c r="C1290" s="90" t="str">
        <f t="shared" si="183"/>
        <v>2022</v>
      </c>
      <c r="D1290" s="90" t="str">
        <f t="shared" si="184"/>
        <v>août2022</v>
      </c>
      <c r="E1290" s="91" t="s">
        <v>1269</v>
      </c>
      <c r="F1290" s="91">
        <v>685</v>
      </c>
      <c r="G1290" s="94">
        <f t="shared" si="185"/>
        <v>0.68500000000000005</v>
      </c>
      <c r="H1290" s="92" t="s">
        <v>46</v>
      </c>
      <c r="I1290" s="96">
        <f t="shared" si="180"/>
        <v>0.3</v>
      </c>
      <c r="J1290" s="96">
        <f t="shared" si="181"/>
        <v>0.7</v>
      </c>
      <c r="K1290" s="92">
        <f>VLOOKUP(H1290,'Taux émission CO2e'!$A$5:$D$16,4,FALSE)</f>
        <v>0.16</v>
      </c>
      <c r="L1290" s="93">
        <f t="shared" si="186"/>
        <v>6.2006090400000016</v>
      </c>
      <c r="M1290" s="92">
        <f>VLOOKUP(H1290,'Taux émission CO2e'!$A$20:$D$31,4,FALSE)</f>
        <v>6.7400000000000002E-2</v>
      </c>
      <c r="N1290" s="105">
        <f t="shared" si="187"/>
        <v>6.0946819688999998</v>
      </c>
      <c r="O1290" s="93">
        <f t="shared" si="188"/>
        <v>12.295291008900001</v>
      </c>
      <c r="P1290" s="92">
        <v>250</v>
      </c>
      <c r="Q1290" s="92" t="s">
        <v>58</v>
      </c>
      <c r="R1290" s="92" t="s">
        <v>531</v>
      </c>
      <c r="S1290" s="20">
        <v>188.583</v>
      </c>
    </row>
    <row r="1291" spans="1:19" x14ac:dyDescent="0.15">
      <c r="A1291" s="90">
        <v>44783</v>
      </c>
      <c r="B1291" s="90" t="str">
        <f t="shared" si="182"/>
        <v>août</v>
      </c>
      <c r="C1291" s="90" t="str">
        <f t="shared" si="183"/>
        <v>2022</v>
      </c>
      <c r="D1291" s="90" t="str">
        <f t="shared" si="184"/>
        <v>août2022</v>
      </c>
      <c r="E1291" s="91" t="s">
        <v>1270</v>
      </c>
      <c r="F1291" s="92">
        <v>2200</v>
      </c>
      <c r="G1291" s="94">
        <f t="shared" si="185"/>
        <v>2.2000000000000002</v>
      </c>
      <c r="H1291" s="92" t="s">
        <v>43</v>
      </c>
      <c r="I1291" s="96">
        <f t="shared" si="180"/>
        <v>1</v>
      </c>
      <c r="J1291" s="96">
        <f t="shared" si="181"/>
        <v>0</v>
      </c>
      <c r="K1291" s="92">
        <f>VLOOKUP(H1291,'Taux émission CO2e'!$A$5:$D$16,4,FALSE)</f>
        <v>0.16</v>
      </c>
      <c r="L1291" s="93">
        <f t="shared" si="186"/>
        <v>87.576544000000013</v>
      </c>
      <c r="M1291" s="92">
        <f>VLOOKUP(H1291,'Taux émission CO2e'!$A$20:$D$31,4,FALSE)</f>
        <v>0</v>
      </c>
      <c r="N1291" s="105">
        <f t="shared" si="187"/>
        <v>0</v>
      </c>
      <c r="O1291" s="93">
        <f t="shared" si="188"/>
        <v>87.576544000000013</v>
      </c>
      <c r="P1291" s="92">
        <v>380</v>
      </c>
      <c r="Q1291" s="92" t="s">
        <v>58</v>
      </c>
      <c r="R1291" s="92" t="s">
        <v>82</v>
      </c>
      <c r="S1291" s="20">
        <v>248.797</v>
      </c>
    </row>
    <row r="1292" spans="1:19" x14ac:dyDescent="0.15">
      <c r="A1292" s="90">
        <v>44784</v>
      </c>
      <c r="B1292" s="90" t="str">
        <f t="shared" si="182"/>
        <v>août</v>
      </c>
      <c r="C1292" s="90" t="str">
        <f t="shared" si="183"/>
        <v>2022</v>
      </c>
      <c r="D1292" s="90" t="str">
        <f t="shared" si="184"/>
        <v>août2022</v>
      </c>
      <c r="E1292" s="91" t="s">
        <v>1271</v>
      </c>
      <c r="F1292" s="91">
        <v>300</v>
      </c>
      <c r="G1292" s="94">
        <f t="shared" si="185"/>
        <v>0.3</v>
      </c>
      <c r="H1292" s="92" t="s">
        <v>46</v>
      </c>
      <c r="I1292" s="96">
        <f t="shared" si="180"/>
        <v>0.3</v>
      </c>
      <c r="J1292" s="96">
        <f t="shared" si="181"/>
        <v>0.7</v>
      </c>
      <c r="K1292" s="92">
        <f>VLOOKUP(H1292,'Taux émission CO2e'!$A$5:$D$16,4,FALSE)</f>
        <v>0.16</v>
      </c>
      <c r="L1292" s="93">
        <f t="shared" si="186"/>
        <v>3.6276336000000002</v>
      </c>
      <c r="M1292" s="92">
        <f>VLOOKUP(H1292,'Taux émission CO2e'!$A$20:$D$31,4,FALSE)</f>
        <v>6.7400000000000002E-2</v>
      </c>
      <c r="N1292" s="105">
        <f t="shared" si="187"/>
        <v>3.565661526</v>
      </c>
      <c r="O1292" s="93">
        <f t="shared" si="188"/>
        <v>7.1932951260000006</v>
      </c>
      <c r="P1292" s="92">
        <v>185</v>
      </c>
      <c r="Q1292" s="92" t="s">
        <v>92</v>
      </c>
      <c r="R1292" s="92" t="s">
        <v>55</v>
      </c>
      <c r="S1292" s="20">
        <v>251.91900000000001</v>
      </c>
    </row>
    <row r="1293" spans="1:19" x14ac:dyDescent="0.15">
      <c r="A1293" s="90">
        <v>44784</v>
      </c>
      <c r="B1293" s="90" t="str">
        <f t="shared" si="182"/>
        <v>août</v>
      </c>
      <c r="C1293" s="90" t="str">
        <f t="shared" si="183"/>
        <v>2022</v>
      </c>
      <c r="D1293" s="90" t="str">
        <f t="shared" si="184"/>
        <v>août2022</v>
      </c>
      <c r="E1293" s="91" t="s">
        <v>1272</v>
      </c>
      <c r="F1293" s="91">
        <v>300</v>
      </c>
      <c r="G1293" s="94">
        <f t="shared" si="185"/>
        <v>0.3</v>
      </c>
      <c r="H1293" s="92" t="s">
        <v>46</v>
      </c>
      <c r="I1293" s="96">
        <f t="shared" si="180"/>
        <v>0.3</v>
      </c>
      <c r="J1293" s="96">
        <f t="shared" si="181"/>
        <v>0.7</v>
      </c>
      <c r="K1293" s="92">
        <f>VLOOKUP(H1293,'Taux émission CO2e'!$A$5:$D$16,4,FALSE)</f>
        <v>0.16</v>
      </c>
      <c r="L1293" s="93">
        <f t="shared" si="186"/>
        <v>3.8430431999999999</v>
      </c>
      <c r="M1293" s="92">
        <f>VLOOKUP(H1293,'Taux émission CO2e'!$A$20:$D$31,4,FALSE)</f>
        <v>6.7400000000000002E-2</v>
      </c>
      <c r="N1293" s="105">
        <f t="shared" si="187"/>
        <v>3.7773912119999999</v>
      </c>
      <c r="O1293" s="93">
        <f t="shared" si="188"/>
        <v>7.6204344119999998</v>
      </c>
      <c r="P1293" s="92">
        <v>200</v>
      </c>
      <c r="Q1293" s="92" t="s">
        <v>730</v>
      </c>
      <c r="R1293" s="92" t="s">
        <v>55</v>
      </c>
      <c r="S1293" s="20">
        <v>266.87799999999999</v>
      </c>
    </row>
    <row r="1294" spans="1:19" x14ac:dyDescent="0.15">
      <c r="A1294" s="90">
        <v>44784</v>
      </c>
      <c r="B1294" s="90" t="str">
        <f t="shared" si="182"/>
        <v>août</v>
      </c>
      <c r="C1294" s="90" t="str">
        <f t="shared" si="183"/>
        <v>2022</v>
      </c>
      <c r="D1294" s="90" t="str">
        <f t="shared" si="184"/>
        <v>août2022</v>
      </c>
      <c r="E1294" s="91" t="s">
        <v>1273</v>
      </c>
      <c r="F1294" s="91">
        <v>321</v>
      </c>
      <c r="G1294" s="94">
        <f t="shared" si="185"/>
        <v>0.32100000000000001</v>
      </c>
      <c r="H1294" s="92" t="s">
        <v>46</v>
      </c>
      <c r="I1294" s="96">
        <f t="shared" si="180"/>
        <v>0.3</v>
      </c>
      <c r="J1294" s="96">
        <f t="shared" si="181"/>
        <v>0.7</v>
      </c>
      <c r="K1294" s="92">
        <f>VLOOKUP(H1294,'Taux émission CO2e'!$A$5:$D$16,4,FALSE)</f>
        <v>0.16</v>
      </c>
      <c r="L1294" s="93">
        <f t="shared" si="186"/>
        <v>2.6770783680000001</v>
      </c>
      <c r="M1294" s="92">
        <f>VLOOKUP(H1294,'Taux émission CO2e'!$A$20:$D$31,4,FALSE)</f>
        <v>6.7400000000000002E-2</v>
      </c>
      <c r="N1294" s="105">
        <f t="shared" si="187"/>
        <v>2.63134494588</v>
      </c>
      <c r="O1294" s="93">
        <f t="shared" si="188"/>
        <v>5.3084233138800005</v>
      </c>
      <c r="P1294" s="92">
        <v>200</v>
      </c>
      <c r="Q1294" s="92" t="s">
        <v>58</v>
      </c>
      <c r="R1294" s="92" t="s">
        <v>485</v>
      </c>
      <c r="S1294" s="20">
        <v>173.74600000000001</v>
      </c>
    </row>
    <row r="1295" spans="1:19" x14ac:dyDescent="0.15">
      <c r="A1295" s="90">
        <v>44784</v>
      </c>
      <c r="B1295" s="90" t="str">
        <f t="shared" si="182"/>
        <v>août</v>
      </c>
      <c r="C1295" s="90" t="str">
        <f t="shared" si="183"/>
        <v>2022</v>
      </c>
      <c r="D1295" s="90" t="str">
        <f t="shared" si="184"/>
        <v>août2022</v>
      </c>
      <c r="E1295" s="91" t="s">
        <v>1274</v>
      </c>
      <c r="F1295" s="91">
        <v>532</v>
      </c>
      <c r="G1295" s="94">
        <f t="shared" si="185"/>
        <v>0.53200000000000003</v>
      </c>
      <c r="H1295" s="92" t="s">
        <v>46</v>
      </c>
      <c r="I1295" s="96">
        <f t="shared" si="180"/>
        <v>0.3</v>
      </c>
      <c r="J1295" s="96">
        <f t="shared" si="181"/>
        <v>0.7</v>
      </c>
      <c r="K1295" s="92">
        <f>VLOOKUP(H1295,'Taux émission CO2e'!$A$5:$D$16,4,FALSE)</f>
        <v>0.16</v>
      </c>
      <c r="L1295" s="93">
        <f t="shared" si="186"/>
        <v>6.5604792960000005</v>
      </c>
      <c r="M1295" s="92">
        <f>VLOOKUP(H1295,'Taux émission CO2e'!$A$20:$D$31,4,FALSE)</f>
        <v>6.7400000000000002E-2</v>
      </c>
      <c r="N1295" s="105">
        <f t="shared" si="187"/>
        <v>6.448404441360001</v>
      </c>
      <c r="O1295" s="93">
        <f t="shared" si="188"/>
        <v>13.008883737360001</v>
      </c>
      <c r="P1295" s="92">
        <v>300</v>
      </c>
      <c r="Q1295" s="92" t="s">
        <v>58</v>
      </c>
      <c r="R1295" s="92" t="s">
        <v>60</v>
      </c>
      <c r="S1295" s="20">
        <v>256.911</v>
      </c>
    </row>
    <row r="1296" spans="1:19" x14ac:dyDescent="0.15">
      <c r="A1296" s="90">
        <v>44785</v>
      </c>
      <c r="B1296" s="90" t="str">
        <f t="shared" si="182"/>
        <v>août</v>
      </c>
      <c r="C1296" s="90" t="str">
        <f t="shared" si="183"/>
        <v>2022</v>
      </c>
      <c r="D1296" s="90" t="str">
        <f t="shared" si="184"/>
        <v>août2022</v>
      </c>
      <c r="E1296" s="91" t="s">
        <v>1275</v>
      </c>
      <c r="F1296" s="91">
        <v>44</v>
      </c>
      <c r="G1296" s="94">
        <f t="shared" si="185"/>
        <v>4.3999999999999997E-2</v>
      </c>
      <c r="H1296" s="92" t="s">
        <v>45</v>
      </c>
      <c r="I1296" s="96">
        <f t="shared" si="180"/>
        <v>0.3</v>
      </c>
      <c r="J1296" s="96">
        <f t="shared" si="181"/>
        <v>0.7</v>
      </c>
      <c r="K1296" s="92">
        <f>VLOOKUP(H1296,'Taux émission CO2e'!$A$5:$D$16,4,FALSE)</f>
        <v>0.16</v>
      </c>
      <c r="L1296" s="93">
        <f t="shared" si="186"/>
        <v>6.0880511999999991E-2</v>
      </c>
      <c r="M1296" s="92">
        <f>VLOOKUP(H1296,'Taux émission CO2e'!$A$20:$D$31,4,FALSE)</f>
        <v>6.7400000000000002E-2</v>
      </c>
      <c r="N1296" s="105">
        <f t="shared" si="187"/>
        <v>5.9840469919999993E-2</v>
      </c>
      <c r="O1296" s="93">
        <f t="shared" si="188"/>
        <v>0.12072098191999998</v>
      </c>
      <c r="P1296" s="92">
        <v>80</v>
      </c>
      <c r="Q1296" s="92" t="s">
        <v>58</v>
      </c>
      <c r="R1296" s="92" t="s">
        <v>1276</v>
      </c>
      <c r="S1296" s="20">
        <v>28.826000000000001</v>
      </c>
    </row>
    <row r="1297" spans="1:19" x14ac:dyDescent="0.15">
      <c r="A1297" s="90">
        <v>44785</v>
      </c>
      <c r="B1297" s="90" t="str">
        <f t="shared" si="182"/>
        <v>août</v>
      </c>
      <c r="C1297" s="90" t="str">
        <f t="shared" si="183"/>
        <v>2022</v>
      </c>
      <c r="D1297" s="90" t="str">
        <f t="shared" si="184"/>
        <v>août2022</v>
      </c>
      <c r="E1297" s="91" t="s">
        <v>1277</v>
      </c>
      <c r="F1297" s="91">
        <v>257</v>
      </c>
      <c r="G1297" s="94">
        <f t="shared" si="185"/>
        <v>0.25700000000000001</v>
      </c>
      <c r="H1297" s="92" t="s">
        <v>46</v>
      </c>
      <c r="I1297" s="96">
        <f t="shared" si="180"/>
        <v>0.3</v>
      </c>
      <c r="J1297" s="96">
        <f t="shared" si="181"/>
        <v>0.7</v>
      </c>
      <c r="K1297" s="92">
        <f>VLOOKUP(H1297,'Taux émission CO2e'!$A$5:$D$16,4,FALSE)</f>
        <v>0.16</v>
      </c>
      <c r="L1297" s="93">
        <f t="shared" si="186"/>
        <v>4.6932928799999996</v>
      </c>
      <c r="M1297" s="92">
        <f>VLOOKUP(H1297,'Taux émission CO2e'!$A$20:$D$31,4,FALSE)</f>
        <v>6.7400000000000002E-2</v>
      </c>
      <c r="N1297" s="105">
        <f t="shared" si="187"/>
        <v>4.6131157933000004</v>
      </c>
      <c r="O1297" s="93">
        <f t="shared" si="188"/>
        <v>9.3064086733</v>
      </c>
      <c r="P1297" s="92">
        <v>130</v>
      </c>
      <c r="Q1297" s="92" t="s">
        <v>58</v>
      </c>
      <c r="R1297" s="92" t="s">
        <v>83</v>
      </c>
      <c r="S1297" s="20">
        <v>380.45499999999998</v>
      </c>
    </row>
    <row r="1298" spans="1:19" x14ac:dyDescent="0.15">
      <c r="A1298" s="90">
        <v>44785</v>
      </c>
      <c r="B1298" s="90" t="str">
        <f t="shared" si="182"/>
        <v>août</v>
      </c>
      <c r="C1298" s="90" t="str">
        <f t="shared" si="183"/>
        <v>2022</v>
      </c>
      <c r="D1298" s="90" t="str">
        <f t="shared" si="184"/>
        <v>août2022</v>
      </c>
      <c r="E1298" s="91" t="s">
        <v>1278</v>
      </c>
      <c r="F1298" s="91">
        <v>150</v>
      </c>
      <c r="G1298" s="94">
        <f t="shared" si="185"/>
        <v>0.15</v>
      </c>
      <c r="H1298" s="92" t="s">
        <v>45</v>
      </c>
      <c r="I1298" s="96">
        <f t="shared" si="180"/>
        <v>0.3</v>
      </c>
      <c r="J1298" s="96">
        <f t="shared" si="181"/>
        <v>0.7</v>
      </c>
      <c r="K1298" s="92">
        <f>VLOOKUP(H1298,'Taux émission CO2e'!$A$5:$D$16,4,FALSE)</f>
        <v>0.16</v>
      </c>
      <c r="L1298" s="93">
        <f t="shared" si="186"/>
        <v>5.4150624000000001</v>
      </c>
      <c r="M1298" s="92">
        <f>VLOOKUP(H1298,'Taux émission CO2e'!$A$20:$D$31,4,FALSE)</f>
        <v>6.7400000000000002E-2</v>
      </c>
      <c r="N1298" s="105">
        <f t="shared" si="187"/>
        <v>5.3225550840000002</v>
      </c>
      <c r="O1298" s="93">
        <f t="shared" si="188"/>
        <v>10.737617484000001</v>
      </c>
      <c r="P1298" s="92">
        <v>165</v>
      </c>
      <c r="Q1298" s="92" t="s">
        <v>73</v>
      </c>
      <c r="R1298" s="92" t="s">
        <v>55</v>
      </c>
      <c r="S1298" s="20">
        <v>752.09199999999998</v>
      </c>
    </row>
    <row r="1299" spans="1:19" x14ac:dyDescent="0.15">
      <c r="A1299" s="90">
        <v>44785</v>
      </c>
      <c r="B1299" s="90" t="str">
        <f t="shared" si="182"/>
        <v>août</v>
      </c>
      <c r="C1299" s="90" t="str">
        <f t="shared" si="183"/>
        <v>2022</v>
      </c>
      <c r="D1299" s="90" t="str">
        <f t="shared" si="184"/>
        <v>août2022</v>
      </c>
      <c r="E1299" s="91" t="s">
        <v>1279</v>
      </c>
      <c r="F1299" s="91">
        <v>300</v>
      </c>
      <c r="G1299" s="94">
        <f t="shared" si="185"/>
        <v>0.3</v>
      </c>
      <c r="H1299" s="92" t="s">
        <v>46</v>
      </c>
      <c r="I1299" s="96">
        <f t="shared" si="180"/>
        <v>0.3</v>
      </c>
      <c r="J1299" s="96">
        <f t="shared" si="181"/>
        <v>0.7</v>
      </c>
      <c r="K1299" s="92">
        <f>VLOOKUP(H1299,'Taux émission CO2e'!$A$5:$D$16,4,FALSE)</f>
        <v>0.16</v>
      </c>
      <c r="L1299" s="93">
        <f t="shared" si="186"/>
        <v>2.4943679999999997</v>
      </c>
      <c r="M1299" s="92">
        <f>VLOOKUP(H1299,'Taux émission CO2e'!$A$20:$D$31,4,FALSE)</f>
        <v>6.7400000000000002E-2</v>
      </c>
      <c r="N1299" s="105">
        <f t="shared" si="187"/>
        <v>2.4517558799999999</v>
      </c>
      <c r="O1299" s="93">
        <f t="shared" si="188"/>
        <v>4.94612388</v>
      </c>
      <c r="P1299" s="92">
        <v>200</v>
      </c>
      <c r="Q1299" s="92" t="s">
        <v>708</v>
      </c>
      <c r="R1299" s="92" t="s">
        <v>55</v>
      </c>
      <c r="S1299" s="20">
        <v>173.22</v>
      </c>
    </row>
    <row r="1300" spans="1:19" x14ac:dyDescent="0.15">
      <c r="A1300" s="90">
        <v>44785</v>
      </c>
      <c r="B1300" s="90" t="str">
        <f t="shared" si="182"/>
        <v>août</v>
      </c>
      <c r="C1300" s="90" t="str">
        <f t="shared" si="183"/>
        <v>2022</v>
      </c>
      <c r="D1300" s="90" t="str">
        <f t="shared" si="184"/>
        <v>août2022</v>
      </c>
      <c r="E1300" s="91" t="s">
        <v>1280</v>
      </c>
      <c r="F1300" s="91">
        <v>300</v>
      </c>
      <c r="G1300" s="94">
        <f t="shared" si="185"/>
        <v>0.3</v>
      </c>
      <c r="H1300" s="92" t="s">
        <v>46</v>
      </c>
      <c r="I1300" s="96">
        <f t="shared" si="180"/>
        <v>0.3</v>
      </c>
      <c r="J1300" s="96">
        <f t="shared" si="181"/>
        <v>0.7</v>
      </c>
      <c r="K1300" s="92">
        <f>VLOOKUP(H1300,'Taux émission CO2e'!$A$5:$D$16,4,FALSE)</f>
        <v>0.16</v>
      </c>
      <c r="L1300" s="93">
        <f t="shared" si="186"/>
        <v>3.7158191999999999</v>
      </c>
      <c r="M1300" s="92">
        <f>VLOOKUP(H1300,'Taux émission CO2e'!$A$20:$D$31,4,FALSE)</f>
        <v>6.7400000000000002E-2</v>
      </c>
      <c r="N1300" s="105">
        <f t="shared" si="187"/>
        <v>3.6523406220000001</v>
      </c>
      <c r="O1300" s="93">
        <f t="shared" si="188"/>
        <v>7.368159822</v>
      </c>
      <c r="P1300" s="92">
        <v>260</v>
      </c>
      <c r="Q1300" s="92" t="s">
        <v>102</v>
      </c>
      <c r="R1300" s="92" t="s">
        <v>55</v>
      </c>
      <c r="S1300" s="20">
        <v>258.04300000000001</v>
      </c>
    </row>
    <row r="1301" spans="1:19" x14ac:dyDescent="0.15">
      <c r="A1301" s="90">
        <v>44785</v>
      </c>
      <c r="B1301" s="90" t="str">
        <f t="shared" si="182"/>
        <v>août</v>
      </c>
      <c r="C1301" s="90" t="str">
        <f t="shared" si="183"/>
        <v>2022</v>
      </c>
      <c r="D1301" s="90" t="str">
        <f t="shared" si="184"/>
        <v>août2022</v>
      </c>
      <c r="E1301" s="91" t="s">
        <v>1281</v>
      </c>
      <c r="F1301" s="91">
        <v>450</v>
      </c>
      <c r="G1301" s="94">
        <f t="shared" si="185"/>
        <v>0.45</v>
      </c>
      <c r="H1301" s="92" t="s">
        <v>46</v>
      </c>
      <c r="I1301" s="96">
        <f t="shared" si="180"/>
        <v>0.3</v>
      </c>
      <c r="J1301" s="96">
        <f t="shared" si="181"/>
        <v>0.7</v>
      </c>
      <c r="K1301" s="92">
        <f>VLOOKUP(H1301,'Taux émission CO2e'!$A$5:$D$16,4,FALSE)</f>
        <v>0.16</v>
      </c>
      <c r="L1301" s="93">
        <f t="shared" si="186"/>
        <v>11.667995999999999</v>
      </c>
      <c r="M1301" s="92">
        <f>VLOOKUP(H1301,'Taux émission CO2e'!$A$20:$D$31,4,FALSE)</f>
        <v>6.7400000000000002E-2</v>
      </c>
      <c r="N1301" s="105">
        <f t="shared" si="187"/>
        <v>11.468667734999999</v>
      </c>
      <c r="O1301" s="93">
        <f t="shared" si="188"/>
        <v>23.136663734999999</v>
      </c>
      <c r="P1301" s="92">
        <v>340</v>
      </c>
      <c r="Q1301" s="92" t="s">
        <v>52</v>
      </c>
      <c r="R1301" s="92" t="s">
        <v>53</v>
      </c>
      <c r="S1301" s="20">
        <v>540.18499999999995</v>
      </c>
    </row>
    <row r="1302" spans="1:19" x14ac:dyDescent="0.15">
      <c r="A1302" s="90">
        <v>44785</v>
      </c>
      <c r="B1302" s="90" t="str">
        <f t="shared" si="182"/>
        <v>août</v>
      </c>
      <c r="C1302" s="90" t="str">
        <f t="shared" si="183"/>
        <v>2022</v>
      </c>
      <c r="D1302" s="90" t="str">
        <f t="shared" si="184"/>
        <v>août2022</v>
      </c>
      <c r="E1302" s="91" t="s">
        <v>1282</v>
      </c>
      <c r="F1302" s="91">
        <v>650</v>
      </c>
      <c r="G1302" s="94">
        <f t="shared" si="185"/>
        <v>0.65</v>
      </c>
      <c r="H1302" s="92" t="s">
        <v>45</v>
      </c>
      <c r="I1302" s="96">
        <f t="shared" si="180"/>
        <v>0.3</v>
      </c>
      <c r="J1302" s="96">
        <f t="shared" si="181"/>
        <v>0.7</v>
      </c>
      <c r="K1302" s="92">
        <f>VLOOKUP(H1302,'Taux émission CO2e'!$A$5:$D$16,4,FALSE)</f>
        <v>0.16</v>
      </c>
      <c r="L1302" s="93">
        <f t="shared" si="186"/>
        <v>23.934986400000003</v>
      </c>
      <c r="M1302" s="92">
        <f>VLOOKUP(H1302,'Taux émission CO2e'!$A$20:$D$31,4,FALSE)</f>
        <v>6.7400000000000002E-2</v>
      </c>
      <c r="N1302" s="105">
        <f t="shared" si="187"/>
        <v>23.526097049000001</v>
      </c>
      <c r="O1302" s="93">
        <f t="shared" si="188"/>
        <v>47.461083449</v>
      </c>
      <c r="P1302" s="92">
        <v>400</v>
      </c>
      <c r="Q1302" s="92" t="s">
        <v>635</v>
      </c>
      <c r="R1302" s="92" t="s">
        <v>55</v>
      </c>
      <c r="S1302" s="20">
        <v>767.14700000000005</v>
      </c>
    </row>
    <row r="1303" spans="1:19" x14ac:dyDescent="0.15">
      <c r="A1303" s="90">
        <v>44785</v>
      </c>
      <c r="B1303" s="90" t="str">
        <f t="shared" si="182"/>
        <v>août</v>
      </c>
      <c r="C1303" s="90" t="str">
        <f t="shared" si="183"/>
        <v>2022</v>
      </c>
      <c r="D1303" s="90" t="str">
        <f t="shared" si="184"/>
        <v>août2022</v>
      </c>
      <c r="E1303" s="91" t="s">
        <v>1283</v>
      </c>
      <c r="F1303" s="91">
        <v>750</v>
      </c>
      <c r="G1303" s="94">
        <f t="shared" si="185"/>
        <v>0.75</v>
      </c>
      <c r="H1303" s="92" t="s">
        <v>46</v>
      </c>
      <c r="I1303" s="96">
        <f t="shared" si="180"/>
        <v>0.3</v>
      </c>
      <c r="J1303" s="96">
        <f t="shared" si="181"/>
        <v>0.7</v>
      </c>
      <c r="K1303" s="92">
        <f>VLOOKUP(H1303,'Taux émission CO2e'!$A$5:$D$16,4,FALSE)</f>
        <v>0.16</v>
      </c>
      <c r="L1303" s="93">
        <f t="shared" si="186"/>
        <v>26.643528</v>
      </c>
      <c r="M1303" s="92">
        <f>VLOOKUP(H1303,'Taux émission CO2e'!$A$20:$D$31,4,FALSE)</f>
        <v>6.7400000000000002E-2</v>
      </c>
      <c r="N1303" s="105">
        <f t="shared" si="187"/>
        <v>26.18836773</v>
      </c>
      <c r="O1303" s="93">
        <f t="shared" si="188"/>
        <v>52.831895729999999</v>
      </c>
      <c r="P1303" s="92">
        <v>470</v>
      </c>
      <c r="Q1303" s="92" t="s">
        <v>473</v>
      </c>
      <c r="R1303" s="92" t="s">
        <v>55</v>
      </c>
      <c r="S1303" s="20">
        <v>740.09799999999996</v>
      </c>
    </row>
    <row r="1304" spans="1:19" x14ac:dyDescent="0.15">
      <c r="A1304" s="90">
        <v>44789</v>
      </c>
      <c r="B1304" s="90" t="str">
        <f t="shared" si="182"/>
        <v>août</v>
      </c>
      <c r="C1304" s="90" t="str">
        <f t="shared" si="183"/>
        <v>2022</v>
      </c>
      <c r="D1304" s="90" t="str">
        <f t="shared" si="184"/>
        <v>août2022</v>
      </c>
      <c r="E1304" s="91" t="s">
        <v>1284</v>
      </c>
      <c r="F1304" s="91">
        <v>320</v>
      </c>
      <c r="G1304" s="94">
        <f t="shared" si="185"/>
        <v>0.32</v>
      </c>
      <c r="H1304" s="92" t="s">
        <v>46</v>
      </c>
      <c r="I1304" s="96">
        <f t="shared" si="180"/>
        <v>0.3</v>
      </c>
      <c r="J1304" s="96">
        <f t="shared" si="181"/>
        <v>0.7</v>
      </c>
      <c r="K1304" s="92">
        <f>VLOOKUP(H1304,'Taux émission CO2e'!$A$5:$D$16,4,FALSE)</f>
        <v>0.16</v>
      </c>
      <c r="L1304" s="93">
        <f t="shared" si="186"/>
        <v>2.8694630399999999</v>
      </c>
      <c r="M1304" s="92">
        <f>VLOOKUP(H1304,'Taux émission CO2e'!$A$20:$D$31,4,FALSE)</f>
        <v>6.7400000000000002E-2</v>
      </c>
      <c r="N1304" s="105">
        <f t="shared" si="187"/>
        <v>2.8204430463999999</v>
      </c>
      <c r="O1304" s="93">
        <f t="shared" si="188"/>
        <v>5.6899060863999997</v>
      </c>
      <c r="P1304" s="92">
        <v>140</v>
      </c>
      <c r="Q1304" s="92" t="s">
        <v>688</v>
      </c>
      <c r="R1304" s="92" t="s">
        <v>55</v>
      </c>
      <c r="S1304" s="20">
        <v>186.81399999999999</v>
      </c>
    </row>
    <row r="1305" spans="1:19" x14ac:dyDescent="0.15">
      <c r="A1305" s="90">
        <v>44789</v>
      </c>
      <c r="B1305" s="90" t="str">
        <f t="shared" si="182"/>
        <v>août</v>
      </c>
      <c r="C1305" s="90" t="str">
        <f t="shared" si="183"/>
        <v>2022</v>
      </c>
      <c r="D1305" s="90" t="str">
        <f t="shared" si="184"/>
        <v>août2022</v>
      </c>
      <c r="E1305" s="91" t="s">
        <v>1285</v>
      </c>
      <c r="F1305" s="91">
        <v>400</v>
      </c>
      <c r="G1305" s="94">
        <f t="shared" si="185"/>
        <v>0.4</v>
      </c>
      <c r="H1305" s="92" t="s">
        <v>45</v>
      </c>
      <c r="I1305" s="96">
        <f t="shared" si="180"/>
        <v>0.3</v>
      </c>
      <c r="J1305" s="96">
        <f t="shared" si="181"/>
        <v>0.7</v>
      </c>
      <c r="K1305" s="92">
        <f>VLOOKUP(H1305,'Taux émission CO2e'!$A$5:$D$16,4,FALSE)</f>
        <v>0.16</v>
      </c>
      <c r="L1305" s="93">
        <f t="shared" si="186"/>
        <v>5.347142400000001</v>
      </c>
      <c r="M1305" s="92">
        <f>VLOOKUP(H1305,'Taux émission CO2e'!$A$20:$D$31,4,FALSE)</f>
        <v>6.7400000000000002E-2</v>
      </c>
      <c r="N1305" s="105">
        <f t="shared" si="187"/>
        <v>5.2557953839999998</v>
      </c>
      <c r="O1305" s="93">
        <f t="shared" si="188"/>
        <v>10.602937784000002</v>
      </c>
      <c r="P1305" s="92">
        <v>158</v>
      </c>
      <c r="Q1305" s="92" t="s">
        <v>90</v>
      </c>
      <c r="R1305" s="92" t="s">
        <v>55</v>
      </c>
      <c r="S1305" s="20">
        <v>278.49700000000001</v>
      </c>
    </row>
    <row r="1306" spans="1:19" x14ac:dyDescent="0.15">
      <c r="A1306" s="90">
        <v>44789</v>
      </c>
      <c r="B1306" s="90" t="str">
        <f t="shared" si="182"/>
        <v>août</v>
      </c>
      <c r="C1306" s="90" t="str">
        <f t="shared" si="183"/>
        <v>2022</v>
      </c>
      <c r="D1306" s="90" t="str">
        <f t="shared" si="184"/>
        <v>août2022</v>
      </c>
      <c r="E1306" s="91" t="s">
        <v>1286</v>
      </c>
      <c r="F1306" s="91">
        <v>300</v>
      </c>
      <c r="G1306" s="94">
        <f t="shared" si="185"/>
        <v>0.3</v>
      </c>
      <c r="H1306" s="92" t="s">
        <v>45</v>
      </c>
      <c r="I1306" s="96">
        <f t="shared" si="180"/>
        <v>0.3</v>
      </c>
      <c r="J1306" s="96">
        <f t="shared" si="181"/>
        <v>0.7</v>
      </c>
      <c r="K1306" s="92">
        <f>VLOOKUP(H1306,'Taux émission CO2e'!$A$5:$D$16,4,FALSE)</f>
        <v>0.16</v>
      </c>
      <c r="L1306" s="93">
        <f t="shared" si="186"/>
        <v>5.6025071999999998</v>
      </c>
      <c r="M1306" s="92">
        <f>VLOOKUP(H1306,'Taux émission CO2e'!$A$20:$D$31,4,FALSE)</f>
        <v>6.7400000000000002E-2</v>
      </c>
      <c r="N1306" s="105">
        <f t="shared" si="187"/>
        <v>5.5067977020000001</v>
      </c>
      <c r="O1306" s="93">
        <f t="shared" si="188"/>
        <v>11.109304902</v>
      </c>
      <c r="P1306" s="92">
        <v>160</v>
      </c>
      <c r="Q1306" s="92" t="s">
        <v>842</v>
      </c>
      <c r="R1306" s="92" t="s">
        <v>55</v>
      </c>
      <c r="S1306" s="20">
        <v>389.06299999999999</v>
      </c>
    </row>
    <row r="1307" spans="1:19" x14ac:dyDescent="0.15">
      <c r="A1307" s="90">
        <v>44789</v>
      </c>
      <c r="B1307" s="90" t="str">
        <f t="shared" si="182"/>
        <v>août</v>
      </c>
      <c r="C1307" s="90" t="str">
        <f t="shared" si="183"/>
        <v>2022</v>
      </c>
      <c r="D1307" s="90" t="str">
        <f t="shared" si="184"/>
        <v>août2022</v>
      </c>
      <c r="E1307" s="91" t="s">
        <v>1287</v>
      </c>
      <c r="F1307" s="91">
        <v>342</v>
      </c>
      <c r="G1307" s="94">
        <f t="shared" si="185"/>
        <v>0.34200000000000003</v>
      </c>
      <c r="H1307" s="92" t="s">
        <v>46</v>
      </c>
      <c r="I1307" s="96">
        <f t="shared" si="180"/>
        <v>0.3</v>
      </c>
      <c r="J1307" s="96">
        <f t="shared" si="181"/>
        <v>0.7</v>
      </c>
      <c r="K1307" s="92">
        <f>VLOOKUP(H1307,'Taux émission CO2e'!$A$5:$D$16,4,FALSE)</f>
        <v>0.16</v>
      </c>
      <c r="L1307" s="93">
        <f t="shared" si="186"/>
        <v>13.746971808</v>
      </c>
      <c r="M1307" s="92">
        <f>VLOOKUP(H1307,'Taux émission CO2e'!$A$20:$D$31,4,FALSE)</f>
        <v>6.7400000000000002E-2</v>
      </c>
      <c r="N1307" s="105">
        <f t="shared" si="187"/>
        <v>13.512127706280001</v>
      </c>
      <c r="O1307" s="93">
        <f t="shared" si="188"/>
        <v>27.259099514280003</v>
      </c>
      <c r="P1307" s="92">
        <v>210</v>
      </c>
      <c r="Q1307" s="92" t="s">
        <v>58</v>
      </c>
      <c r="R1307" s="92" t="s">
        <v>61</v>
      </c>
      <c r="S1307" s="20">
        <v>837.41300000000001</v>
      </c>
    </row>
    <row r="1308" spans="1:19" x14ac:dyDescent="0.15">
      <c r="A1308" s="90">
        <v>44789</v>
      </c>
      <c r="B1308" s="90" t="str">
        <f t="shared" si="182"/>
        <v>août</v>
      </c>
      <c r="C1308" s="90" t="str">
        <f t="shared" si="183"/>
        <v>2022</v>
      </c>
      <c r="D1308" s="90" t="str">
        <f t="shared" si="184"/>
        <v>août2022</v>
      </c>
      <c r="E1308" s="91" t="s">
        <v>1288</v>
      </c>
      <c r="F1308" s="91">
        <v>300</v>
      </c>
      <c r="G1308" s="94">
        <f t="shared" si="185"/>
        <v>0.3</v>
      </c>
      <c r="H1308" s="92" t="s">
        <v>45</v>
      </c>
      <c r="I1308" s="96">
        <f t="shared" si="180"/>
        <v>0.3</v>
      </c>
      <c r="J1308" s="96">
        <f t="shared" si="181"/>
        <v>0.7</v>
      </c>
      <c r="K1308" s="92">
        <f>VLOOKUP(H1308,'Taux émission CO2e'!$A$5:$D$16,4,FALSE)</f>
        <v>0.16</v>
      </c>
      <c r="L1308" s="93">
        <f t="shared" si="186"/>
        <v>7.4372256000000005</v>
      </c>
      <c r="M1308" s="92">
        <f>VLOOKUP(H1308,'Taux émission CO2e'!$A$20:$D$31,4,FALSE)</f>
        <v>6.7400000000000002E-2</v>
      </c>
      <c r="N1308" s="105">
        <f t="shared" si="187"/>
        <v>7.3101729960000004</v>
      </c>
      <c r="O1308" s="93">
        <f t="shared" si="188"/>
        <v>14.747398596</v>
      </c>
      <c r="P1308" s="92">
        <v>224</v>
      </c>
      <c r="Q1308" s="92" t="s">
        <v>52</v>
      </c>
      <c r="R1308" s="92" t="s">
        <v>55</v>
      </c>
      <c r="S1308" s="20">
        <v>516.47400000000005</v>
      </c>
    </row>
    <row r="1309" spans="1:19" x14ac:dyDescent="0.15">
      <c r="A1309" s="90">
        <v>44789</v>
      </c>
      <c r="B1309" s="90" t="str">
        <f t="shared" si="182"/>
        <v>août</v>
      </c>
      <c r="C1309" s="90" t="str">
        <f t="shared" si="183"/>
        <v>2022</v>
      </c>
      <c r="D1309" s="90" t="str">
        <f t="shared" si="184"/>
        <v>août2022</v>
      </c>
      <c r="E1309" s="91" t="s">
        <v>1289</v>
      </c>
      <c r="F1309" s="91">
        <v>425</v>
      </c>
      <c r="G1309" s="94">
        <f t="shared" si="185"/>
        <v>0.42499999999999999</v>
      </c>
      <c r="H1309" s="92" t="s">
        <v>46</v>
      </c>
      <c r="I1309" s="96">
        <f t="shared" si="180"/>
        <v>0.3</v>
      </c>
      <c r="J1309" s="96">
        <f t="shared" si="181"/>
        <v>0.7</v>
      </c>
      <c r="K1309" s="92">
        <f>VLOOKUP(H1309,'Taux émission CO2e'!$A$5:$D$16,4,FALSE)</f>
        <v>0.16</v>
      </c>
      <c r="L1309" s="93">
        <f t="shared" si="186"/>
        <v>15.3476748</v>
      </c>
      <c r="M1309" s="92">
        <f>VLOOKUP(H1309,'Taux émission CO2e'!$A$20:$D$31,4,FALSE)</f>
        <v>6.7400000000000002E-2</v>
      </c>
      <c r="N1309" s="105">
        <f t="shared" si="187"/>
        <v>15.085485355499999</v>
      </c>
      <c r="O1309" s="93">
        <f t="shared" si="188"/>
        <v>30.433160155499998</v>
      </c>
      <c r="P1309" s="92">
        <v>250</v>
      </c>
      <c r="Q1309" s="92" t="s">
        <v>58</v>
      </c>
      <c r="R1309" s="92" t="s">
        <v>85</v>
      </c>
      <c r="S1309" s="20">
        <v>752.33699999999999</v>
      </c>
    </row>
    <row r="1310" spans="1:19" x14ac:dyDescent="0.15">
      <c r="A1310" s="90">
        <v>44789</v>
      </c>
      <c r="B1310" s="90" t="str">
        <f t="shared" si="182"/>
        <v>août</v>
      </c>
      <c r="C1310" s="90" t="str">
        <f t="shared" si="183"/>
        <v>2022</v>
      </c>
      <c r="D1310" s="90" t="str">
        <f t="shared" si="184"/>
        <v>août2022</v>
      </c>
      <c r="E1310" s="91" t="s">
        <v>1290</v>
      </c>
      <c r="F1310" s="91">
        <v>450</v>
      </c>
      <c r="G1310" s="94">
        <f t="shared" si="185"/>
        <v>0.45</v>
      </c>
      <c r="H1310" s="92" t="s">
        <v>46</v>
      </c>
      <c r="I1310" s="96">
        <f t="shared" si="180"/>
        <v>0.3</v>
      </c>
      <c r="J1310" s="96">
        <f t="shared" si="181"/>
        <v>0.7</v>
      </c>
      <c r="K1310" s="92">
        <f>VLOOKUP(H1310,'Taux émission CO2e'!$A$5:$D$16,4,FALSE)</f>
        <v>0.16</v>
      </c>
      <c r="L1310" s="93">
        <f t="shared" si="186"/>
        <v>8.2206576000000009</v>
      </c>
      <c r="M1310" s="92">
        <f>VLOOKUP(H1310,'Taux émission CO2e'!$A$20:$D$31,4,FALSE)</f>
        <v>6.7400000000000002E-2</v>
      </c>
      <c r="N1310" s="105">
        <f t="shared" si="187"/>
        <v>8.080221366</v>
      </c>
      <c r="O1310" s="93">
        <f t="shared" si="188"/>
        <v>16.300878965999999</v>
      </c>
      <c r="P1310" s="92">
        <v>300</v>
      </c>
      <c r="Q1310" s="92" t="s">
        <v>91</v>
      </c>
      <c r="R1310" s="92" t="s">
        <v>55</v>
      </c>
      <c r="S1310" s="20">
        <v>380.58600000000001</v>
      </c>
    </row>
    <row r="1311" spans="1:19" x14ac:dyDescent="0.15">
      <c r="A1311" s="90">
        <v>44790</v>
      </c>
      <c r="B1311" s="90" t="str">
        <f t="shared" si="182"/>
        <v>août</v>
      </c>
      <c r="C1311" s="90" t="str">
        <f t="shared" si="183"/>
        <v>2022</v>
      </c>
      <c r="D1311" s="90" t="str">
        <f t="shared" si="184"/>
        <v>août2022</v>
      </c>
      <c r="E1311" s="91" t="s">
        <v>1291</v>
      </c>
      <c r="F1311" s="91">
        <v>105</v>
      </c>
      <c r="G1311" s="94">
        <f t="shared" si="185"/>
        <v>0.105</v>
      </c>
      <c r="H1311" s="92" t="s">
        <v>46</v>
      </c>
      <c r="I1311" s="96">
        <f t="shared" si="180"/>
        <v>0.3</v>
      </c>
      <c r="J1311" s="96">
        <f t="shared" si="181"/>
        <v>0.7</v>
      </c>
      <c r="K1311" s="92">
        <f>VLOOKUP(H1311,'Taux émission CO2e'!$A$5:$D$16,4,FALSE)</f>
        <v>0.16</v>
      </c>
      <c r="L1311" s="93">
        <f t="shared" si="186"/>
        <v>1.9174932</v>
      </c>
      <c r="M1311" s="92">
        <f>VLOOKUP(H1311,'Taux émission CO2e'!$A$20:$D$31,4,FALSE)</f>
        <v>6.7400000000000002E-2</v>
      </c>
      <c r="N1311" s="105">
        <f t="shared" si="187"/>
        <v>1.8847360244999998</v>
      </c>
      <c r="O1311" s="93">
        <f t="shared" si="188"/>
        <v>3.8022292244999996</v>
      </c>
      <c r="P1311" s="92">
        <v>135</v>
      </c>
      <c r="Q1311" s="92" t="s">
        <v>58</v>
      </c>
      <c r="R1311" s="92" t="s">
        <v>83</v>
      </c>
      <c r="S1311" s="20">
        <v>380.45499999999998</v>
      </c>
    </row>
    <row r="1312" spans="1:19" x14ac:dyDescent="0.15">
      <c r="A1312" s="90">
        <v>44790</v>
      </c>
      <c r="B1312" s="90" t="str">
        <f t="shared" si="182"/>
        <v>août</v>
      </c>
      <c r="C1312" s="90" t="str">
        <f t="shared" si="183"/>
        <v>2022</v>
      </c>
      <c r="D1312" s="90" t="str">
        <f t="shared" si="184"/>
        <v>août2022</v>
      </c>
      <c r="E1312" s="91" t="s">
        <v>1292</v>
      </c>
      <c r="F1312" s="91">
        <v>400</v>
      </c>
      <c r="G1312" s="94">
        <f t="shared" si="185"/>
        <v>0.4</v>
      </c>
      <c r="H1312" s="92" t="s">
        <v>45</v>
      </c>
      <c r="I1312" s="96">
        <f t="shared" si="180"/>
        <v>0.3</v>
      </c>
      <c r="J1312" s="96">
        <f t="shared" si="181"/>
        <v>0.7</v>
      </c>
      <c r="K1312" s="92">
        <f>VLOOKUP(H1312,'Taux émission CO2e'!$A$5:$D$16,4,FALSE)</f>
        <v>0.16</v>
      </c>
      <c r="L1312" s="93">
        <f t="shared" si="186"/>
        <v>0.8952384000000001</v>
      </c>
      <c r="M1312" s="92">
        <f>VLOOKUP(H1312,'Taux émission CO2e'!$A$20:$D$31,4,FALSE)</f>
        <v>6.7400000000000002E-2</v>
      </c>
      <c r="N1312" s="105">
        <f t="shared" si="187"/>
        <v>0.879944744</v>
      </c>
      <c r="O1312" s="93">
        <f t="shared" si="188"/>
        <v>1.7751831440000001</v>
      </c>
      <c r="P1312" s="92">
        <v>150</v>
      </c>
      <c r="Q1312" s="92" t="s">
        <v>58</v>
      </c>
      <c r="R1312" s="92" t="s">
        <v>421</v>
      </c>
      <c r="S1312" s="20">
        <v>46.627000000000002</v>
      </c>
    </row>
    <row r="1313" spans="1:19" x14ac:dyDescent="0.15">
      <c r="A1313" s="90">
        <v>44790</v>
      </c>
      <c r="B1313" s="90" t="str">
        <f t="shared" si="182"/>
        <v>août</v>
      </c>
      <c r="C1313" s="90" t="str">
        <f t="shared" si="183"/>
        <v>2022</v>
      </c>
      <c r="D1313" s="90" t="str">
        <f t="shared" si="184"/>
        <v>août2022</v>
      </c>
      <c r="E1313" s="91" t="s">
        <v>1293</v>
      </c>
      <c r="F1313" s="91">
        <v>150</v>
      </c>
      <c r="G1313" s="94">
        <f t="shared" si="185"/>
        <v>0.15</v>
      </c>
      <c r="H1313" s="92" t="s">
        <v>45</v>
      </c>
      <c r="I1313" s="96">
        <f t="shared" si="180"/>
        <v>0.3</v>
      </c>
      <c r="J1313" s="96">
        <f t="shared" si="181"/>
        <v>0.7</v>
      </c>
      <c r="K1313" s="92">
        <f>VLOOKUP(H1313,'Taux émission CO2e'!$A$5:$D$16,4,FALSE)</f>
        <v>0.16</v>
      </c>
      <c r="L1313" s="93">
        <f t="shared" si="186"/>
        <v>3.7013975999999995</v>
      </c>
      <c r="M1313" s="92">
        <f>VLOOKUP(H1313,'Taux émission CO2e'!$A$20:$D$31,4,FALSE)</f>
        <v>6.7400000000000002E-2</v>
      </c>
      <c r="N1313" s="105">
        <f t="shared" si="187"/>
        <v>3.6381653909999998</v>
      </c>
      <c r="O1313" s="93">
        <f t="shared" si="188"/>
        <v>7.3395629909999993</v>
      </c>
      <c r="P1313" s="92">
        <v>165</v>
      </c>
      <c r="Q1313" s="92" t="s">
        <v>1012</v>
      </c>
      <c r="R1313" s="92" t="s">
        <v>55</v>
      </c>
      <c r="S1313" s="20">
        <v>514.08299999999997</v>
      </c>
    </row>
    <row r="1314" spans="1:19" x14ac:dyDescent="0.15">
      <c r="A1314" s="90">
        <v>44791</v>
      </c>
      <c r="B1314" s="90" t="str">
        <f t="shared" si="182"/>
        <v>août</v>
      </c>
      <c r="C1314" s="90" t="str">
        <f t="shared" si="183"/>
        <v>2022</v>
      </c>
      <c r="D1314" s="90" t="str">
        <f t="shared" si="184"/>
        <v>août2022</v>
      </c>
      <c r="E1314" s="91" t="s">
        <v>1294</v>
      </c>
      <c r="F1314" s="91">
        <v>150</v>
      </c>
      <c r="G1314" s="94">
        <f t="shared" si="185"/>
        <v>0.15</v>
      </c>
      <c r="H1314" s="92" t="s">
        <v>45</v>
      </c>
      <c r="I1314" s="96">
        <f t="shared" si="180"/>
        <v>0.3</v>
      </c>
      <c r="J1314" s="96">
        <f t="shared" si="181"/>
        <v>0.7</v>
      </c>
      <c r="K1314" s="92">
        <f>VLOOKUP(H1314,'Taux émission CO2e'!$A$5:$D$16,4,FALSE)</f>
        <v>0.16</v>
      </c>
      <c r="L1314" s="93">
        <f t="shared" si="186"/>
        <v>0.4008024</v>
      </c>
      <c r="M1314" s="92">
        <f>VLOOKUP(H1314,'Taux émission CO2e'!$A$20:$D$31,4,FALSE)</f>
        <v>6.7400000000000002E-2</v>
      </c>
      <c r="N1314" s="105">
        <f t="shared" si="187"/>
        <v>0.393955359</v>
      </c>
      <c r="O1314" s="93">
        <f t="shared" si="188"/>
        <v>0.79475775900000001</v>
      </c>
      <c r="P1314" s="92">
        <v>80</v>
      </c>
      <c r="Q1314" s="92" t="s">
        <v>1004</v>
      </c>
      <c r="R1314" s="92" t="s">
        <v>55</v>
      </c>
      <c r="S1314" s="20">
        <v>55.667000000000002</v>
      </c>
    </row>
    <row r="1315" spans="1:19" x14ac:dyDescent="0.15">
      <c r="A1315" s="90">
        <v>44791</v>
      </c>
      <c r="B1315" s="90" t="str">
        <f t="shared" si="182"/>
        <v>août</v>
      </c>
      <c r="C1315" s="90" t="str">
        <f t="shared" si="183"/>
        <v>2022</v>
      </c>
      <c r="D1315" s="90" t="str">
        <f t="shared" si="184"/>
        <v>août2022</v>
      </c>
      <c r="E1315" s="91" t="s">
        <v>1295</v>
      </c>
      <c r="F1315" s="91">
        <v>300</v>
      </c>
      <c r="G1315" s="94">
        <f t="shared" si="185"/>
        <v>0.3</v>
      </c>
      <c r="H1315" s="92" t="s">
        <v>38</v>
      </c>
      <c r="I1315" s="96">
        <f t="shared" si="180"/>
        <v>1</v>
      </c>
      <c r="J1315" s="96">
        <f t="shared" si="181"/>
        <v>0</v>
      </c>
      <c r="K1315" s="92">
        <f>VLOOKUP(H1315,'Taux émission CO2e'!$A$5:$D$16,4,FALSE)</f>
        <v>0.24099999999999999</v>
      </c>
      <c r="L1315" s="93">
        <f t="shared" si="186"/>
        <v>2.4575492999999997</v>
      </c>
      <c r="M1315" s="92">
        <f>VLOOKUP(H1315,'Taux émission CO2e'!$A$20:$D$31,4,FALSE)</f>
        <v>0</v>
      </c>
      <c r="N1315" s="105">
        <f t="shared" si="187"/>
        <v>0</v>
      </c>
      <c r="O1315" s="93">
        <f t="shared" si="188"/>
        <v>2.4575492999999997</v>
      </c>
      <c r="P1315" s="92">
        <v>100</v>
      </c>
      <c r="Q1315" s="92" t="s">
        <v>67</v>
      </c>
      <c r="R1315" s="92" t="s">
        <v>55</v>
      </c>
      <c r="S1315" s="20">
        <v>33.991</v>
      </c>
    </row>
    <row r="1316" spans="1:19" x14ac:dyDescent="0.15">
      <c r="A1316" s="90">
        <v>44791</v>
      </c>
      <c r="B1316" s="90" t="str">
        <f t="shared" si="182"/>
        <v>août</v>
      </c>
      <c r="C1316" s="90" t="str">
        <f t="shared" si="183"/>
        <v>2022</v>
      </c>
      <c r="D1316" s="90" t="str">
        <f t="shared" si="184"/>
        <v>août2022</v>
      </c>
      <c r="E1316" s="91" t="s">
        <v>1296</v>
      </c>
      <c r="F1316" s="91">
        <v>320</v>
      </c>
      <c r="G1316" s="94">
        <f t="shared" si="185"/>
        <v>0.32</v>
      </c>
      <c r="H1316" s="92" t="s">
        <v>46</v>
      </c>
      <c r="I1316" s="96">
        <f t="shared" si="180"/>
        <v>0.3</v>
      </c>
      <c r="J1316" s="96">
        <f t="shared" si="181"/>
        <v>0.7</v>
      </c>
      <c r="K1316" s="92">
        <f>VLOOKUP(H1316,'Taux émission CO2e'!$A$5:$D$16,4,FALSE)</f>
        <v>0.16</v>
      </c>
      <c r="L1316" s="93">
        <f t="shared" si="186"/>
        <v>8.2792550400000007</v>
      </c>
      <c r="M1316" s="92">
        <f>VLOOKUP(H1316,'Taux émission CO2e'!$A$20:$D$31,4,FALSE)</f>
        <v>6.7400000000000002E-2</v>
      </c>
      <c r="N1316" s="105">
        <f t="shared" si="187"/>
        <v>8.1378177664000013</v>
      </c>
      <c r="O1316" s="93">
        <f t="shared" si="188"/>
        <v>16.4170728064</v>
      </c>
      <c r="P1316" s="92">
        <v>148</v>
      </c>
      <c r="Q1316" s="92" t="s">
        <v>58</v>
      </c>
      <c r="R1316" s="92" t="s">
        <v>405</v>
      </c>
      <c r="S1316" s="20">
        <v>539.01400000000001</v>
      </c>
    </row>
    <row r="1317" spans="1:19" x14ac:dyDescent="0.15">
      <c r="A1317" s="90">
        <v>44791</v>
      </c>
      <c r="B1317" s="90" t="str">
        <f t="shared" si="182"/>
        <v>août</v>
      </c>
      <c r="C1317" s="90" t="str">
        <f t="shared" si="183"/>
        <v>2022</v>
      </c>
      <c r="D1317" s="90" t="str">
        <f t="shared" si="184"/>
        <v>août2022</v>
      </c>
      <c r="E1317" s="91" t="s">
        <v>1297</v>
      </c>
      <c r="F1317" s="91">
        <v>150</v>
      </c>
      <c r="G1317" s="94">
        <f t="shared" si="185"/>
        <v>0.15</v>
      </c>
      <c r="H1317" s="92" t="s">
        <v>45</v>
      </c>
      <c r="I1317" s="96">
        <f t="shared" si="180"/>
        <v>0.3</v>
      </c>
      <c r="J1317" s="96">
        <f t="shared" si="181"/>
        <v>0.7</v>
      </c>
      <c r="K1317" s="92">
        <f>VLOOKUP(H1317,'Taux émission CO2e'!$A$5:$D$16,4,FALSE)</f>
        <v>0.16</v>
      </c>
      <c r="L1317" s="93">
        <f t="shared" si="186"/>
        <v>2.2767263999999998</v>
      </c>
      <c r="M1317" s="92">
        <f>VLOOKUP(H1317,'Taux émission CO2e'!$A$20:$D$31,4,FALSE)</f>
        <v>6.7400000000000002E-2</v>
      </c>
      <c r="N1317" s="105">
        <f t="shared" si="187"/>
        <v>2.2378323239999998</v>
      </c>
      <c r="O1317" s="93">
        <f t="shared" si="188"/>
        <v>4.5145587239999996</v>
      </c>
      <c r="P1317" s="92">
        <v>158</v>
      </c>
      <c r="Q1317" s="92" t="s">
        <v>1029</v>
      </c>
      <c r="R1317" s="92" t="s">
        <v>55</v>
      </c>
      <c r="S1317" s="20">
        <v>316.21199999999999</v>
      </c>
    </row>
    <row r="1318" spans="1:19" x14ac:dyDescent="0.15">
      <c r="A1318" s="90">
        <v>44791</v>
      </c>
      <c r="B1318" s="90" t="str">
        <f t="shared" si="182"/>
        <v>août</v>
      </c>
      <c r="C1318" s="90" t="str">
        <f t="shared" si="183"/>
        <v>2022</v>
      </c>
      <c r="D1318" s="90" t="str">
        <f t="shared" si="184"/>
        <v>août2022</v>
      </c>
      <c r="E1318" s="91" t="s">
        <v>1298</v>
      </c>
      <c r="F1318" s="91">
        <v>82</v>
      </c>
      <c r="G1318" s="94">
        <f t="shared" si="185"/>
        <v>8.2000000000000003E-2</v>
      </c>
      <c r="H1318" s="92" t="s">
        <v>46</v>
      </c>
      <c r="I1318" s="96">
        <f t="shared" si="180"/>
        <v>0.3</v>
      </c>
      <c r="J1318" s="96">
        <f t="shared" si="181"/>
        <v>0.7</v>
      </c>
      <c r="K1318" s="92">
        <f>VLOOKUP(H1318,'Taux émission CO2e'!$A$5:$D$16,4,FALSE)</f>
        <v>0.16</v>
      </c>
      <c r="L1318" s="93">
        <f t="shared" si="186"/>
        <v>2.9611984320000002</v>
      </c>
      <c r="M1318" s="92">
        <f>VLOOKUP(H1318,'Taux émission CO2e'!$A$20:$D$31,4,FALSE)</f>
        <v>6.7400000000000002E-2</v>
      </c>
      <c r="N1318" s="105">
        <f t="shared" si="187"/>
        <v>2.91061129212</v>
      </c>
      <c r="O1318" s="93">
        <f t="shared" si="188"/>
        <v>5.8718097241200002</v>
      </c>
      <c r="P1318" s="92">
        <v>159</v>
      </c>
      <c r="Q1318" s="92" t="s">
        <v>58</v>
      </c>
      <c r="R1318" s="92" t="s">
        <v>85</v>
      </c>
      <c r="S1318" s="20">
        <v>752.33699999999999</v>
      </c>
    </row>
    <row r="1319" spans="1:19" x14ac:dyDescent="0.15">
      <c r="A1319" s="90">
        <v>44791</v>
      </c>
      <c r="B1319" s="90" t="str">
        <f t="shared" si="182"/>
        <v>août</v>
      </c>
      <c r="C1319" s="90" t="str">
        <f t="shared" si="183"/>
        <v>2022</v>
      </c>
      <c r="D1319" s="90" t="str">
        <f t="shared" si="184"/>
        <v>août2022</v>
      </c>
      <c r="E1319" s="91" t="s">
        <v>1299</v>
      </c>
      <c r="F1319" s="91">
        <v>300</v>
      </c>
      <c r="G1319" s="94">
        <f t="shared" si="185"/>
        <v>0.3</v>
      </c>
      <c r="H1319" s="92" t="s">
        <v>45</v>
      </c>
      <c r="I1319" s="96">
        <f t="shared" si="180"/>
        <v>0.3</v>
      </c>
      <c r="J1319" s="96">
        <f t="shared" si="181"/>
        <v>0.7</v>
      </c>
      <c r="K1319" s="92">
        <f>VLOOKUP(H1319,'Taux émission CO2e'!$A$5:$D$16,4,FALSE)</f>
        <v>0.16</v>
      </c>
      <c r="L1319" s="93">
        <f t="shared" si="186"/>
        <v>3.8430431999999999</v>
      </c>
      <c r="M1319" s="92">
        <f>VLOOKUP(H1319,'Taux émission CO2e'!$A$20:$D$31,4,FALSE)</f>
        <v>6.7400000000000002E-2</v>
      </c>
      <c r="N1319" s="105">
        <f t="shared" si="187"/>
        <v>3.7773912119999999</v>
      </c>
      <c r="O1319" s="93">
        <f t="shared" si="188"/>
        <v>7.6204344119999998</v>
      </c>
      <c r="P1319" s="92">
        <v>193</v>
      </c>
      <c r="Q1319" s="92" t="s">
        <v>730</v>
      </c>
      <c r="R1319" s="92" t="s">
        <v>55</v>
      </c>
      <c r="S1319" s="20">
        <v>266.87799999999999</v>
      </c>
    </row>
    <row r="1320" spans="1:19" x14ac:dyDescent="0.15">
      <c r="A1320" s="90">
        <v>44791</v>
      </c>
      <c r="B1320" s="90" t="str">
        <f t="shared" si="182"/>
        <v>août</v>
      </c>
      <c r="C1320" s="90" t="str">
        <f t="shared" si="183"/>
        <v>2022</v>
      </c>
      <c r="D1320" s="90" t="str">
        <f t="shared" si="184"/>
        <v>août2022</v>
      </c>
      <c r="E1320" s="91" t="s">
        <v>1300</v>
      </c>
      <c r="F1320" s="91">
        <v>642</v>
      </c>
      <c r="G1320" s="94">
        <f t="shared" si="185"/>
        <v>0.64200000000000002</v>
      </c>
      <c r="H1320" s="92" t="s">
        <v>46</v>
      </c>
      <c r="I1320" s="96">
        <f t="shared" si="180"/>
        <v>0.3</v>
      </c>
      <c r="J1320" s="96">
        <f t="shared" si="181"/>
        <v>0.7</v>
      </c>
      <c r="K1320" s="92">
        <f>VLOOKUP(H1320,'Taux émission CO2e'!$A$5:$D$16,4,FALSE)</f>
        <v>0.16</v>
      </c>
      <c r="L1320" s="93">
        <f t="shared" si="186"/>
        <v>8.6499895679999987</v>
      </c>
      <c r="M1320" s="92">
        <f>VLOOKUP(H1320,'Taux émission CO2e'!$A$20:$D$31,4,FALSE)</f>
        <v>6.7400000000000002E-2</v>
      </c>
      <c r="N1320" s="105">
        <f t="shared" si="187"/>
        <v>8.5022189128800001</v>
      </c>
      <c r="O1320" s="93">
        <f t="shared" si="188"/>
        <v>17.152208480879999</v>
      </c>
      <c r="P1320" s="92">
        <v>234</v>
      </c>
      <c r="Q1320" s="92" t="s">
        <v>58</v>
      </c>
      <c r="R1320" s="92" t="s">
        <v>80</v>
      </c>
      <c r="S1320" s="20">
        <v>280.69799999999998</v>
      </c>
    </row>
    <row r="1321" spans="1:19" x14ac:dyDescent="0.15">
      <c r="A1321" s="90">
        <v>44792</v>
      </c>
      <c r="B1321" s="90" t="str">
        <f t="shared" si="182"/>
        <v>août</v>
      </c>
      <c r="C1321" s="90" t="str">
        <f t="shared" si="183"/>
        <v>2022</v>
      </c>
      <c r="D1321" s="90" t="str">
        <f t="shared" si="184"/>
        <v>août2022</v>
      </c>
      <c r="E1321" s="91" t="s">
        <v>1301</v>
      </c>
      <c r="F1321" s="91">
        <v>150</v>
      </c>
      <c r="G1321" s="94">
        <f t="shared" si="185"/>
        <v>0.15</v>
      </c>
      <c r="H1321" s="92" t="s">
        <v>45</v>
      </c>
      <c r="I1321" s="96">
        <f t="shared" si="180"/>
        <v>0.3</v>
      </c>
      <c r="J1321" s="96">
        <f t="shared" si="181"/>
        <v>0.7</v>
      </c>
      <c r="K1321" s="92">
        <f>VLOOKUP(H1321,'Taux émission CO2e'!$A$5:$D$16,4,FALSE)</f>
        <v>0.16</v>
      </c>
      <c r="L1321" s="93">
        <f t="shared" si="186"/>
        <v>0.33504479999999998</v>
      </c>
      <c r="M1321" s="92">
        <f>VLOOKUP(H1321,'Taux émission CO2e'!$A$20:$D$31,4,FALSE)</f>
        <v>6.7400000000000002E-2</v>
      </c>
      <c r="N1321" s="105">
        <f t="shared" si="187"/>
        <v>0.32932111799999997</v>
      </c>
      <c r="O1321" s="93">
        <f t="shared" si="188"/>
        <v>0.66436591799999989</v>
      </c>
      <c r="P1321" s="92">
        <v>90</v>
      </c>
      <c r="Q1321" s="92" t="s">
        <v>816</v>
      </c>
      <c r="R1321" s="92" t="s">
        <v>55</v>
      </c>
      <c r="S1321" s="20">
        <v>46.533999999999999</v>
      </c>
    </row>
    <row r="1322" spans="1:19" x14ac:dyDescent="0.15">
      <c r="A1322" s="90">
        <v>44792</v>
      </c>
      <c r="B1322" s="90" t="str">
        <f t="shared" si="182"/>
        <v>août</v>
      </c>
      <c r="C1322" s="90" t="str">
        <f t="shared" si="183"/>
        <v>2022</v>
      </c>
      <c r="D1322" s="90" t="str">
        <f t="shared" si="184"/>
        <v>août2022</v>
      </c>
      <c r="E1322" s="91" t="s">
        <v>1302</v>
      </c>
      <c r="F1322" s="91">
        <v>450</v>
      </c>
      <c r="G1322" s="94">
        <f t="shared" si="185"/>
        <v>0.45</v>
      </c>
      <c r="H1322" s="92" t="s">
        <v>45</v>
      </c>
      <c r="I1322" s="96">
        <f t="shared" si="180"/>
        <v>0.3</v>
      </c>
      <c r="J1322" s="96">
        <f t="shared" si="181"/>
        <v>0.7</v>
      </c>
      <c r="K1322" s="92">
        <f>VLOOKUP(H1322,'Taux émission CO2e'!$A$5:$D$16,4,FALSE)</f>
        <v>0.16</v>
      </c>
      <c r="L1322" s="93">
        <f t="shared" si="186"/>
        <v>6.0155352000000004</v>
      </c>
      <c r="M1322" s="92">
        <f>VLOOKUP(H1322,'Taux émission CO2e'!$A$20:$D$31,4,FALSE)</f>
        <v>6.7400000000000002E-2</v>
      </c>
      <c r="N1322" s="105">
        <f t="shared" si="187"/>
        <v>5.9127698070000001</v>
      </c>
      <c r="O1322" s="93">
        <f t="shared" si="188"/>
        <v>11.928305007000001</v>
      </c>
      <c r="P1322" s="92">
        <v>206</v>
      </c>
      <c r="Q1322" s="92" t="s">
        <v>90</v>
      </c>
      <c r="R1322" s="92" t="s">
        <v>55</v>
      </c>
      <c r="S1322" s="20">
        <v>278.49700000000001</v>
      </c>
    </row>
    <row r="1323" spans="1:19" x14ac:dyDescent="0.15">
      <c r="A1323" s="90">
        <v>44792</v>
      </c>
      <c r="B1323" s="90" t="str">
        <f t="shared" si="182"/>
        <v>août</v>
      </c>
      <c r="C1323" s="90" t="str">
        <f t="shared" si="183"/>
        <v>2022</v>
      </c>
      <c r="D1323" s="90" t="str">
        <f t="shared" si="184"/>
        <v>août2022</v>
      </c>
      <c r="E1323" s="91" t="s">
        <v>1303</v>
      </c>
      <c r="F1323" s="91">
        <v>685</v>
      </c>
      <c r="G1323" s="94">
        <f t="shared" si="185"/>
        <v>0.68500000000000005</v>
      </c>
      <c r="H1323" s="92" t="s">
        <v>46</v>
      </c>
      <c r="I1323" s="96">
        <f t="shared" si="180"/>
        <v>0.3</v>
      </c>
      <c r="J1323" s="96">
        <f t="shared" si="181"/>
        <v>0.7</v>
      </c>
      <c r="K1323" s="92">
        <f>VLOOKUP(H1323,'Taux émission CO2e'!$A$5:$D$16,4,FALSE)</f>
        <v>0.16</v>
      </c>
      <c r="L1323" s="93">
        <f t="shared" si="186"/>
        <v>8.180445360000002</v>
      </c>
      <c r="M1323" s="92">
        <f>VLOOKUP(H1323,'Taux émission CO2e'!$A$20:$D$31,4,FALSE)</f>
        <v>6.7400000000000002E-2</v>
      </c>
      <c r="N1323" s="105">
        <f t="shared" si="187"/>
        <v>8.0406960851000004</v>
      </c>
      <c r="O1323" s="93">
        <f t="shared" si="188"/>
        <v>16.221141445100002</v>
      </c>
      <c r="P1323" s="92">
        <v>245</v>
      </c>
      <c r="Q1323" s="92" t="s">
        <v>58</v>
      </c>
      <c r="R1323" s="92" t="s">
        <v>82</v>
      </c>
      <c r="S1323" s="20">
        <v>248.797</v>
      </c>
    </row>
    <row r="1324" spans="1:19" x14ac:dyDescent="0.15">
      <c r="A1324" s="90">
        <v>44792</v>
      </c>
      <c r="B1324" s="90" t="str">
        <f t="shared" si="182"/>
        <v>août</v>
      </c>
      <c r="C1324" s="90" t="str">
        <f t="shared" si="183"/>
        <v>2022</v>
      </c>
      <c r="D1324" s="90" t="str">
        <f t="shared" si="184"/>
        <v>août2022</v>
      </c>
      <c r="E1324" s="91" t="s">
        <v>1304</v>
      </c>
      <c r="F1324" s="91">
        <v>492</v>
      </c>
      <c r="G1324" s="94">
        <f t="shared" si="185"/>
        <v>0.49199999999999999</v>
      </c>
      <c r="H1324" s="92" t="s">
        <v>46</v>
      </c>
      <c r="I1324" s="96">
        <f t="shared" si="180"/>
        <v>0.3</v>
      </c>
      <c r="J1324" s="96">
        <f t="shared" si="181"/>
        <v>0.7</v>
      </c>
      <c r="K1324" s="92">
        <f>VLOOKUP(H1324,'Taux émission CO2e'!$A$5:$D$16,4,FALSE)</f>
        <v>0.16</v>
      </c>
      <c r="L1324" s="93">
        <f t="shared" si="186"/>
        <v>12.729354624000001</v>
      </c>
      <c r="M1324" s="92">
        <f>VLOOKUP(H1324,'Taux émission CO2e'!$A$20:$D$31,4,FALSE)</f>
        <v>6.7400000000000002E-2</v>
      </c>
      <c r="N1324" s="105">
        <f t="shared" si="187"/>
        <v>12.51189481584</v>
      </c>
      <c r="O1324" s="93">
        <f t="shared" si="188"/>
        <v>25.241249439840001</v>
      </c>
      <c r="P1324" s="92">
        <v>260</v>
      </c>
      <c r="Q1324" s="92" t="s">
        <v>58</v>
      </c>
      <c r="R1324" s="92" t="s">
        <v>405</v>
      </c>
      <c r="S1324" s="20">
        <v>539.01400000000001</v>
      </c>
    </row>
    <row r="1325" spans="1:19" x14ac:dyDescent="0.15">
      <c r="A1325" s="90">
        <v>44792</v>
      </c>
      <c r="B1325" s="90" t="str">
        <f t="shared" si="182"/>
        <v>août</v>
      </c>
      <c r="C1325" s="90" t="str">
        <f t="shared" si="183"/>
        <v>2022</v>
      </c>
      <c r="D1325" s="90" t="str">
        <f t="shared" si="184"/>
        <v>août2022</v>
      </c>
      <c r="E1325" s="91" t="s">
        <v>1305</v>
      </c>
      <c r="F1325" s="91">
        <v>600</v>
      </c>
      <c r="G1325" s="94">
        <f t="shared" si="185"/>
        <v>0.6</v>
      </c>
      <c r="H1325" s="92" t="s">
        <v>46</v>
      </c>
      <c r="I1325" s="96">
        <f t="shared" si="180"/>
        <v>0.3</v>
      </c>
      <c r="J1325" s="96">
        <f t="shared" si="181"/>
        <v>0.7</v>
      </c>
      <c r="K1325" s="92">
        <f>VLOOKUP(H1325,'Taux émission CO2e'!$A$5:$D$16,4,FALSE)</f>
        <v>0.16</v>
      </c>
      <c r="L1325" s="93">
        <f t="shared" si="186"/>
        <v>21.314822399999997</v>
      </c>
      <c r="M1325" s="92">
        <f>VLOOKUP(H1325,'Taux émission CO2e'!$A$20:$D$31,4,FALSE)</f>
        <v>6.7400000000000002E-2</v>
      </c>
      <c r="N1325" s="105">
        <f t="shared" si="187"/>
        <v>20.950694184</v>
      </c>
      <c r="O1325" s="93">
        <f t="shared" si="188"/>
        <v>42.265516583999997</v>
      </c>
      <c r="P1325" s="92">
        <v>470</v>
      </c>
      <c r="Q1325" s="92" t="s">
        <v>473</v>
      </c>
      <c r="R1325" s="92" t="s">
        <v>55</v>
      </c>
      <c r="S1325" s="20">
        <v>740.09799999999996</v>
      </c>
    </row>
    <row r="1326" spans="1:19" x14ac:dyDescent="0.15">
      <c r="A1326" s="90">
        <v>44795</v>
      </c>
      <c r="B1326" s="90" t="str">
        <f t="shared" si="182"/>
        <v>août</v>
      </c>
      <c r="C1326" s="90" t="str">
        <f t="shared" si="183"/>
        <v>2022</v>
      </c>
      <c r="D1326" s="90" t="str">
        <f t="shared" si="184"/>
        <v>août2022</v>
      </c>
      <c r="E1326" s="91" t="s">
        <v>1306</v>
      </c>
      <c r="F1326" s="91">
        <v>150</v>
      </c>
      <c r="G1326" s="94">
        <f t="shared" si="185"/>
        <v>0.15</v>
      </c>
      <c r="H1326" s="92" t="s">
        <v>46</v>
      </c>
      <c r="I1326" s="96">
        <f t="shared" si="180"/>
        <v>0.3</v>
      </c>
      <c r="J1326" s="96">
        <f t="shared" si="181"/>
        <v>0.7</v>
      </c>
      <c r="K1326" s="92">
        <f>VLOOKUP(H1326,'Taux émission CO2e'!$A$5:$D$16,4,FALSE)</f>
        <v>0.16</v>
      </c>
      <c r="L1326" s="93">
        <f t="shared" si="186"/>
        <v>1.2471839999999998</v>
      </c>
      <c r="M1326" s="92">
        <f>VLOOKUP(H1326,'Taux émission CO2e'!$A$20:$D$31,4,FALSE)</f>
        <v>6.7400000000000002E-2</v>
      </c>
      <c r="N1326" s="105">
        <f t="shared" si="187"/>
        <v>1.2258779399999999</v>
      </c>
      <c r="O1326" s="93">
        <f t="shared" si="188"/>
        <v>2.47306194</v>
      </c>
      <c r="P1326" s="92">
        <v>140</v>
      </c>
      <c r="Q1326" s="92" t="s">
        <v>708</v>
      </c>
      <c r="R1326" s="92" t="s">
        <v>55</v>
      </c>
      <c r="S1326" s="20">
        <v>173.22</v>
      </c>
    </row>
    <row r="1327" spans="1:19" x14ac:dyDescent="0.15">
      <c r="A1327" s="90">
        <v>44795</v>
      </c>
      <c r="B1327" s="90" t="str">
        <f t="shared" si="182"/>
        <v>août</v>
      </c>
      <c r="C1327" s="90" t="str">
        <f t="shared" si="183"/>
        <v>2022</v>
      </c>
      <c r="D1327" s="90" t="str">
        <f t="shared" si="184"/>
        <v>août2022</v>
      </c>
      <c r="E1327" s="91" t="s">
        <v>1307</v>
      </c>
      <c r="F1327" s="91">
        <v>150</v>
      </c>
      <c r="G1327" s="94">
        <f t="shared" si="185"/>
        <v>0.15</v>
      </c>
      <c r="H1327" s="92" t="s">
        <v>46</v>
      </c>
      <c r="I1327" s="96">
        <f t="shared" si="180"/>
        <v>0.3</v>
      </c>
      <c r="J1327" s="96">
        <f t="shared" si="181"/>
        <v>0.7</v>
      </c>
      <c r="K1327" s="92">
        <f>VLOOKUP(H1327,'Taux émission CO2e'!$A$5:$D$16,4,FALSE)</f>
        <v>0.16</v>
      </c>
      <c r="L1327" s="93">
        <f t="shared" si="186"/>
        <v>2.7402191999999999</v>
      </c>
      <c r="M1327" s="92">
        <f>VLOOKUP(H1327,'Taux émission CO2e'!$A$20:$D$31,4,FALSE)</f>
        <v>6.7400000000000002E-2</v>
      </c>
      <c r="N1327" s="105">
        <f t="shared" si="187"/>
        <v>2.693407122</v>
      </c>
      <c r="O1327" s="93">
        <f t="shared" si="188"/>
        <v>5.4336263220000003</v>
      </c>
      <c r="P1327" s="92">
        <v>165</v>
      </c>
      <c r="Q1327" s="92" t="s">
        <v>91</v>
      </c>
      <c r="R1327" s="92" t="s">
        <v>55</v>
      </c>
      <c r="S1327" s="20">
        <v>380.58600000000001</v>
      </c>
    </row>
    <row r="1328" spans="1:19" x14ac:dyDescent="0.15">
      <c r="A1328" s="90">
        <v>44795</v>
      </c>
      <c r="B1328" s="90" t="str">
        <f t="shared" si="182"/>
        <v>août</v>
      </c>
      <c r="C1328" s="90" t="str">
        <f t="shared" si="183"/>
        <v>2022</v>
      </c>
      <c r="D1328" s="90" t="str">
        <f t="shared" si="184"/>
        <v>août2022</v>
      </c>
      <c r="E1328" s="91" t="s">
        <v>1308</v>
      </c>
      <c r="F1328" s="91">
        <v>300</v>
      </c>
      <c r="G1328" s="94">
        <f t="shared" si="185"/>
        <v>0.3</v>
      </c>
      <c r="H1328" s="92" t="s">
        <v>45</v>
      </c>
      <c r="I1328" s="96">
        <f t="shared" si="180"/>
        <v>0.3</v>
      </c>
      <c r="J1328" s="96">
        <f t="shared" si="181"/>
        <v>0.7</v>
      </c>
      <c r="K1328" s="92">
        <f>VLOOKUP(H1328,'Taux émission CO2e'!$A$5:$D$16,4,FALSE)</f>
        <v>0.16</v>
      </c>
      <c r="L1328" s="93">
        <f t="shared" si="186"/>
        <v>7.4372256000000005</v>
      </c>
      <c r="M1328" s="92">
        <f>VLOOKUP(H1328,'Taux émission CO2e'!$A$20:$D$31,4,FALSE)</f>
        <v>6.7400000000000002E-2</v>
      </c>
      <c r="N1328" s="105">
        <f t="shared" si="187"/>
        <v>7.3101729960000004</v>
      </c>
      <c r="O1328" s="93">
        <f t="shared" si="188"/>
        <v>14.747398596</v>
      </c>
      <c r="P1328" s="92">
        <v>224</v>
      </c>
      <c r="Q1328" s="92" t="s">
        <v>52</v>
      </c>
      <c r="R1328" s="92" t="s">
        <v>55</v>
      </c>
      <c r="S1328" s="20">
        <v>516.47400000000005</v>
      </c>
    </row>
    <row r="1329" spans="1:19" x14ac:dyDescent="0.15">
      <c r="A1329" s="90">
        <v>44795</v>
      </c>
      <c r="B1329" s="90" t="str">
        <f t="shared" si="182"/>
        <v>août</v>
      </c>
      <c r="C1329" s="90" t="str">
        <f t="shared" si="183"/>
        <v>2022</v>
      </c>
      <c r="D1329" s="90" t="str">
        <f t="shared" si="184"/>
        <v>août2022</v>
      </c>
      <c r="E1329" s="91" t="s">
        <v>1309</v>
      </c>
      <c r="F1329" s="91">
        <v>685</v>
      </c>
      <c r="G1329" s="94">
        <f t="shared" si="185"/>
        <v>0.68500000000000005</v>
      </c>
      <c r="H1329" s="92" t="s">
        <v>46</v>
      </c>
      <c r="I1329" s="96">
        <f t="shared" si="180"/>
        <v>0.3</v>
      </c>
      <c r="J1329" s="96">
        <f t="shared" si="181"/>
        <v>0.7</v>
      </c>
      <c r="K1329" s="92">
        <f>VLOOKUP(H1329,'Taux émission CO2e'!$A$5:$D$16,4,FALSE)</f>
        <v>0.16</v>
      </c>
      <c r="L1329" s="93">
        <f t="shared" si="186"/>
        <v>8.7515380800000013</v>
      </c>
      <c r="M1329" s="92">
        <f>VLOOKUP(H1329,'Taux émission CO2e'!$A$20:$D$31,4,FALSE)</f>
        <v>6.7400000000000002E-2</v>
      </c>
      <c r="N1329" s="105">
        <f t="shared" si="187"/>
        <v>8.6020326378000007</v>
      </c>
      <c r="O1329" s="93">
        <f t="shared" si="188"/>
        <v>17.353570717800004</v>
      </c>
      <c r="P1329" s="92">
        <v>230</v>
      </c>
      <c r="Q1329" s="92" t="s">
        <v>58</v>
      </c>
      <c r="R1329" s="92" t="s">
        <v>53</v>
      </c>
      <c r="S1329" s="20">
        <v>266.166</v>
      </c>
    </row>
    <row r="1330" spans="1:19" x14ac:dyDescent="0.15">
      <c r="A1330" s="90">
        <v>44795</v>
      </c>
      <c r="B1330" s="90" t="str">
        <f t="shared" si="182"/>
        <v>août</v>
      </c>
      <c r="C1330" s="90" t="str">
        <f t="shared" si="183"/>
        <v>2022</v>
      </c>
      <c r="D1330" s="90" t="str">
        <f t="shared" si="184"/>
        <v>août2022</v>
      </c>
      <c r="E1330" s="91" t="s">
        <v>1310</v>
      </c>
      <c r="F1330" s="91">
        <v>712</v>
      </c>
      <c r="G1330" s="94">
        <f t="shared" si="185"/>
        <v>0.71199999999999997</v>
      </c>
      <c r="H1330" s="92" t="s">
        <v>46</v>
      </c>
      <c r="I1330" s="96">
        <f t="shared" si="180"/>
        <v>0.3</v>
      </c>
      <c r="J1330" s="96">
        <f t="shared" si="181"/>
        <v>0.7</v>
      </c>
      <c r="K1330" s="92">
        <f>VLOOKUP(H1330,'Taux émission CO2e'!$A$5:$D$16,4,FALSE)</f>
        <v>0.16</v>
      </c>
      <c r="L1330" s="93">
        <f t="shared" si="186"/>
        <v>28.619426687999997</v>
      </c>
      <c r="M1330" s="92">
        <f>VLOOKUP(H1330,'Taux émission CO2e'!$A$20:$D$31,4,FALSE)</f>
        <v>6.7400000000000002E-2</v>
      </c>
      <c r="N1330" s="105">
        <f t="shared" si="187"/>
        <v>28.130511482079996</v>
      </c>
      <c r="O1330" s="93">
        <f t="shared" si="188"/>
        <v>56.749938170079993</v>
      </c>
      <c r="P1330" s="92">
        <v>380</v>
      </c>
      <c r="Q1330" s="92" t="s">
        <v>58</v>
      </c>
      <c r="R1330" s="92" t="s">
        <v>61</v>
      </c>
      <c r="S1330" s="20">
        <v>837.41300000000001</v>
      </c>
    </row>
    <row r="1331" spans="1:19" x14ac:dyDescent="0.15">
      <c r="A1331" s="90">
        <v>44796</v>
      </c>
      <c r="B1331" s="90" t="str">
        <f t="shared" si="182"/>
        <v>août</v>
      </c>
      <c r="C1331" s="90" t="str">
        <f t="shared" si="183"/>
        <v>2022</v>
      </c>
      <c r="D1331" s="90" t="str">
        <f t="shared" si="184"/>
        <v>août2022</v>
      </c>
      <c r="E1331" s="91" t="s">
        <v>1311</v>
      </c>
      <c r="F1331" s="91">
        <v>212</v>
      </c>
      <c r="G1331" s="94">
        <f t="shared" si="185"/>
        <v>0.21199999999999999</v>
      </c>
      <c r="H1331" s="92" t="s">
        <v>46</v>
      </c>
      <c r="I1331" s="96">
        <f t="shared" si="180"/>
        <v>0.3</v>
      </c>
      <c r="J1331" s="96">
        <f t="shared" si="181"/>
        <v>0.7</v>
      </c>
      <c r="K1331" s="92">
        <f>VLOOKUP(H1331,'Taux émission CO2e'!$A$5:$D$16,4,FALSE)</f>
        <v>0.16</v>
      </c>
      <c r="L1331" s="93">
        <f t="shared" si="186"/>
        <v>1.70315712</v>
      </c>
      <c r="M1331" s="92">
        <f>VLOOKUP(H1331,'Taux émission CO2e'!$A$20:$D$31,4,FALSE)</f>
        <v>6.7400000000000002E-2</v>
      </c>
      <c r="N1331" s="105">
        <f t="shared" si="187"/>
        <v>1.6740615191999999</v>
      </c>
      <c r="O1331" s="93">
        <f t="shared" si="188"/>
        <v>3.3772186391999997</v>
      </c>
      <c r="P1331" s="92">
        <v>120</v>
      </c>
      <c r="Q1331" s="92" t="s">
        <v>58</v>
      </c>
      <c r="R1331" s="92" t="s">
        <v>112</v>
      </c>
      <c r="S1331" s="20">
        <v>167.37</v>
      </c>
    </row>
    <row r="1332" spans="1:19" x14ac:dyDescent="0.15">
      <c r="A1332" s="90">
        <v>44796</v>
      </c>
      <c r="B1332" s="90" t="str">
        <f t="shared" si="182"/>
        <v>août</v>
      </c>
      <c r="C1332" s="90" t="str">
        <f t="shared" si="183"/>
        <v>2022</v>
      </c>
      <c r="D1332" s="90" t="str">
        <f t="shared" si="184"/>
        <v>août2022</v>
      </c>
      <c r="E1332" s="91" t="s">
        <v>1312</v>
      </c>
      <c r="F1332" s="91">
        <v>150</v>
      </c>
      <c r="G1332" s="94">
        <f t="shared" si="185"/>
        <v>0.15</v>
      </c>
      <c r="H1332" s="92" t="s">
        <v>45</v>
      </c>
      <c r="I1332" s="96">
        <f t="shared" si="180"/>
        <v>0.3</v>
      </c>
      <c r="J1332" s="96">
        <f t="shared" si="181"/>
        <v>0.7</v>
      </c>
      <c r="K1332" s="92">
        <f>VLOOKUP(H1332,'Taux émission CO2e'!$A$5:$D$16,4,FALSE)</f>
        <v>0.16</v>
      </c>
      <c r="L1332" s="93">
        <f t="shared" si="186"/>
        <v>2.2767263999999998</v>
      </c>
      <c r="M1332" s="92">
        <f>VLOOKUP(H1332,'Taux émission CO2e'!$A$20:$D$31,4,FALSE)</f>
        <v>6.7400000000000002E-2</v>
      </c>
      <c r="N1332" s="105">
        <f t="shared" si="187"/>
        <v>2.2378323239999998</v>
      </c>
      <c r="O1332" s="93">
        <f t="shared" si="188"/>
        <v>4.5145587239999996</v>
      </c>
      <c r="P1332" s="92">
        <v>158</v>
      </c>
      <c r="Q1332" s="92" t="s">
        <v>1029</v>
      </c>
      <c r="R1332" s="92" t="s">
        <v>55</v>
      </c>
      <c r="S1332" s="20">
        <v>316.21199999999999</v>
      </c>
    </row>
    <row r="1333" spans="1:19" x14ac:dyDescent="0.15">
      <c r="A1333" s="90">
        <v>44796</v>
      </c>
      <c r="B1333" s="90" t="str">
        <f t="shared" si="182"/>
        <v>août</v>
      </c>
      <c r="C1333" s="90" t="str">
        <f t="shared" si="183"/>
        <v>2022</v>
      </c>
      <c r="D1333" s="90" t="str">
        <f t="shared" si="184"/>
        <v>août2022</v>
      </c>
      <c r="E1333" s="91" t="s">
        <v>1313</v>
      </c>
      <c r="F1333" s="91">
        <v>342</v>
      </c>
      <c r="G1333" s="94">
        <f t="shared" si="185"/>
        <v>0.34200000000000003</v>
      </c>
      <c r="H1333" s="92" t="s">
        <v>46</v>
      </c>
      <c r="I1333" s="96">
        <f t="shared" si="180"/>
        <v>0.3</v>
      </c>
      <c r="J1333" s="96">
        <f t="shared" si="181"/>
        <v>0.7</v>
      </c>
      <c r="K1333" s="92">
        <f>VLOOKUP(H1333,'Taux émission CO2e'!$A$5:$D$16,4,FALSE)</f>
        <v>0.16</v>
      </c>
      <c r="L1333" s="93">
        <f t="shared" si="186"/>
        <v>4.5931803840000001</v>
      </c>
      <c r="M1333" s="92">
        <f>VLOOKUP(H1333,'Taux émission CO2e'!$A$20:$D$31,4,FALSE)</f>
        <v>6.7400000000000002E-2</v>
      </c>
      <c r="N1333" s="105">
        <f t="shared" si="187"/>
        <v>4.5147135524399999</v>
      </c>
      <c r="O1333" s="93">
        <f t="shared" si="188"/>
        <v>9.10789393644</v>
      </c>
      <c r="P1333" s="92">
        <v>205</v>
      </c>
      <c r="Q1333" s="92" t="s">
        <v>58</v>
      </c>
      <c r="R1333" s="92" t="s">
        <v>70</v>
      </c>
      <c r="S1333" s="20">
        <v>279.79899999999998</v>
      </c>
    </row>
    <row r="1334" spans="1:19" x14ac:dyDescent="0.15">
      <c r="A1334" s="90">
        <v>44796</v>
      </c>
      <c r="B1334" s="90" t="str">
        <f t="shared" si="182"/>
        <v>août</v>
      </c>
      <c r="C1334" s="90" t="str">
        <f t="shared" si="183"/>
        <v>2022</v>
      </c>
      <c r="D1334" s="90" t="str">
        <f t="shared" si="184"/>
        <v>août2022</v>
      </c>
      <c r="E1334" s="91" t="s">
        <v>1314</v>
      </c>
      <c r="F1334" s="91">
        <v>444</v>
      </c>
      <c r="G1334" s="94">
        <f t="shared" si="185"/>
        <v>0.44400000000000001</v>
      </c>
      <c r="H1334" s="92" t="s">
        <v>46</v>
      </c>
      <c r="I1334" s="96">
        <f t="shared" si="180"/>
        <v>0.3</v>
      </c>
      <c r="J1334" s="96">
        <f t="shared" si="181"/>
        <v>0.7</v>
      </c>
      <c r="K1334" s="92">
        <f>VLOOKUP(H1334,'Taux émission CO2e'!$A$5:$D$16,4,FALSE)</f>
        <v>0.16</v>
      </c>
      <c r="L1334" s="93">
        <f t="shared" si="186"/>
        <v>11.533628159999999</v>
      </c>
      <c r="M1334" s="92">
        <f>VLOOKUP(H1334,'Taux émission CO2e'!$A$20:$D$31,4,FALSE)</f>
        <v>6.7400000000000002E-2</v>
      </c>
      <c r="N1334" s="105">
        <f t="shared" si="187"/>
        <v>11.336595345599999</v>
      </c>
      <c r="O1334" s="93">
        <f t="shared" si="188"/>
        <v>22.870223505599999</v>
      </c>
      <c r="P1334" s="92">
        <v>345</v>
      </c>
      <c r="Q1334" s="92" t="s">
        <v>58</v>
      </c>
      <c r="R1334" s="92" t="s">
        <v>65</v>
      </c>
      <c r="S1334" s="20">
        <v>541.17999999999995</v>
      </c>
    </row>
    <row r="1335" spans="1:19" x14ac:dyDescent="0.15">
      <c r="A1335" s="90">
        <v>44796</v>
      </c>
      <c r="B1335" s="90" t="str">
        <f t="shared" si="182"/>
        <v>août</v>
      </c>
      <c r="C1335" s="90" t="str">
        <f t="shared" si="183"/>
        <v>2022</v>
      </c>
      <c r="D1335" s="90" t="str">
        <f t="shared" si="184"/>
        <v>août2022</v>
      </c>
      <c r="E1335" s="91" t="s">
        <v>1315</v>
      </c>
      <c r="F1335" s="91">
        <v>356</v>
      </c>
      <c r="G1335" s="94">
        <f t="shared" si="185"/>
        <v>0.35599999999999998</v>
      </c>
      <c r="H1335" s="92" t="s">
        <v>46</v>
      </c>
      <c r="I1335" s="96">
        <f t="shared" si="180"/>
        <v>0.3</v>
      </c>
      <c r="J1335" s="96">
        <f t="shared" si="181"/>
        <v>0.7</v>
      </c>
      <c r="K1335" s="92">
        <f>VLOOKUP(H1335,'Taux émission CO2e'!$A$5:$D$16,4,FALSE)</f>
        <v>0.16</v>
      </c>
      <c r="L1335" s="93">
        <f t="shared" si="186"/>
        <v>14.309713343999999</v>
      </c>
      <c r="M1335" s="92">
        <f>VLOOKUP(H1335,'Taux émission CO2e'!$A$20:$D$31,4,FALSE)</f>
        <v>6.7400000000000002E-2</v>
      </c>
      <c r="N1335" s="105">
        <f t="shared" si="187"/>
        <v>14.065255741039998</v>
      </c>
      <c r="O1335" s="93">
        <f t="shared" si="188"/>
        <v>28.374969085039996</v>
      </c>
      <c r="P1335" s="92">
        <v>470</v>
      </c>
      <c r="Q1335" s="92" t="s">
        <v>58</v>
      </c>
      <c r="R1335" s="92" t="s">
        <v>61</v>
      </c>
      <c r="S1335" s="20">
        <v>837.41300000000001</v>
      </c>
    </row>
    <row r="1336" spans="1:19" x14ac:dyDescent="0.15">
      <c r="A1336" s="90">
        <v>44797</v>
      </c>
      <c r="B1336" s="90" t="str">
        <f t="shared" si="182"/>
        <v>août</v>
      </c>
      <c r="C1336" s="90" t="str">
        <f t="shared" si="183"/>
        <v>2022</v>
      </c>
      <c r="D1336" s="90" t="str">
        <f t="shared" si="184"/>
        <v>août2022</v>
      </c>
      <c r="E1336" s="91" t="s">
        <v>1316</v>
      </c>
      <c r="F1336" s="91">
        <v>200</v>
      </c>
      <c r="G1336" s="94">
        <f t="shared" si="185"/>
        <v>0.2</v>
      </c>
      <c r="H1336" s="92" t="s">
        <v>38</v>
      </c>
      <c r="I1336" s="96">
        <f t="shared" si="180"/>
        <v>1</v>
      </c>
      <c r="J1336" s="96">
        <f t="shared" si="181"/>
        <v>0</v>
      </c>
      <c r="K1336" s="92">
        <f>VLOOKUP(H1336,'Taux émission CO2e'!$A$5:$D$16,4,FALSE)</f>
        <v>0.24099999999999999</v>
      </c>
      <c r="L1336" s="93">
        <f t="shared" si="186"/>
        <v>1.6383661999999999</v>
      </c>
      <c r="M1336" s="92">
        <f>VLOOKUP(H1336,'Taux émission CO2e'!$A$20:$D$31,4,FALSE)</f>
        <v>0</v>
      </c>
      <c r="N1336" s="105">
        <f t="shared" si="187"/>
        <v>0</v>
      </c>
      <c r="O1336" s="93">
        <f t="shared" si="188"/>
        <v>1.6383661999999999</v>
      </c>
      <c r="P1336" s="92">
        <v>100</v>
      </c>
      <c r="Q1336" s="92" t="s">
        <v>67</v>
      </c>
      <c r="R1336" s="92" t="s">
        <v>55</v>
      </c>
      <c r="S1336" s="20">
        <v>33.991</v>
      </c>
    </row>
    <row r="1337" spans="1:19" x14ac:dyDescent="0.15">
      <c r="A1337" s="90">
        <v>44797</v>
      </c>
      <c r="B1337" s="90" t="str">
        <f t="shared" si="182"/>
        <v>août</v>
      </c>
      <c r="C1337" s="90" t="str">
        <f t="shared" si="183"/>
        <v>2022</v>
      </c>
      <c r="D1337" s="90" t="str">
        <f t="shared" si="184"/>
        <v>août2022</v>
      </c>
      <c r="E1337" s="91" t="s">
        <v>1317</v>
      </c>
      <c r="F1337" s="91">
        <v>340</v>
      </c>
      <c r="G1337" s="94">
        <f t="shared" si="185"/>
        <v>0.34</v>
      </c>
      <c r="H1337" s="92" t="s">
        <v>46</v>
      </c>
      <c r="I1337" s="96">
        <f t="shared" si="180"/>
        <v>0.3</v>
      </c>
      <c r="J1337" s="96">
        <f t="shared" si="181"/>
        <v>0.7</v>
      </c>
      <c r="K1337" s="92">
        <f>VLOOKUP(H1337,'Taux émission CO2e'!$A$5:$D$16,4,FALSE)</f>
        <v>0.16</v>
      </c>
      <c r="L1337" s="93">
        <f t="shared" si="186"/>
        <v>3.0488044800000003</v>
      </c>
      <c r="M1337" s="92">
        <f>VLOOKUP(H1337,'Taux émission CO2e'!$A$20:$D$31,4,FALSE)</f>
        <v>6.7400000000000002E-2</v>
      </c>
      <c r="N1337" s="105">
        <f t="shared" si="187"/>
        <v>2.9967207368000004</v>
      </c>
      <c r="O1337" s="93">
        <f t="shared" si="188"/>
        <v>6.0455252168000007</v>
      </c>
      <c r="P1337" s="92">
        <v>140</v>
      </c>
      <c r="Q1337" s="92" t="s">
        <v>688</v>
      </c>
      <c r="R1337" s="92" t="s">
        <v>55</v>
      </c>
      <c r="S1337" s="20">
        <v>186.81399999999999</v>
      </c>
    </row>
    <row r="1338" spans="1:19" x14ac:dyDescent="0.15">
      <c r="A1338" s="90">
        <v>44797</v>
      </c>
      <c r="B1338" s="90" t="str">
        <f t="shared" si="182"/>
        <v>août</v>
      </c>
      <c r="C1338" s="90" t="str">
        <f t="shared" si="183"/>
        <v>2022</v>
      </c>
      <c r="D1338" s="90" t="str">
        <f t="shared" si="184"/>
        <v>août2022</v>
      </c>
      <c r="E1338" s="91" t="s">
        <v>1318</v>
      </c>
      <c r="F1338" s="91">
        <v>150</v>
      </c>
      <c r="G1338" s="94">
        <f t="shared" si="185"/>
        <v>0.15</v>
      </c>
      <c r="H1338" s="92" t="s">
        <v>46</v>
      </c>
      <c r="I1338" s="96">
        <f t="shared" si="180"/>
        <v>0.3</v>
      </c>
      <c r="J1338" s="96">
        <f t="shared" si="181"/>
        <v>0.7</v>
      </c>
      <c r="K1338" s="92">
        <f>VLOOKUP(H1338,'Taux émission CO2e'!$A$5:$D$16,4,FALSE)</f>
        <v>0.16</v>
      </c>
      <c r="L1338" s="93">
        <f t="shared" si="186"/>
        <v>1.7822519999999999</v>
      </c>
      <c r="M1338" s="92">
        <f>VLOOKUP(H1338,'Taux émission CO2e'!$A$20:$D$31,4,FALSE)</f>
        <v>6.7400000000000002E-2</v>
      </c>
      <c r="N1338" s="105">
        <f t="shared" si="187"/>
        <v>1.751805195</v>
      </c>
      <c r="O1338" s="93">
        <f t="shared" si="188"/>
        <v>3.5340571949999999</v>
      </c>
      <c r="P1338" s="92">
        <v>158</v>
      </c>
      <c r="Q1338" s="92" t="s">
        <v>296</v>
      </c>
      <c r="R1338" s="92" t="s">
        <v>55</v>
      </c>
      <c r="S1338" s="20">
        <v>247.535</v>
      </c>
    </row>
    <row r="1339" spans="1:19" x14ac:dyDescent="0.15">
      <c r="A1339" s="90">
        <v>44797</v>
      </c>
      <c r="B1339" s="90" t="str">
        <f t="shared" si="182"/>
        <v>août</v>
      </c>
      <c r="C1339" s="90" t="str">
        <f t="shared" si="183"/>
        <v>2022</v>
      </c>
      <c r="D1339" s="90" t="str">
        <f t="shared" si="184"/>
        <v>août2022</v>
      </c>
      <c r="E1339" s="91" t="s">
        <v>1319</v>
      </c>
      <c r="F1339" s="91">
        <v>300</v>
      </c>
      <c r="G1339" s="94">
        <f t="shared" si="185"/>
        <v>0.3</v>
      </c>
      <c r="H1339" s="92" t="s">
        <v>45</v>
      </c>
      <c r="I1339" s="96">
        <f t="shared" si="180"/>
        <v>0.3</v>
      </c>
      <c r="J1339" s="96">
        <f t="shared" si="181"/>
        <v>0.7</v>
      </c>
      <c r="K1339" s="92">
        <f>VLOOKUP(H1339,'Taux émission CO2e'!$A$5:$D$16,4,FALSE)</f>
        <v>0.16</v>
      </c>
      <c r="L1339" s="93">
        <f t="shared" si="186"/>
        <v>4.0052879999999993</v>
      </c>
      <c r="M1339" s="92">
        <f>VLOOKUP(H1339,'Taux émission CO2e'!$A$20:$D$31,4,FALSE)</f>
        <v>6.7400000000000002E-2</v>
      </c>
      <c r="N1339" s="105">
        <f t="shared" si="187"/>
        <v>3.9368643299999997</v>
      </c>
      <c r="O1339" s="93">
        <f t="shared" si="188"/>
        <v>7.942152329999999</v>
      </c>
      <c r="P1339" s="92">
        <v>188</v>
      </c>
      <c r="Q1339" s="92" t="s">
        <v>74</v>
      </c>
      <c r="R1339" s="92" t="s">
        <v>55</v>
      </c>
      <c r="S1339" s="20">
        <v>278.14499999999998</v>
      </c>
    </row>
    <row r="1340" spans="1:19" x14ac:dyDescent="0.15">
      <c r="A1340" s="90">
        <v>44797</v>
      </c>
      <c r="B1340" s="90" t="str">
        <f t="shared" si="182"/>
        <v>août</v>
      </c>
      <c r="C1340" s="90" t="str">
        <f t="shared" si="183"/>
        <v>2022</v>
      </c>
      <c r="D1340" s="90" t="str">
        <f t="shared" si="184"/>
        <v>août2022</v>
      </c>
      <c r="E1340" s="91" t="s">
        <v>1320</v>
      </c>
      <c r="F1340" s="91">
        <v>342</v>
      </c>
      <c r="G1340" s="94">
        <f t="shared" si="185"/>
        <v>0.34200000000000003</v>
      </c>
      <c r="H1340" s="92" t="s">
        <v>46</v>
      </c>
      <c r="I1340" s="96">
        <f t="shared" si="180"/>
        <v>0.3</v>
      </c>
      <c r="J1340" s="96">
        <f t="shared" si="181"/>
        <v>0.7</v>
      </c>
      <c r="K1340" s="92">
        <f>VLOOKUP(H1340,'Taux émission CO2e'!$A$5:$D$16,4,FALSE)</f>
        <v>0.16</v>
      </c>
      <c r="L1340" s="93">
        <f t="shared" si="186"/>
        <v>4.0842515519999996</v>
      </c>
      <c r="M1340" s="92">
        <f>VLOOKUP(H1340,'Taux émission CO2e'!$A$20:$D$31,4,FALSE)</f>
        <v>6.7400000000000002E-2</v>
      </c>
      <c r="N1340" s="105">
        <f t="shared" si="187"/>
        <v>4.0144789213200003</v>
      </c>
      <c r="O1340" s="93">
        <f t="shared" si="188"/>
        <v>8.0987304733199998</v>
      </c>
      <c r="P1340" s="92">
        <v>200</v>
      </c>
      <c r="Q1340" s="92" t="s">
        <v>58</v>
      </c>
      <c r="R1340" s="92" t="s">
        <v>82</v>
      </c>
      <c r="S1340" s="20">
        <v>248.797</v>
      </c>
    </row>
    <row r="1341" spans="1:19" x14ac:dyDescent="0.15">
      <c r="A1341" s="90">
        <v>44797</v>
      </c>
      <c r="B1341" s="90" t="str">
        <f t="shared" si="182"/>
        <v>août</v>
      </c>
      <c r="C1341" s="90" t="str">
        <f t="shared" si="183"/>
        <v>2022</v>
      </c>
      <c r="D1341" s="90" t="str">
        <f t="shared" si="184"/>
        <v>août2022</v>
      </c>
      <c r="E1341" s="91" t="s">
        <v>1321</v>
      </c>
      <c r="F1341" s="91">
        <v>323</v>
      </c>
      <c r="G1341" s="94">
        <f t="shared" si="185"/>
        <v>0.32300000000000001</v>
      </c>
      <c r="H1341" s="92" t="s">
        <v>46</v>
      </c>
      <c r="I1341" s="96">
        <f t="shared" si="180"/>
        <v>0.3</v>
      </c>
      <c r="J1341" s="96">
        <f t="shared" si="181"/>
        <v>0.7</v>
      </c>
      <c r="K1341" s="92">
        <f>VLOOKUP(H1341,'Taux émission CO2e'!$A$5:$D$16,4,FALSE)</f>
        <v>0.16</v>
      </c>
      <c r="L1341" s="93">
        <f t="shared" si="186"/>
        <v>4.1266376640000004</v>
      </c>
      <c r="M1341" s="92">
        <f>VLOOKUP(H1341,'Taux émission CO2e'!$A$20:$D$31,4,FALSE)</f>
        <v>6.7400000000000002E-2</v>
      </c>
      <c r="N1341" s="105">
        <f t="shared" si="187"/>
        <v>4.0561409372400004</v>
      </c>
      <c r="O1341" s="93">
        <f t="shared" si="188"/>
        <v>8.1827786012400008</v>
      </c>
      <c r="P1341" s="92">
        <v>200</v>
      </c>
      <c r="Q1341" s="92" t="s">
        <v>58</v>
      </c>
      <c r="R1341" s="92" t="s">
        <v>53</v>
      </c>
      <c r="S1341" s="20">
        <v>266.166</v>
      </c>
    </row>
    <row r="1342" spans="1:19" x14ac:dyDescent="0.15">
      <c r="A1342" s="90">
        <v>44797</v>
      </c>
      <c r="B1342" s="90" t="str">
        <f t="shared" si="182"/>
        <v>août</v>
      </c>
      <c r="C1342" s="90" t="str">
        <f t="shared" si="183"/>
        <v>2022</v>
      </c>
      <c r="D1342" s="90" t="str">
        <f t="shared" si="184"/>
        <v>août2022</v>
      </c>
      <c r="E1342" s="91" t="s">
        <v>1322</v>
      </c>
      <c r="F1342" s="91">
        <v>221</v>
      </c>
      <c r="G1342" s="94">
        <f t="shared" si="185"/>
        <v>0.221</v>
      </c>
      <c r="H1342" s="92" t="s">
        <v>46</v>
      </c>
      <c r="I1342" s="96">
        <f t="shared" si="180"/>
        <v>0.3</v>
      </c>
      <c r="J1342" s="96">
        <f t="shared" si="181"/>
        <v>0.7</v>
      </c>
      <c r="K1342" s="92">
        <f>VLOOKUP(H1342,'Taux émission CO2e'!$A$5:$D$16,4,FALSE)</f>
        <v>0.16</v>
      </c>
      <c r="L1342" s="93">
        <f t="shared" si="186"/>
        <v>3.3603704160000003</v>
      </c>
      <c r="M1342" s="92">
        <f>VLOOKUP(H1342,'Taux émission CO2e'!$A$20:$D$31,4,FALSE)</f>
        <v>6.7400000000000002E-2</v>
      </c>
      <c r="N1342" s="105">
        <f t="shared" si="187"/>
        <v>3.30296408806</v>
      </c>
      <c r="O1342" s="93">
        <f t="shared" si="188"/>
        <v>6.6633345040599998</v>
      </c>
      <c r="P1342" s="92">
        <v>220</v>
      </c>
      <c r="Q1342" s="92" t="s">
        <v>58</v>
      </c>
      <c r="R1342" s="92" t="s">
        <v>632</v>
      </c>
      <c r="S1342" s="20">
        <v>316.77699999999999</v>
      </c>
    </row>
    <row r="1343" spans="1:19" x14ac:dyDescent="0.15">
      <c r="A1343" s="90">
        <v>44797</v>
      </c>
      <c r="B1343" s="90" t="str">
        <f t="shared" si="182"/>
        <v>août</v>
      </c>
      <c r="C1343" s="90" t="str">
        <f t="shared" si="183"/>
        <v>2022</v>
      </c>
      <c r="D1343" s="90" t="str">
        <f t="shared" si="184"/>
        <v>août2022</v>
      </c>
      <c r="E1343" s="91" t="s">
        <v>1323</v>
      </c>
      <c r="F1343" s="91">
        <v>769</v>
      </c>
      <c r="G1343" s="94">
        <f t="shared" si="185"/>
        <v>0.76900000000000002</v>
      </c>
      <c r="H1343" s="92" t="s">
        <v>46</v>
      </c>
      <c r="I1343" s="96">
        <f t="shared" si="180"/>
        <v>0.3</v>
      </c>
      <c r="J1343" s="96">
        <f t="shared" si="181"/>
        <v>0.7</v>
      </c>
      <c r="K1343" s="92">
        <f>VLOOKUP(H1343,'Taux émission CO2e'!$A$5:$D$16,4,FALSE)</f>
        <v>0.16</v>
      </c>
      <c r="L1343" s="93">
        <f t="shared" si="186"/>
        <v>13.885076303999998</v>
      </c>
      <c r="M1343" s="92">
        <f>VLOOKUP(H1343,'Taux émission CO2e'!$A$20:$D$31,4,FALSE)</f>
        <v>6.7400000000000002E-2</v>
      </c>
      <c r="N1343" s="105">
        <f t="shared" si="187"/>
        <v>13.647872917139999</v>
      </c>
      <c r="O1343" s="93">
        <f t="shared" si="188"/>
        <v>27.532949221139997</v>
      </c>
      <c r="P1343" s="92">
        <v>240</v>
      </c>
      <c r="Q1343" s="92" t="s">
        <v>856</v>
      </c>
      <c r="R1343" s="92" t="s">
        <v>55</v>
      </c>
      <c r="S1343" s="20">
        <v>376.16699999999997</v>
      </c>
    </row>
    <row r="1344" spans="1:19" x14ac:dyDescent="0.15">
      <c r="A1344" s="90">
        <v>44797</v>
      </c>
      <c r="B1344" s="90" t="str">
        <f t="shared" si="182"/>
        <v>août</v>
      </c>
      <c r="C1344" s="90" t="str">
        <f t="shared" si="183"/>
        <v>2022</v>
      </c>
      <c r="D1344" s="90" t="str">
        <f t="shared" si="184"/>
        <v>août2022</v>
      </c>
      <c r="E1344" s="91" t="s">
        <v>1324</v>
      </c>
      <c r="F1344" s="91">
        <v>1027</v>
      </c>
      <c r="G1344" s="94">
        <f t="shared" si="185"/>
        <v>1.0269999999999999</v>
      </c>
      <c r="H1344" s="92" t="s">
        <v>46</v>
      </c>
      <c r="I1344" s="96">
        <f t="shared" si="180"/>
        <v>0.3</v>
      </c>
      <c r="J1344" s="96">
        <f t="shared" si="181"/>
        <v>0.7</v>
      </c>
      <c r="K1344" s="92">
        <f>VLOOKUP(H1344,'Taux émission CO2e'!$A$5:$D$16,4,FALSE)</f>
        <v>0.16</v>
      </c>
      <c r="L1344" s="93">
        <f t="shared" si="186"/>
        <v>9.2963875680000001</v>
      </c>
      <c r="M1344" s="92">
        <f>VLOOKUP(H1344,'Taux émission CO2e'!$A$20:$D$31,4,FALSE)</f>
        <v>6.7400000000000002E-2</v>
      </c>
      <c r="N1344" s="105">
        <f t="shared" si="187"/>
        <v>9.1375742803799991</v>
      </c>
      <c r="O1344" s="93">
        <f t="shared" si="188"/>
        <v>18.433961848380001</v>
      </c>
      <c r="P1344" s="92">
        <v>295</v>
      </c>
      <c r="Q1344" s="92" t="s">
        <v>58</v>
      </c>
      <c r="R1344" s="92" t="s">
        <v>531</v>
      </c>
      <c r="S1344" s="20">
        <v>188.583</v>
      </c>
    </row>
    <row r="1345" spans="1:19" x14ac:dyDescent="0.15">
      <c r="A1345" s="90">
        <v>44798</v>
      </c>
      <c r="B1345" s="90" t="str">
        <f t="shared" si="182"/>
        <v>août</v>
      </c>
      <c r="C1345" s="90" t="str">
        <f t="shared" si="183"/>
        <v>2022</v>
      </c>
      <c r="D1345" s="90" t="str">
        <f t="shared" si="184"/>
        <v>août2022</v>
      </c>
      <c r="E1345" s="91" t="s">
        <v>1325</v>
      </c>
      <c r="F1345" s="91">
        <v>215</v>
      </c>
      <c r="G1345" s="94">
        <f t="shared" si="185"/>
        <v>0.215</v>
      </c>
      <c r="H1345" s="92" t="s">
        <v>45</v>
      </c>
      <c r="I1345" s="96">
        <f t="shared" si="180"/>
        <v>0.3</v>
      </c>
      <c r="J1345" s="96">
        <f t="shared" si="181"/>
        <v>0.7</v>
      </c>
      <c r="K1345" s="92">
        <f>VLOOKUP(H1345,'Taux émission CO2e'!$A$5:$D$16,4,FALSE)</f>
        <v>0.16</v>
      </c>
      <c r="L1345" s="93">
        <f t="shared" si="186"/>
        <v>4.01513016</v>
      </c>
      <c r="M1345" s="92">
        <f>VLOOKUP(H1345,'Taux émission CO2e'!$A$20:$D$31,4,FALSE)</f>
        <v>6.7400000000000002E-2</v>
      </c>
      <c r="N1345" s="105">
        <f t="shared" si="187"/>
        <v>3.9465383530999998</v>
      </c>
      <c r="O1345" s="93">
        <f t="shared" si="188"/>
        <v>7.9616685130999993</v>
      </c>
      <c r="P1345" s="92">
        <v>125</v>
      </c>
      <c r="Q1345" s="92" t="s">
        <v>842</v>
      </c>
      <c r="R1345" s="92" t="s">
        <v>55</v>
      </c>
      <c r="S1345" s="20">
        <v>389.06299999999999</v>
      </c>
    </row>
    <row r="1346" spans="1:19" x14ac:dyDescent="0.15">
      <c r="A1346" s="90">
        <v>44798</v>
      </c>
      <c r="B1346" s="90" t="str">
        <f t="shared" si="182"/>
        <v>août</v>
      </c>
      <c r="C1346" s="90" t="str">
        <f t="shared" si="183"/>
        <v>2022</v>
      </c>
      <c r="D1346" s="90" t="str">
        <f t="shared" si="184"/>
        <v>août2022</v>
      </c>
      <c r="E1346" s="91" t="s">
        <v>1326</v>
      </c>
      <c r="F1346" s="91">
        <v>215</v>
      </c>
      <c r="G1346" s="94">
        <f t="shared" si="185"/>
        <v>0.215</v>
      </c>
      <c r="H1346" s="92" t="s">
        <v>45</v>
      </c>
      <c r="I1346" s="96">
        <f t="shared" ref="I1346:I1409" si="189">VLOOKUP(H1346,Segment1,2,FALSE)</f>
        <v>0.3</v>
      </c>
      <c r="J1346" s="96">
        <f t="shared" ref="J1346:J1409" si="190">VLOOKUP(H1346,Segment2,2,FALSE)</f>
        <v>0.7</v>
      </c>
      <c r="K1346" s="92">
        <f>VLOOKUP(H1346,'Taux émission CO2e'!$A$5:$D$16,4,FALSE)</f>
        <v>0.16</v>
      </c>
      <c r="L1346" s="93">
        <f t="shared" si="186"/>
        <v>4.01513016</v>
      </c>
      <c r="M1346" s="92">
        <f>VLOOKUP(H1346,'Taux émission CO2e'!$A$20:$D$31,4,FALSE)</f>
        <v>6.7400000000000002E-2</v>
      </c>
      <c r="N1346" s="105">
        <f t="shared" si="187"/>
        <v>3.9465383530999998</v>
      </c>
      <c r="O1346" s="93">
        <f t="shared" si="188"/>
        <v>7.9616685130999993</v>
      </c>
      <c r="P1346" s="92">
        <v>125</v>
      </c>
      <c r="Q1346" s="92" t="s">
        <v>842</v>
      </c>
      <c r="R1346" s="92" t="s">
        <v>55</v>
      </c>
      <c r="S1346" s="20">
        <v>389.06299999999999</v>
      </c>
    </row>
    <row r="1347" spans="1:19" x14ac:dyDescent="0.15">
      <c r="A1347" s="90">
        <v>44798</v>
      </c>
      <c r="B1347" s="90" t="str">
        <f t="shared" ref="B1347:B1410" si="191">TEXT(A1347,"mmmm")</f>
        <v>août</v>
      </c>
      <c r="C1347" s="90" t="str">
        <f t="shared" ref="C1347:C1410" si="192">TEXT(A1347,"aaaa")</f>
        <v>2022</v>
      </c>
      <c r="D1347" s="90" t="str">
        <f t="shared" ref="D1347:D1410" si="193">B1347&amp;C1347</f>
        <v>août2022</v>
      </c>
      <c r="E1347" s="91" t="s">
        <v>1327</v>
      </c>
      <c r="F1347" s="91">
        <v>150</v>
      </c>
      <c r="G1347" s="94">
        <f t="shared" ref="G1347:G1410" si="194">F1347/1000</f>
        <v>0.15</v>
      </c>
      <c r="H1347" s="92" t="s">
        <v>45</v>
      </c>
      <c r="I1347" s="96">
        <f t="shared" si="189"/>
        <v>0.3</v>
      </c>
      <c r="J1347" s="96">
        <f t="shared" si="190"/>
        <v>0.7</v>
      </c>
      <c r="K1347" s="92">
        <f>VLOOKUP(H1347,'Taux émission CO2e'!$A$5:$D$16,4,FALSE)</f>
        <v>0.16</v>
      </c>
      <c r="L1347" s="93">
        <f t="shared" ref="L1347:L1410" si="195">IFERROR(I1347*K1347*G1347*S1347,"0")</f>
        <v>2.2767263999999998</v>
      </c>
      <c r="M1347" s="92">
        <f>VLOOKUP(H1347,'Taux émission CO2e'!$A$20:$D$31,4,FALSE)</f>
        <v>6.7400000000000002E-2</v>
      </c>
      <c r="N1347" s="105">
        <f t="shared" ref="N1347:N1410" si="196">IFERROR(J1347*M1347*G1347*S1347,"0")</f>
        <v>2.2378323239999998</v>
      </c>
      <c r="O1347" s="93">
        <f t="shared" ref="O1347:O1410" si="197">L1347+N1347</f>
        <v>4.5145587239999996</v>
      </c>
      <c r="P1347" s="92">
        <v>158</v>
      </c>
      <c r="Q1347" s="92" t="s">
        <v>1029</v>
      </c>
      <c r="R1347" s="92" t="s">
        <v>55</v>
      </c>
      <c r="S1347" s="20">
        <v>316.21199999999999</v>
      </c>
    </row>
    <row r="1348" spans="1:19" x14ac:dyDescent="0.15">
      <c r="A1348" s="90">
        <v>44798</v>
      </c>
      <c r="B1348" s="90" t="str">
        <f t="shared" si="191"/>
        <v>août</v>
      </c>
      <c r="C1348" s="90" t="str">
        <f t="shared" si="192"/>
        <v>2022</v>
      </c>
      <c r="D1348" s="90" t="str">
        <f t="shared" si="193"/>
        <v>août2022</v>
      </c>
      <c r="E1348" s="91" t="s">
        <v>1328</v>
      </c>
      <c r="F1348" s="91">
        <v>380</v>
      </c>
      <c r="G1348" s="94">
        <f t="shared" si="194"/>
        <v>0.38</v>
      </c>
      <c r="H1348" s="92" t="s">
        <v>45</v>
      </c>
      <c r="I1348" s="96">
        <f t="shared" si="189"/>
        <v>0.3</v>
      </c>
      <c r="J1348" s="96">
        <f t="shared" si="190"/>
        <v>0.7</v>
      </c>
      <c r="K1348" s="92">
        <f>VLOOKUP(H1348,'Taux émission CO2e'!$A$5:$D$16,4,FALSE)</f>
        <v>0.16</v>
      </c>
      <c r="L1348" s="93">
        <f t="shared" si="195"/>
        <v>9.8077939199999999</v>
      </c>
      <c r="M1348" s="92">
        <f>VLOOKUP(H1348,'Taux émission CO2e'!$A$20:$D$31,4,FALSE)</f>
        <v>6.7400000000000002E-2</v>
      </c>
      <c r="N1348" s="105">
        <f t="shared" si="196"/>
        <v>9.6402441071999991</v>
      </c>
      <c r="O1348" s="93">
        <f t="shared" si="197"/>
        <v>19.448038027199999</v>
      </c>
      <c r="P1348" s="92">
        <v>195</v>
      </c>
      <c r="Q1348" s="92" t="s">
        <v>612</v>
      </c>
      <c r="R1348" s="92" t="s">
        <v>55</v>
      </c>
      <c r="S1348" s="20">
        <v>537.70799999999997</v>
      </c>
    </row>
    <row r="1349" spans="1:19" x14ac:dyDescent="0.15">
      <c r="A1349" s="90">
        <v>44798</v>
      </c>
      <c r="B1349" s="90" t="str">
        <f t="shared" si="191"/>
        <v>août</v>
      </c>
      <c r="C1349" s="90" t="str">
        <f t="shared" si="192"/>
        <v>2022</v>
      </c>
      <c r="D1349" s="90" t="str">
        <f t="shared" si="193"/>
        <v>août2022</v>
      </c>
      <c r="E1349" s="91" t="s">
        <v>1329</v>
      </c>
      <c r="F1349" s="91">
        <v>300</v>
      </c>
      <c r="G1349" s="94">
        <f t="shared" si="194"/>
        <v>0.3</v>
      </c>
      <c r="H1349" s="92" t="s">
        <v>46</v>
      </c>
      <c r="I1349" s="96">
        <f t="shared" si="189"/>
        <v>0.3</v>
      </c>
      <c r="J1349" s="96">
        <f t="shared" si="190"/>
        <v>0.7</v>
      </c>
      <c r="K1349" s="92">
        <f>VLOOKUP(H1349,'Taux émission CO2e'!$A$5:$D$16,4,FALSE)</f>
        <v>0.16</v>
      </c>
      <c r="L1349" s="93">
        <f t="shared" si="195"/>
        <v>7.7979743999999993</v>
      </c>
      <c r="M1349" s="92">
        <f>VLOOKUP(H1349,'Taux émission CO2e'!$A$20:$D$31,4,FALSE)</f>
        <v>6.7400000000000002E-2</v>
      </c>
      <c r="N1349" s="105">
        <f t="shared" si="196"/>
        <v>7.6647590039999995</v>
      </c>
      <c r="O1349" s="93">
        <f t="shared" si="197"/>
        <v>15.462733403999998</v>
      </c>
      <c r="P1349" s="92">
        <v>250</v>
      </c>
      <c r="Q1349" s="92" t="s">
        <v>62</v>
      </c>
      <c r="R1349" s="92" t="s">
        <v>55</v>
      </c>
      <c r="S1349" s="20">
        <v>541.52599999999995</v>
      </c>
    </row>
    <row r="1350" spans="1:19" x14ac:dyDescent="0.15">
      <c r="A1350" s="90">
        <v>44798</v>
      </c>
      <c r="B1350" s="90" t="str">
        <f t="shared" si="191"/>
        <v>août</v>
      </c>
      <c r="C1350" s="90" t="str">
        <f t="shared" si="192"/>
        <v>2022</v>
      </c>
      <c r="D1350" s="90" t="str">
        <f t="shared" si="193"/>
        <v>août2022</v>
      </c>
      <c r="E1350" s="91" t="s">
        <v>1330</v>
      </c>
      <c r="F1350" s="91">
        <v>125</v>
      </c>
      <c r="G1350" s="94">
        <f t="shared" si="194"/>
        <v>0.125</v>
      </c>
      <c r="H1350" s="92" t="s">
        <v>46</v>
      </c>
      <c r="I1350" s="96">
        <f t="shared" si="189"/>
        <v>0.3</v>
      </c>
      <c r="J1350" s="96">
        <f t="shared" si="190"/>
        <v>0.7</v>
      </c>
      <c r="K1350" s="92">
        <f>VLOOKUP(H1350,'Taux émission CO2e'!$A$5:$D$16,4,FALSE)</f>
        <v>0.16</v>
      </c>
      <c r="L1350" s="93">
        <f t="shared" si="195"/>
        <v>4.6742400000000002</v>
      </c>
      <c r="M1350" s="92">
        <f>VLOOKUP(H1350,'Taux émission CO2e'!$A$20:$D$31,4,FALSE)</f>
        <v>6.7400000000000002E-2</v>
      </c>
      <c r="N1350" s="105">
        <f t="shared" si="196"/>
        <v>4.5943883999999997</v>
      </c>
      <c r="O1350" s="93">
        <f t="shared" si="197"/>
        <v>9.2686284000000008</v>
      </c>
      <c r="P1350" s="92">
        <v>265</v>
      </c>
      <c r="Q1350" s="92" t="s">
        <v>1331</v>
      </c>
      <c r="R1350" s="92" t="s">
        <v>55</v>
      </c>
      <c r="S1350" s="20">
        <v>779.04</v>
      </c>
    </row>
    <row r="1351" spans="1:19" x14ac:dyDescent="0.15">
      <c r="A1351" s="90">
        <v>44798</v>
      </c>
      <c r="B1351" s="90" t="str">
        <f t="shared" si="191"/>
        <v>août</v>
      </c>
      <c r="C1351" s="90" t="str">
        <f t="shared" si="192"/>
        <v>2022</v>
      </c>
      <c r="D1351" s="90" t="str">
        <f t="shared" si="193"/>
        <v>août2022</v>
      </c>
      <c r="E1351" s="91" t="s">
        <v>1332</v>
      </c>
      <c r="F1351" s="91">
        <v>900</v>
      </c>
      <c r="G1351" s="94">
        <f t="shared" si="194"/>
        <v>0.9</v>
      </c>
      <c r="H1351" s="92" t="s">
        <v>46</v>
      </c>
      <c r="I1351" s="96">
        <f t="shared" si="189"/>
        <v>0.3</v>
      </c>
      <c r="J1351" s="96">
        <f t="shared" si="190"/>
        <v>0.7</v>
      </c>
      <c r="K1351" s="92">
        <f>VLOOKUP(H1351,'Taux émission CO2e'!$A$5:$D$16,4,FALSE)</f>
        <v>0.16</v>
      </c>
      <c r="L1351" s="93">
        <f t="shared" si="195"/>
        <v>19.7020944</v>
      </c>
      <c r="M1351" s="92">
        <f>VLOOKUP(H1351,'Taux émission CO2e'!$A$20:$D$31,4,FALSE)</f>
        <v>6.7400000000000002E-2</v>
      </c>
      <c r="N1351" s="105">
        <f t="shared" si="196"/>
        <v>19.365516954</v>
      </c>
      <c r="O1351" s="93">
        <f t="shared" si="197"/>
        <v>39.067611354</v>
      </c>
      <c r="P1351" s="92">
        <v>450</v>
      </c>
      <c r="Q1351" s="92" t="s">
        <v>570</v>
      </c>
      <c r="R1351" s="92" t="s">
        <v>55</v>
      </c>
      <c r="S1351" s="20">
        <v>456.06700000000001</v>
      </c>
    </row>
    <row r="1352" spans="1:19" x14ac:dyDescent="0.15">
      <c r="A1352" s="90">
        <v>44799</v>
      </c>
      <c r="B1352" s="90" t="str">
        <f t="shared" si="191"/>
        <v>août</v>
      </c>
      <c r="C1352" s="90" t="str">
        <f t="shared" si="192"/>
        <v>2022</v>
      </c>
      <c r="D1352" s="90" t="str">
        <f t="shared" si="193"/>
        <v>août2022</v>
      </c>
      <c r="E1352" s="91" t="s">
        <v>1333</v>
      </c>
      <c r="F1352" s="91">
        <v>150</v>
      </c>
      <c r="G1352" s="94">
        <f t="shared" si="194"/>
        <v>0.15</v>
      </c>
      <c r="H1352" s="92" t="s">
        <v>46</v>
      </c>
      <c r="I1352" s="96">
        <f t="shared" si="189"/>
        <v>0.3</v>
      </c>
      <c r="J1352" s="96">
        <f t="shared" si="190"/>
        <v>0.7</v>
      </c>
      <c r="K1352" s="92">
        <f>VLOOKUP(H1352,'Taux émission CO2e'!$A$5:$D$16,4,FALSE)</f>
        <v>0.16</v>
      </c>
      <c r="L1352" s="93">
        <f t="shared" si="195"/>
        <v>1.2471839999999998</v>
      </c>
      <c r="M1352" s="92">
        <f>VLOOKUP(H1352,'Taux émission CO2e'!$A$20:$D$31,4,FALSE)</f>
        <v>6.7400000000000002E-2</v>
      </c>
      <c r="N1352" s="105">
        <f t="shared" si="196"/>
        <v>1.2258779399999999</v>
      </c>
      <c r="O1352" s="93">
        <f t="shared" si="197"/>
        <v>2.47306194</v>
      </c>
      <c r="P1352" s="92">
        <v>140</v>
      </c>
      <c r="Q1352" s="92" t="s">
        <v>708</v>
      </c>
      <c r="R1352" s="92" t="s">
        <v>55</v>
      </c>
      <c r="S1352" s="20">
        <v>173.22</v>
      </c>
    </row>
    <row r="1353" spans="1:19" x14ac:dyDescent="0.15">
      <c r="A1353" s="90">
        <v>44799</v>
      </c>
      <c r="B1353" s="90" t="str">
        <f t="shared" si="191"/>
        <v>août</v>
      </c>
      <c r="C1353" s="90" t="str">
        <f t="shared" si="192"/>
        <v>2022</v>
      </c>
      <c r="D1353" s="90" t="str">
        <f t="shared" si="193"/>
        <v>août2022</v>
      </c>
      <c r="E1353" s="91" t="s">
        <v>1334</v>
      </c>
      <c r="F1353" s="91">
        <v>67</v>
      </c>
      <c r="G1353" s="94">
        <f t="shared" si="194"/>
        <v>6.7000000000000004E-2</v>
      </c>
      <c r="H1353" s="92" t="s">
        <v>46</v>
      </c>
      <c r="I1353" s="96">
        <f t="shared" si="189"/>
        <v>0.3</v>
      </c>
      <c r="J1353" s="96">
        <f t="shared" si="190"/>
        <v>0.7</v>
      </c>
      <c r="K1353" s="92">
        <f>VLOOKUP(H1353,'Taux émission CO2e'!$A$5:$D$16,4,FALSE)</f>
        <v>0.16</v>
      </c>
      <c r="L1353" s="93">
        <f t="shared" si="195"/>
        <v>1.7334690240000001</v>
      </c>
      <c r="M1353" s="92">
        <f>VLOOKUP(H1353,'Taux émission CO2e'!$A$20:$D$31,4,FALSE)</f>
        <v>6.7400000000000002E-2</v>
      </c>
      <c r="N1353" s="105">
        <f t="shared" si="196"/>
        <v>1.7038555948400003</v>
      </c>
      <c r="O1353" s="93">
        <f t="shared" si="197"/>
        <v>3.4373246188400004</v>
      </c>
      <c r="P1353" s="92">
        <v>158</v>
      </c>
      <c r="Q1353" s="92" t="s">
        <v>58</v>
      </c>
      <c r="R1353" s="92" t="s">
        <v>405</v>
      </c>
      <c r="S1353" s="20">
        <v>539.01400000000001</v>
      </c>
    </row>
    <row r="1354" spans="1:19" x14ac:dyDescent="0.15">
      <c r="A1354" s="90">
        <v>44799</v>
      </c>
      <c r="B1354" s="90" t="str">
        <f t="shared" si="191"/>
        <v>août</v>
      </c>
      <c r="C1354" s="90" t="str">
        <f t="shared" si="192"/>
        <v>2022</v>
      </c>
      <c r="D1354" s="90" t="str">
        <f t="shared" si="193"/>
        <v>août2022</v>
      </c>
      <c r="E1354" s="91" t="s">
        <v>1335</v>
      </c>
      <c r="F1354" s="91">
        <v>102</v>
      </c>
      <c r="G1354" s="94">
        <f t="shared" si="194"/>
        <v>0.10199999999999999</v>
      </c>
      <c r="H1354" s="92" t="s">
        <v>46</v>
      </c>
      <c r="I1354" s="96">
        <f t="shared" si="189"/>
        <v>0.3</v>
      </c>
      <c r="J1354" s="96">
        <f t="shared" si="190"/>
        <v>0.7</v>
      </c>
      <c r="K1354" s="92">
        <f>VLOOKUP(H1354,'Taux émission CO2e'!$A$5:$D$16,4,FALSE)</f>
        <v>0.16</v>
      </c>
      <c r="L1354" s="93">
        <f t="shared" si="195"/>
        <v>2.848600512</v>
      </c>
      <c r="M1354" s="92">
        <f>VLOOKUP(H1354,'Taux émission CO2e'!$A$20:$D$31,4,FALSE)</f>
        <v>6.7400000000000002E-2</v>
      </c>
      <c r="N1354" s="105">
        <f t="shared" si="196"/>
        <v>2.7999369199199999</v>
      </c>
      <c r="O1354" s="93">
        <f t="shared" si="197"/>
        <v>5.6485374319199995</v>
      </c>
      <c r="P1354" s="92">
        <v>170</v>
      </c>
      <c r="Q1354" s="92" t="s">
        <v>58</v>
      </c>
      <c r="R1354" s="92" t="s">
        <v>371</v>
      </c>
      <c r="S1354" s="20">
        <v>581.822</v>
      </c>
    </row>
    <row r="1355" spans="1:19" x14ac:dyDescent="0.15">
      <c r="A1355" s="90">
        <v>44799</v>
      </c>
      <c r="B1355" s="90" t="str">
        <f t="shared" si="191"/>
        <v>août</v>
      </c>
      <c r="C1355" s="90" t="str">
        <f t="shared" si="192"/>
        <v>2022</v>
      </c>
      <c r="D1355" s="90" t="str">
        <f t="shared" si="193"/>
        <v>août2022</v>
      </c>
      <c r="E1355" s="91" t="s">
        <v>1336</v>
      </c>
      <c r="F1355" s="91">
        <v>92</v>
      </c>
      <c r="G1355" s="94">
        <f t="shared" si="194"/>
        <v>9.1999999999999998E-2</v>
      </c>
      <c r="H1355" s="92" t="s">
        <v>46</v>
      </c>
      <c r="I1355" s="96">
        <f t="shared" si="189"/>
        <v>0.3</v>
      </c>
      <c r="J1355" s="96">
        <f t="shared" si="190"/>
        <v>0.7</v>
      </c>
      <c r="K1355" s="92">
        <f>VLOOKUP(H1355,'Taux émission CO2e'!$A$5:$D$16,4,FALSE)</f>
        <v>0.16</v>
      </c>
      <c r="L1355" s="93">
        <f t="shared" si="195"/>
        <v>2.540772096</v>
      </c>
      <c r="M1355" s="92">
        <f>VLOOKUP(H1355,'Taux émission CO2e'!$A$20:$D$31,4,FALSE)</f>
        <v>6.7400000000000002E-2</v>
      </c>
      <c r="N1355" s="105">
        <f t="shared" si="196"/>
        <v>2.4973672393599999</v>
      </c>
      <c r="O1355" s="93">
        <f t="shared" si="197"/>
        <v>5.0381393353600004</v>
      </c>
      <c r="P1355" s="92">
        <v>170</v>
      </c>
      <c r="Q1355" s="92" t="s">
        <v>58</v>
      </c>
      <c r="R1355" s="92" t="s">
        <v>495</v>
      </c>
      <c r="S1355" s="20">
        <v>575.35599999999999</v>
      </c>
    </row>
    <row r="1356" spans="1:19" x14ac:dyDescent="0.15">
      <c r="A1356" s="90">
        <v>44799</v>
      </c>
      <c r="B1356" s="90" t="str">
        <f t="shared" si="191"/>
        <v>août</v>
      </c>
      <c r="C1356" s="90" t="str">
        <f t="shared" si="192"/>
        <v>2022</v>
      </c>
      <c r="D1356" s="90" t="str">
        <f t="shared" si="193"/>
        <v>août2022</v>
      </c>
      <c r="E1356" s="91" t="s">
        <v>1337</v>
      </c>
      <c r="F1356" s="91">
        <v>102</v>
      </c>
      <c r="G1356" s="94">
        <f t="shared" si="194"/>
        <v>0.10199999999999999</v>
      </c>
      <c r="H1356" s="92" t="s">
        <v>46</v>
      </c>
      <c r="I1356" s="96">
        <f t="shared" si="189"/>
        <v>0.3</v>
      </c>
      <c r="J1356" s="96">
        <f t="shared" si="190"/>
        <v>0.7</v>
      </c>
      <c r="K1356" s="92">
        <f>VLOOKUP(H1356,'Taux émission CO2e'!$A$5:$D$16,4,FALSE)</f>
        <v>0.16</v>
      </c>
      <c r="L1356" s="93">
        <f t="shared" si="195"/>
        <v>1.303148736</v>
      </c>
      <c r="M1356" s="92">
        <f>VLOOKUP(H1356,'Taux émission CO2e'!$A$20:$D$31,4,FALSE)</f>
        <v>6.7400000000000002E-2</v>
      </c>
      <c r="N1356" s="105">
        <f t="shared" si="196"/>
        <v>1.28088661176</v>
      </c>
      <c r="O1356" s="93">
        <f t="shared" si="197"/>
        <v>2.58403534776</v>
      </c>
      <c r="P1356" s="92">
        <v>200</v>
      </c>
      <c r="Q1356" s="92" t="s">
        <v>58</v>
      </c>
      <c r="R1356" s="92" t="s">
        <v>53</v>
      </c>
      <c r="S1356" s="20">
        <v>266.166</v>
      </c>
    </row>
    <row r="1357" spans="1:19" x14ac:dyDescent="0.15">
      <c r="A1357" s="90">
        <v>44799</v>
      </c>
      <c r="B1357" s="90" t="str">
        <f t="shared" si="191"/>
        <v>août</v>
      </c>
      <c r="C1357" s="90" t="str">
        <f t="shared" si="192"/>
        <v>2022</v>
      </c>
      <c r="D1357" s="90" t="str">
        <f t="shared" si="193"/>
        <v>août2022</v>
      </c>
      <c r="E1357" s="91" t="s">
        <v>1338</v>
      </c>
      <c r="F1357" s="91">
        <v>378</v>
      </c>
      <c r="G1357" s="94">
        <f t="shared" si="194"/>
        <v>0.378</v>
      </c>
      <c r="H1357" s="92" t="s">
        <v>46</v>
      </c>
      <c r="I1357" s="96">
        <f t="shared" si="189"/>
        <v>0.3</v>
      </c>
      <c r="J1357" s="96">
        <f t="shared" si="190"/>
        <v>0.7</v>
      </c>
      <c r="K1357" s="92">
        <f>VLOOKUP(H1357,'Taux émission CO2e'!$A$5:$D$16,4,FALSE)</f>
        <v>0.16</v>
      </c>
      <c r="L1357" s="93">
        <f t="shared" si="195"/>
        <v>4.6613931840000005</v>
      </c>
      <c r="M1357" s="92">
        <f>VLOOKUP(H1357,'Taux émission CO2e'!$A$20:$D$31,4,FALSE)</f>
        <v>6.7400000000000002E-2</v>
      </c>
      <c r="N1357" s="105">
        <f t="shared" si="196"/>
        <v>4.5817610504399999</v>
      </c>
      <c r="O1357" s="93">
        <f t="shared" si="197"/>
        <v>9.2431542344400004</v>
      </c>
      <c r="P1357" s="92">
        <v>210</v>
      </c>
      <c r="Q1357" s="92" t="s">
        <v>58</v>
      </c>
      <c r="R1357" s="92" t="s">
        <v>60</v>
      </c>
      <c r="S1357" s="20">
        <v>256.911</v>
      </c>
    </row>
    <row r="1358" spans="1:19" x14ac:dyDescent="0.15">
      <c r="A1358" s="90">
        <v>44799</v>
      </c>
      <c r="B1358" s="90" t="str">
        <f t="shared" si="191"/>
        <v>août</v>
      </c>
      <c r="C1358" s="90" t="str">
        <f t="shared" si="192"/>
        <v>2022</v>
      </c>
      <c r="D1358" s="90" t="str">
        <f t="shared" si="193"/>
        <v>août2022</v>
      </c>
      <c r="E1358" s="91" t="s">
        <v>1339</v>
      </c>
      <c r="F1358" s="91">
        <v>300</v>
      </c>
      <c r="G1358" s="94">
        <f t="shared" si="194"/>
        <v>0.3</v>
      </c>
      <c r="H1358" s="92" t="s">
        <v>46</v>
      </c>
      <c r="I1358" s="96">
        <f t="shared" si="189"/>
        <v>0.3</v>
      </c>
      <c r="J1358" s="96">
        <f t="shared" si="190"/>
        <v>0.7</v>
      </c>
      <c r="K1358" s="92">
        <f>VLOOKUP(H1358,'Taux émission CO2e'!$A$5:$D$16,4,FALSE)</f>
        <v>0.16</v>
      </c>
      <c r="L1358" s="93">
        <f t="shared" si="195"/>
        <v>4.0103568000000003</v>
      </c>
      <c r="M1358" s="92">
        <f>VLOOKUP(H1358,'Taux émission CO2e'!$A$20:$D$31,4,FALSE)</f>
        <v>6.7400000000000002E-2</v>
      </c>
      <c r="N1358" s="105">
        <f t="shared" si="196"/>
        <v>3.9418465380000001</v>
      </c>
      <c r="O1358" s="93">
        <f t="shared" si="197"/>
        <v>7.9522033380000003</v>
      </c>
      <c r="P1358" s="92">
        <v>230</v>
      </c>
      <c r="Q1358" s="92" t="s">
        <v>90</v>
      </c>
      <c r="R1358" s="92" t="s">
        <v>55</v>
      </c>
      <c r="S1358" s="20">
        <v>278.49700000000001</v>
      </c>
    </row>
    <row r="1359" spans="1:19" x14ac:dyDescent="0.15">
      <c r="A1359" s="90">
        <v>44799</v>
      </c>
      <c r="B1359" s="90" t="str">
        <f t="shared" si="191"/>
        <v>août</v>
      </c>
      <c r="C1359" s="90" t="str">
        <f t="shared" si="192"/>
        <v>2022</v>
      </c>
      <c r="D1359" s="90" t="str">
        <f t="shared" si="193"/>
        <v>août2022</v>
      </c>
      <c r="E1359" s="91" t="s">
        <v>1340</v>
      </c>
      <c r="F1359" s="91">
        <v>450</v>
      </c>
      <c r="G1359" s="94">
        <f t="shared" si="194"/>
        <v>0.45</v>
      </c>
      <c r="H1359" s="92" t="s">
        <v>46</v>
      </c>
      <c r="I1359" s="96">
        <f t="shared" si="189"/>
        <v>0.3</v>
      </c>
      <c r="J1359" s="96">
        <f t="shared" si="190"/>
        <v>0.7</v>
      </c>
      <c r="K1359" s="92">
        <f>VLOOKUP(H1359,'Taux émission CO2e'!$A$5:$D$16,4,FALSE)</f>
        <v>0.16</v>
      </c>
      <c r="L1359" s="93">
        <f t="shared" si="195"/>
        <v>5.5737288000000005</v>
      </c>
      <c r="M1359" s="92">
        <f>VLOOKUP(H1359,'Taux émission CO2e'!$A$20:$D$31,4,FALSE)</f>
        <v>6.7400000000000002E-2</v>
      </c>
      <c r="N1359" s="105">
        <f t="shared" si="196"/>
        <v>5.4785109329999999</v>
      </c>
      <c r="O1359" s="93">
        <f t="shared" si="197"/>
        <v>11.052239733</v>
      </c>
      <c r="P1359" s="92">
        <v>260</v>
      </c>
      <c r="Q1359" s="92" t="s">
        <v>102</v>
      </c>
      <c r="R1359" s="92" t="s">
        <v>55</v>
      </c>
      <c r="S1359" s="20">
        <v>258.04300000000001</v>
      </c>
    </row>
    <row r="1360" spans="1:19" x14ac:dyDescent="0.15">
      <c r="A1360" s="90">
        <v>44799</v>
      </c>
      <c r="B1360" s="90" t="str">
        <f t="shared" si="191"/>
        <v>août</v>
      </c>
      <c r="C1360" s="90" t="str">
        <f t="shared" si="192"/>
        <v>2022</v>
      </c>
      <c r="D1360" s="90" t="str">
        <f t="shared" si="193"/>
        <v>août2022</v>
      </c>
      <c r="E1360" s="91" t="s">
        <v>1341</v>
      </c>
      <c r="F1360" s="91">
        <v>750</v>
      </c>
      <c r="G1360" s="94">
        <f t="shared" si="194"/>
        <v>0.75</v>
      </c>
      <c r="H1360" s="92" t="s">
        <v>46</v>
      </c>
      <c r="I1360" s="96">
        <f t="shared" si="189"/>
        <v>0.3</v>
      </c>
      <c r="J1360" s="96">
        <f t="shared" si="190"/>
        <v>0.7</v>
      </c>
      <c r="K1360" s="92">
        <f>VLOOKUP(H1360,'Taux émission CO2e'!$A$5:$D$16,4,FALSE)</f>
        <v>0.16</v>
      </c>
      <c r="L1360" s="93">
        <f t="shared" si="195"/>
        <v>26.643528</v>
      </c>
      <c r="M1360" s="92">
        <f>VLOOKUP(H1360,'Taux émission CO2e'!$A$20:$D$31,4,FALSE)</f>
        <v>6.7400000000000002E-2</v>
      </c>
      <c r="N1360" s="105">
        <f t="shared" si="196"/>
        <v>26.18836773</v>
      </c>
      <c r="O1360" s="93">
        <f t="shared" si="197"/>
        <v>52.831895729999999</v>
      </c>
      <c r="P1360" s="92">
        <v>470</v>
      </c>
      <c r="Q1360" s="92" t="s">
        <v>473</v>
      </c>
      <c r="R1360" s="92" t="s">
        <v>55</v>
      </c>
      <c r="S1360" s="20">
        <v>740.09799999999996</v>
      </c>
    </row>
    <row r="1361" spans="1:19" x14ac:dyDescent="0.15">
      <c r="A1361" s="90">
        <v>44802</v>
      </c>
      <c r="B1361" s="90" t="str">
        <f t="shared" si="191"/>
        <v>août</v>
      </c>
      <c r="C1361" s="90" t="str">
        <f t="shared" si="192"/>
        <v>2022</v>
      </c>
      <c r="D1361" s="90" t="str">
        <f t="shared" si="193"/>
        <v>août2022</v>
      </c>
      <c r="E1361" s="91" t="s">
        <v>1342</v>
      </c>
      <c r="F1361" s="91">
        <v>150</v>
      </c>
      <c r="G1361" s="94">
        <f t="shared" si="194"/>
        <v>0.15</v>
      </c>
      <c r="H1361" s="92" t="s">
        <v>46</v>
      </c>
      <c r="I1361" s="96">
        <f t="shared" si="189"/>
        <v>0.3</v>
      </c>
      <c r="J1361" s="96">
        <f t="shared" si="190"/>
        <v>0.7</v>
      </c>
      <c r="K1361" s="92">
        <f>VLOOKUP(H1361,'Taux émission CO2e'!$A$5:$D$16,4,FALSE)</f>
        <v>0.16</v>
      </c>
      <c r="L1361" s="93">
        <f t="shared" si="195"/>
        <v>1.2034872000000001</v>
      </c>
      <c r="M1361" s="92">
        <f>VLOOKUP(H1361,'Taux émission CO2e'!$A$20:$D$31,4,FALSE)</f>
        <v>6.7400000000000002E-2</v>
      </c>
      <c r="N1361" s="105">
        <f t="shared" si="196"/>
        <v>1.182927627</v>
      </c>
      <c r="O1361" s="93">
        <f t="shared" si="197"/>
        <v>2.3864148270000003</v>
      </c>
      <c r="P1361" s="92">
        <v>140</v>
      </c>
      <c r="Q1361" s="92" t="s">
        <v>1222</v>
      </c>
      <c r="R1361" s="92" t="s">
        <v>55</v>
      </c>
      <c r="S1361" s="20">
        <v>167.15100000000001</v>
      </c>
    </row>
    <row r="1362" spans="1:19" x14ac:dyDescent="0.15">
      <c r="A1362" s="90">
        <v>44802</v>
      </c>
      <c r="B1362" s="90" t="str">
        <f t="shared" si="191"/>
        <v>août</v>
      </c>
      <c r="C1362" s="90" t="str">
        <f t="shared" si="192"/>
        <v>2022</v>
      </c>
      <c r="D1362" s="90" t="str">
        <f t="shared" si="193"/>
        <v>août2022</v>
      </c>
      <c r="E1362" s="91" t="s">
        <v>1343</v>
      </c>
      <c r="F1362" s="91">
        <v>150</v>
      </c>
      <c r="G1362" s="94">
        <f t="shared" si="194"/>
        <v>0.15</v>
      </c>
      <c r="H1362" s="92" t="s">
        <v>46</v>
      </c>
      <c r="I1362" s="96">
        <f t="shared" si="189"/>
        <v>0.3</v>
      </c>
      <c r="J1362" s="96">
        <f t="shared" si="190"/>
        <v>0.7</v>
      </c>
      <c r="K1362" s="92">
        <f>VLOOKUP(H1362,'Taux émission CO2e'!$A$5:$D$16,4,FALSE)</f>
        <v>0.16</v>
      </c>
      <c r="L1362" s="93">
        <f t="shared" si="195"/>
        <v>2.7402191999999999</v>
      </c>
      <c r="M1362" s="92">
        <f>VLOOKUP(H1362,'Taux émission CO2e'!$A$20:$D$31,4,FALSE)</f>
        <v>6.7400000000000002E-2</v>
      </c>
      <c r="N1362" s="105">
        <f t="shared" si="196"/>
        <v>2.693407122</v>
      </c>
      <c r="O1362" s="93">
        <f t="shared" si="197"/>
        <v>5.4336263220000003</v>
      </c>
      <c r="P1362" s="92">
        <v>165</v>
      </c>
      <c r="Q1362" s="92" t="s">
        <v>91</v>
      </c>
      <c r="R1362" s="92" t="s">
        <v>55</v>
      </c>
      <c r="S1362" s="20">
        <v>380.58600000000001</v>
      </c>
    </row>
    <row r="1363" spans="1:19" x14ac:dyDescent="0.15">
      <c r="A1363" s="90">
        <v>44802</v>
      </c>
      <c r="B1363" s="90" t="str">
        <f t="shared" si="191"/>
        <v>août</v>
      </c>
      <c r="C1363" s="90" t="str">
        <f t="shared" si="192"/>
        <v>2022</v>
      </c>
      <c r="D1363" s="90" t="str">
        <f t="shared" si="193"/>
        <v>août2022</v>
      </c>
      <c r="E1363" s="91" t="s">
        <v>1344</v>
      </c>
      <c r="F1363" s="91">
        <v>300</v>
      </c>
      <c r="G1363" s="94">
        <f t="shared" si="194"/>
        <v>0.3</v>
      </c>
      <c r="H1363" s="92" t="s">
        <v>45</v>
      </c>
      <c r="I1363" s="96">
        <f t="shared" si="189"/>
        <v>0.3</v>
      </c>
      <c r="J1363" s="96">
        <f t="shared" si="190"/>
        <v>0.7</v>
      </c>
      <c r="K1363" s="92">
        <f>VLOOKUP(H1363,'Taux émission CO2e'!$A$5:$D$16,4,FALSE)</f>
        <v>0.16</v>
      </c>
      <c r="L1363" s="93">
        <f t="shared" si="195"/>
        <v>7.4372256000000005</v>
      </c>
      <c r="M1363" s="92">
        <f>VLOOKUP(H1363,'Taux émission CO2e'!$A$20:$D$31,4,FALSE)</f>
        <v>6.7400000000000002E-2</v>
      </c>
      <c r="N1363" s="105">
        <f t="shared" si="196"/>
        <v>7.3101729960000004</v>
      </c>
      <c r="O1363" s="93">
        <f t="shared" si="197"/>
        <v>14.747398596</v>
      </c>
      <c r="P1363" s="92">
        <v>224</v>
      </c>
      <c r="Q1363" s="92" t="s">
        <v>52</v>
      </c>
      <c r="R1363" s="92" t="s">
        <v>55</v>
      </c>
      <c r="S1363" s="20">
        <v>516.47400000000005</v>
      </c>
    </row>
    <row r="1364" spans="1:19" x14ac:dyDescent="0.15">
      <c r="A1364" s="90">
        <v>44803</v>
      </c>
      <c r="B1364" s="90" t="str">
        <f t="shared" si="191"/>
        <v>août</v>
      </c>
      <c r="C1364" s="90" t="str">
        <f t="shared" si="192"/>
        <v>2022</v>
      </c>
      <c r="D1364" s="90" t="str">
        <f t="shared" si="193"/>
        <v>août2022</v>
      </c>
      <c r="E1364" s="91" t="s">
        <v>1345</v>
      </c>
      <c r="F1364" s="91">
        <v>127</v>
      </c>
      <c r="G1364" s="94">
        <f t="shared" si="194"/>
        <v>0.127</v>
      </c>
      <c r="H1364" s="92" t="s">
        <v>46</v>
      </c>
      <c r="I1364" s="96">
        <f t="shared" si="189"/>
        <v>0.3</v>
      </c>
      <c r="J1364" s="96">
        <f t="shared" si="190"/>
        <v>0.7</v>
      </c>
      <c r="K1364" s="92">
        <f>VLOOKUP(H1364,'Taux émission CO2e'!$A$5:$D$16,4,FALSE)</f>
        <v>0.16</v>
      </c>
      <c r="L1364" s="93">
        <f t="shared" si="195"/>
        <v>4.6063448639999995</v>
      </c>
      <c r="M1364" s="92">
        <f>VLOOKUP(H1364,'Taux émission CO2e'!$A$20:$D$31,4,FALSE)</f>
        <v>6.7400000000000002E-2</v>
      </c>
      <c r="N1364" s="105">
        <f t="shared" si="196"/>
        <v>4.5276531392399999</v>
      </c>
      <c r="O1364" s="93">
        <f t="shared" si="197"/>
        <v>9.1339980032399986</v>
      </c>
      <c r="P1364" s="92">
        <v>168</v>
      </c>
      <c r="Q1364" s="92" t="s">
        <v>58</v>
      </c>
      <c r="R1364" s="92" t="s">
        <v>108</v>
      </c>
      <c r="S1364" s="20">
        <v>755.63400000000001</v>
      </c>
    </row>
    <row r="1365" spans="1:19" x14ac:dyDescent="0.15">
      <c r="A1365" s="90">
        <v>44803</v>
      </c>
      <c r="B1365" s="90" t="str">
        <f t="shared" si="191"/>
        <v>août</v>
      </c>
      <c r="C1365" s="90" t="str">
        <f t="shared" si="192"/>
        <v>2022</v>
      </c>
      <c r="D1365" s="90" t="str">
        <f t="shared" si="193"/>
        <v>août2022</v>
      </c>
      <c r="E1365" s="91" t="s">
        <v>1346</v>
      </c>
      <c r="F1365" s="91">
        <v>342</v>
      </c>
      <c r="G1365" s="94">
        <f t="shared" si="194"/>
        <v>0.34200000000000003</v>
      </c>
      <c r="H1365" s="92" t="s">
        <v>46</v>
      </c>
      <c r="I1365" s="96">
        <f t="shared" si="189"/>
        <v>0.3</v>
      </c>
      <c r="J1365" s="96">
        <f t="shared" si="190"/>
        <v>0.7</v>
      </c>
      <c r="K1365" s="92">
        <f>VLOOKUP(H1365,'Taux émission CO2e'!$A$5:$D$16,4,FALSE)</f>
        <v>0.16</v>
      </c>
      <c r="L1365" s="93">
        <f t="shared" si="195"/>
        <v>8.8840108799999999</v>
      </c>
      <c r="M1365" s="92">
        <f>VLOOKUP(H1365,'Taux émission CO2e'!$A$20:$D$31,4,FALSE)</f>
        <v>6.7400000000000002E-2</v>
      </c>
      <c r="N1365" s="105">
        <f t="shared" si="196"/>
        <v>8.732242360799999</v>
      </c>
      <c r="O1365" s="93">
        <f t="shared" si="197"/>
        <v>17.616253240799999</v>
      </c>
      <c r="P1365" s="92">
        <v>225</v>
      </c>
      <c r="Q1365" s="92" t="s">
        <v>58</v>
      </c>
      <c r="R1365" s="92" t="s">
        <v>65</v>
      </c>
      <c r="S1365" s="20">
        <v>541.17999999999995</v>
      </c>
    </row>
    <row r="1366" spans="1:19" x14ac:dyDescent="0.15">
      <c r="A1366" s="90">
        <v>44803</v>
      </c>
      <c r="B1366" s="90" t="str">
        <f t="shared" si="191"/>
        <v>août</v>
      </c>
      <c r="C1366" s="90" t="str">
        <f t="shared" si="192"/>
        <v>2022</v>
      </c>
      <c r="D1366" s="90" t="str">
        <f t="shared" si="193"/>
        <v>août2022</v>
      </c>
      <c r="E1366" s="91" t="s">
        <v>1347</v>
      </c>
      <c r="F1366" s="91">
        <v>364</v>
      </c>
      <c r="G1366" s="94">
        <f t="shared" si="194"/>
        <v>0.36399999999999999</v>
      </c>
      <c r="H1366" s="92" t="s">
        <v>46</v>
      </c>
      <c r="I1366" s="96">
        <f t="shared" si="189"/>
        <v>0.3</v>
      </c>
      <c r="J1366" s="96">
        <f t="shared" si="190"/>
        <v>0.7</v>
      </c>
      <c r="K1366" s="92">
        <f>VLOOKUP(H1366,'Taux émission CO2e'!$A$5:$D$16,4,FALSE)</f>
        <v>0.16</v>
      </c>
      <c r="L1366" s="93">
        <f t="shared" si="195"/>
        <v>9.4176526080000009</v>
      </c>
      <c r="M1366" s="92">
        <f>VLOOKUP(H1366,'Taux émission CO2e'!$A$20:$D$31,4,FALSE)</f>
        <v>6.7400000000000002E-2</v>
      </c>
      <c r="N1366" s="105">
        <f t="shared" si="196"/>
        <v>9.25676770928</v>
      </c>
      <c r="O1366" s="93">
        <f t="shared" si="197"/>
        <v>18.674420317280003</v>
      </c>
      <c r="P1366" s="92">
        <v>260</v>
      </c>
      <c r="Q1366" s="92" t="s">
        <v>58</v>
      </c>
      <c r="R1366" s="92" t="s">
        <v>405</v>
      </c>
      <c r="S1366" s="20">
        <v>539.01400000000001</v>
      </c>
    </row>
    <row r="1367" spans="1:19" x14ac:dyDescent="0.15">
      <c r="A1367" s="90">
        <v>44804</v>
      </c>
      <c r="B1367" s="90" t="str">
        <f t="shared" si="191"/>
        <v>août</v>
      </c>
      <c r="C1367" s="90" t="str">
        <f t="shared" si="192"/>
        <v>2022</v>
      </c>
      <c r="D1367" s="90" t="str">
        <f t="shared" si="193"/>
        <v>août2022</v>
      </c>
      <c r="E1367" s="91" t="s">
        <v>1348</v>
      </c>
      <c r="F1367" s="91">
        <v>50</v>
      </c>
      <c r="G1367" s="94">
        <f t="shared" si="194"/>
        <v>0.05</v>
      </c>
      <c r="H1367" s="92" t="s">
        <v>46</v>
      </c>
      <c r="I1367" s="96">
        <f t="shared" si="189"/>
        <v>0.3</v>
      </c>
      <c r="J1367" s="96">
        <f t="shared" si="190"/>
        <v>0.7</v>
      </c>
      <c r="K1367" s="92">
        <f>VLOOKUP(H1367,'Taux émission CO2e'!$A$5:$D$16,4,FALSE)</f>
        <v>0.16</v>
      </c>
      <c r="L1367" s="93">
        <f t="shared" si="195"/>
        <v>0.64556159999999996</v>
      </c>
      <c r="M1367" s="92">
        <f>VLOOKUP(H1367,'Taux émission CO2e'!$A$20:$D$31,4,FALSE)</f>
        <v>6.7400000000000002E-2</v>
      </c>
      <c r="N1367" s="105">
        <f t="shared" si="196"/>
        <v>0.63453325599999999</v>
      </c>
      <c r="O1367" s="93">
        <f t="shared" si="197"/>
        <v>1.2800948559999998</v>
      </c>
      <c r="P1367" s="92">
        <v>100</v>
      </c>
      <c r="Q1367" s="92" t="s">
        <v>58</v>
      </c>
      <c r="R1367" s="92" t="s">
        <v>1349</v>
      </c>
      <c r="S1367" s="20">
        <v>268.98399999999998</v>
      </c>
    </row>
    <row r="1368" spans="1:19" x14ac:dyDescent="0.15">
      <c r="A1368" s="90">
        <v>44804</v>
      </c>
      <c r="B1368" s="90" t="str">
        <f t="shared" si="191"/>
        <v>août</v>
      </c>
      <c r="C1368" s="90" t="str">
        <f t="shared" si="192"/>
        <v>2022</v>
      </c>
      <c r="D1368" s="90" t="str">
        <f t="shared" si="193"/>
        <v>août2022</v>
      </c>
      <c r="E1368" s="91" t="s">
        <v>1350</v>
      </c>
      <c r="F1368" s="91">
        <v>128</v>
      </c>
      <c r="G1368" s="94">
        <f t="shared" si="194"/>
        <v>0.128</v>
      </c>
      <c r="H1368" s="92" t="s">
        <v>46</v>
      </c>
      <c r="I1368" s="96">
        <f t="shared" si="189"/>
        <v>0.3</v>
      </c>
      <c r="J1368" s="96">
        <f t="shared" si="190"/>
        <v>0.7</v>
      </c>
      <c r="K1368" s="92">
        <f>VLOOKUP(H1368,'Taux émission CO2e'!$A$5:$D$16,4,FALSE)</f>
        <v>0.16</v>
      </c>
      <c r="L1368" s="93">
        <f t="shared" si="195"/>
        <v>1.7463275520000001</v>
      </c>
      <c r="M1368" s="92">
        <f>VLOOKUP(H1368,'Taux émission CO2e'!$A$20:$D$31,4,FALSE)</f>
        <v>6.7400000000000002E-2</v>
      </c>
      <c r="N1368" s="105">
        <f t="shared" si="196"/>
        <v>1.71649445632</v>
      </c>
      <c r="O1368" s="93">
        <f t="shared" si="197"/>
        <v>3.4628220083199999</v>
      </c>
      <c r="P1368" s="92">
        <v>128</v>
      </c>
      <c r="Q1368" s="92" t="s">
        <v>58</v>
      </c>
      <c r="R1368" s="92" t="s">
        <v>100</v>
      </c>
      <c r="S1368" s="20">
        <v>284.233</v>
      </c>
    </row>
    <row r="1369" spans="1:19" x14ac:dyDescent="0.15">
      <c r="A1369" s="90">
        <v>44804</v>
      </c>
      <c r="B1369" s="90" t="str">
        <f t="shared" si="191"/>
        <v>août</v>
      </c>
      <c r="C1369" s="90" t="str">
        <f t="shared" si="192"/>
        <v>2022</v>
      </c>
      <c r="D1369" s="90" t="str">
        <f t="shared" si="193"/>
        <v>août2022</v>
      </c>
      <c r="E1369" s="91" t="s">
        <v>1351</v>
      </c>
      <c r="F1369" s="91">
        <v>340</v>
      </c>
      <c r="G1369" s="94">
        <f t="shared" si="194"/>
        <v>0.34</v>
      </c>
      <c r="H1369" s="92" t="s">
        <v>46</v>
      </c>
      <c r="I1369" s="96">
        <f t="shared" si="189"/>
        <v>0.3</v>
      </c>
      <c r="J1369" s="96">
        <f t="shared" si="190"/>
        <v>0.7</v>
      </c>
      <c r="K1369" s="92">
        <f>VLOOKUP(H1369,'Taux émission CO2e'!$A$5:$D$16,4,FALSE)</f>
        <v>0.16</v>
      </c>
      <c r="L1369" s="93">
        <f t="shared" si="195"/>
        <v>3.0488044800000003</v>
      </c>
      <c r="M1369" s="92">
        <f>VLOOKUP(H1369,'Taux émission CO2e'!$A$20:$D$31,4,FALSE)</f>
        <v>6.7400000000000002E-2</v>
      </c>
      <c r="N1369" s="105">
        <f t="shared" si="196"/>
        <v>2.9967207368000004</v>
      </c>
      <c r="O1369" s="93">
        <f t="shared" si="197"/>
        <v>6.0455252168000007</v>
      </c>
      <c r="P1369" s="92">
        <v>140</v>
      </c>
      <c r="Q1369" s="92" t="s">
        <v>688</v>
      </c>
      <c r="R1369" s="92" t="s">
        <v>55</v>
      </c>
      <c r="S1369" s="20">
        <v>186.81399999999999</v>
      </c>
    </row>
    <row r="1370" spans="1:19" x14ac:dyDescent="0.15">
      <c r="A1370" s="90">
        <v>44804</v>
      </c>
      <c r="B1370" s="90" t="str">
        <f t="shared" si="191"/>
        <v>août</v>
      </c>
      <c r="C1370" s="90" t="str">
        <f t="shared" si="192"/>
        <v>2022</v>
      </c>
      <c r="D1370" s="90" t="str">
        <f t="shared" si="193"/>
        <v>août2022</v>
      </c>
      <c r="E1370" s="91" t="s">
        <v>1352</v>
      </c>
      <c r="F1370" s="91">
        <v>300</v>
      </c>
      <c r="G1370" s="94">
        <f t="shared" si="194"/>
        <v>0.3</v>
      </c>
      <c r="H1370" s="92" t="s">
        <v>45</v>
      </c>
      <c r="I1370" s="96">
        <f t="shared" si="189"/>
        <v>0.3</v>
      </c>
      <c r="J1370" s="96">
        <f t="shared" si="190"/>
        <v>0.7</v>
      </c>
      <c r="K1370" s="92">
        <f>VLOOKUP(H1370,'Taux émission CO2e'!$A$5:$D$16,4,FALSE)</f>
        <v>0.16</v>
      </c>
      <c r="L1370" s="93">
        <f t="shared" si="195"/>
        <v>7.7429951999999993</v>
      </c>
      <c r="M1370" s="92">
        <f>VLOOKUP(H1370,'Taux émission CO2e'!$A$20:$D$31,4,FALSE)</f>
        <v>6.7400000000000002E-2</v>
      </c>
      <c r="N1370" s="105">
        <f t="shared" si="196"/>
        <v>7.6107190319999996</v>
      </c>
      <c r="O1370" s="93">
        <f t="shared" si="197"/>
        <v>15.353714231999998</v>
      </c>
      <c r="P1370" s="92">
        <v>156</v>
      </c>
      <c r="Q1370" s="92" t="s">
        <v>612</v>
      </c>
      <c r="R1370" s="92" t="s">
        <v>55</v>
      </c>
      <c r="S1370" s="20">
        <v>537.70799999999997</v>
      </c>
    </row>
    <row r="1371" spans="1:19" x14ac:dyDescent="0.15">
      <c r="A1371" s="90">
        <v>44804</v>
      </c>
      <c r="B1371" s="90" t="str">
        <f t="shared" si="191"/>
        <v>août</v>
      </c>
      <c r="C1371" s="90" t="str">
        <f t="shared" si="192"/>
        <v>2022</v>
      </c>
      <c r="D1371" s="90" t="str">
        <f t="shared" si="193"/>
        <v>août2022</v>
      </c>
      <c r="E1371" s="91" t="s">
        <v>1353</v>
      </c>
      <c r="F1371" s="91">
        <v>150</v>
      </c>
      <c r="G1371" s="94">
        <f t="shared" si="194"/>
        <v>0.15</v>
      </c>
      <c r="H1371" s="92" t="s">
        <v>45</v>
      </c>
      <c r="I1371" s="96">
        <f t="shared" si="189"/>
        <v>0.3</v>
      </c>
      <c r="J1371" s="96">
        <f t="shared" si="190"/>
        <v>0.7</v>
      </c>
      <c r="K1371" s="92">
        <f>VLOOKUP(H1371,'Taux émission CO2e'!$A$5:$D$16,4,FALSE)</f>
        <v>0.16</v>
      </c>
      <c r="L1371" s="93">
        <f t="shared" si="195"/>
        <v>2.2767263999999998</v>
      </c>
      <c r="M1371" s="92">
        <f>VLOOKUP(H1371,'Taux émission CO2e'!$A$20:$D$31,4,FALSE)</f>
        <v>6.7400000000000002E-2</v>
      </c>
      <c r="N1371" s="105">
        <f t="shared" si="196"/>
        <v>2.2378323239999998</v>
      </c>
      <c r="O1371" s="93">
        <f t="shared" si="197"/>
        <v>4.5145587239999996</v>
      </c>
      <c r="P1371" s="92">
        <v>158</v>
      </c>
      <c r="Q1371" s="92" t="s">
        <v>1029</v>
      </c>
      <c r="R1371" s="92" t="s">
        <v>55</v>
      </c>
      <c r="S1371" s="20">
        <v>316.21199999999999</v>
      </c>
    </row>
    <row r="1372" spans="1:19" x14ac:dyDescent="0.15">
      <c r="A1372" s="90">
        <v>44804</v>
      </c>
      <c r="B1372" s="90" t="str">
        <f t="shared" si="191"/>
        <v>août</v>
      </c>
      <c r="C1372" s="90" t="str">
        <f t="shared" si="192"/>
        <v>2022</v>
      </c>
      <c r="D1372" s="90" t="str">
        <f t="shared" si="193"/>
        <v>août2022</v>
      </c>
      <c r="E1372" s="91" t="s">
        <v>1354</v>
      </c>
      <c r="F1372" s="91">
        <v>300</v>
      </c>
      <c r="G1372" s="94">
        <f t="shared" si="194"/>
        <v>0.3</v>
      </c>
      <c r="H1372" s="92" t="s">
        <v>45</v>
      </c>
      <c r="I1372" s="96">
        <f t="shared" si="189"/>
        <v>0.3</v>
      </c>
      <c r="J1372" s="96">
        <f t="shared" si="190"/>
        <v>0.7</v>
      </c>
      <c r="K1372" s="92">
        <f>VLOOKUP(H1372,'Taux émission CO2e'!$A$5:$D$16,4,FALSE)</f>
        <v>0.16</v>
      </c>
      <c r="L1372" s="93">
        <f t="shared" si="195"/>
        <v>4.0052879999999993</v>
      </c>
      <c r="M1372" s="92">
        <f>VLOOKUP(H1372,'Taux émission CO2e'!$A$20:$D$31,4,FALSE)</f>
        <v>6.7400000000000002E-2</v>
      </c>
      <c r="N1372" s="105">
        <f t="shared" si="196"/>
        <v>3.9368643299999997</v>
      </c>
      <c r="O1372" s="93">
        <f t="shared" si="197"/>
        <v>7.942152329999999</v>
      </c>
      <c r="P1372" s="92">
        <v>188</v>
      </c>
      <c r="Q1372" s="92" t="s">
        <v>74</v>
      </c>
      <c r="R1372" s="92" t="s">
        <v>55</v>
      </c>
      <c r="S1372" s="20">
        <v>278.14499999999998</v>
      </c>
    </row>
    <row r="1373" spans="1:19" x14ac:dyDescent="0.15">
      <c r="A1373" s="90">
        <v>44804</v>
      </c>
      <c r="B1373" s="90" t="str">
        <f t="shared" si="191"/>
        <v>août</v>
      </c>
      <c r="C1373" s="90" t="str">
        <f t="shared" si="192"/>
        <v>2022</v>
      </c>
      <c r="D1373" s="90" t="str">
        <f t="shared" si="193"/>
        <v>août2022</v>
      </c>
      <c r="E1373" s="91" t="s">
        <v>1355</v>
      </c>
      <c r="F1373" s="91">
        <v>270</v>
      </c>
      <c r="G1373" s="94">
        <f t="shared" si="194"/>
        <v>0.27</v>
      </c>
      <c r="H1373" s="92" t="s">
        <v>46</v>
      </c>
      <c r="I1373" s="96">
        <f t="shared" si="189"/>
        <v>0.3</v>
      </c>
      <c r="J1373" s="96">
        <f t="shared" si="190"/>
        <v>0.7</v>
      </c>
      <c r="K1373" s="92">
        <f>VLOOKUP(H1373,'Taux émission CO2e'!$A$5:$D$16,4,FALSE)</f>
        <v>0.16</v>
      </c>
      <c r="L1373" s="93">
        <f t="shared" si="195"/>
        <v>3.4587388800000003</v>
      </c>
      <c r="M1373" s="92">
        <f>VLOOKUP(H1373,'Taux émission CO2e'!$A$20:$D$31,4,FALSE)</f>
        <v>6.7400000000000002E-2</v>
      </c>
      <c r="N1373" s="105">
        <f t="shared" si="196"/>
        <v>3.3996520908000001</v>
      </c>
      <c r="O1373" s="93">
        <f t="shared" si="197"/>
        <v>6.8583909708000004</v>
      </c>
      <c r="P1373" s="92">
        <v>200</v>
      </c>
      <c r="Q1373" s="92" t="s">
        <v>730</v>
      </c>
      <c r="R1373" s="92" t="s">
        <v>55</v>
      </c>
      <c r="S1373" s="20">
        <v>266.87799999999999</v>
      </c>
    </row>
    <row r="1374" spans="1:19" x14ac:dyDescent="0.15">
      <c r="A1374" s="90">
        <v>44804</v>
      </c>
      <c r="B1374" s="90" t="str">
        <f t="shared" si="191"/>
        <v>août</v>
      </c>
      <c r="C1374" s="90" t="str">
        <f t="shared" si="192"/>
        <v>2022</v>
      </c>
      <c r="D1374" s="90" t="str">
        <f t="shared" si="193"/>
        <v>août2022</v>
      </c>
      <c r="E1374" s="91" t="s">
        <v>1356</v>
      </c>
      <c r="F1374" s="91">
        <v>253</v>
      </c>
      <c r="G1374" s="94">
        <f t="shared" si="194"/>
        <v>0.253</v>
      </c>
      <c r="H1374" s="92" t="s">
        <v>46</v>
      </c>
      <c r="I1374" s="96">
        <f t="shared" si="189"/>
        <v>0.3</v>
      </c>
      <c r="J1374" s="96">
        <f t="shared" si="190"/>
        <v>0.7</v>
      </c>
      <c r="K1374" s="92">
        <f>VLOOKUP(H1374,'Taux émission CO2e'!$A$5:$D$16,4,FALSE)</f>
        <v>0.16</v>
      </c>
      <c r="L1374" s="93">
        <f t="shared" si="195"/>
        <v>3.0867012000000003</v>
      </c>
      <c r="M1374" s="92">
        <f>VLOOKUP(H1374,'Taux émission CO2e'!$A$20:$D$31,4,FALSE)</f>
        <v>6.7400000000000002E-2</v>
      </c>
      <c r="N1374" s="105">
        <f t="shared" si="196"/>
        <v>3.0339700545000001</v>
      </c>
      <c r="O1374" s="93">
        <f t="shared" si="197"/>
        <v>6.1206712545000004</v>
      </c>
      <c r="P1374" s="92">
        <v>200</v>
      </c>
      <c r="Q1374" s="92" t="s">
        <v>58</v>
      </c>
      <c r="R1374" s="92" t="s">
        <v>93</v>
      </c>
      <c r="S1374" s="20">
        <v>254.17500000000001</v>
      </c>
    </row>
    <row r="1375" spans="1:19" x14ac:dyDescent="0.15">
      <c r="A1375" s="90">
        <v>44804</v>
      </c>
      <c r="B1375" s="90" t="str">
        <f t="shared" si="191"/>
        <v>août</v>
      </c>
      <c r="C1375" s="90" t="str">
        <f t="shared" si="192"/>
        <v>2022</v>
      </c>
      <c r="D1375" s="90" t="str">
        <f t="shared" si="193"/>
        <v>août2022</v>
      </c>
      <c r="E1375" s="91" t="s">
        <v>1357</v>
      </c>
      <c r="F1375" s="91">
        <v>514</v>
      </c>
      <c r="G1375" s="94">
        <f t="shared" si="194"/>
        <v>0.51400000000000001</v>
      </c>
      <c r="H1375" s="92" t="s">
        <v>46</v>
      </c>
      <c r="I1375" s="96">
        <f t="shared" si="189"/>
        <v>0.3</v>
      </c>
      <c r="J1375" s="96">
        <f t="shared" si="190"/>
        <v>0.7</v>
      </c>
      <c r="K1375" s="92">
        <f>VLOOKUP(H1375,'Taux émission CO2e'!$A$5:$D$16,4,FALSE)</f>
        <v>0.16</v>
      </c>
      <c r="L1375" s="93">
        <f t="shared" si="195"/>
        <v>9.3865857599999991</v>
      </c>
      <c r="M1375" s="92">
        <f>VLOOKUP(H1375,'Taux émission CO2e'!$A$20:$D$31,4,FALSE)</f>
        <v>6.7400000000000002E-2</v>
      </c>
      <c r="N1375" s="105">
        <f t="shared" si="196"/>
        <v>9.2262315866000009</v>
      </c>
      <c r="O1375" s="93">
        <f t="shared" si="197"/>
        <v>18.6128173466</v>
      </c>
      <c r="P1375" s="92">
        <v>261</v>
      </c>
      <c r="Q1375" s="92" t="s">
        <v>58</v>
      </c>
      <c r="R1375" s="92" t="s">
        <v>83</v>
      </c>
      <c r="S1375" s="20">
        <v>380.45499999999998</v>
      </c>
    </row>
    <row r="1376" spans="1:19" x14ac:dyDescent="0.15">
      <c r="A1376" s="90">
        <v>44804</v>
      </c>
      <c r="B1376" s="90" t="str">
        <f t="shared" si="191"/>
        <v>août</v>
      </c>
      <c r="C1376" s="90" t="str">
        <f t="shared" si="192"/>
        <v>2022</v>
      </c>
      <c r="D1376" s="90" t="str">
        <f t="shared" si="193"/>
        <v>août2022</v>
      </c>
      <c r="E1376" s="91" t="s">
        <v>1358</v>
      </c>
      <c r="F1376" s="91">
        <v>1027</v>
      </c>
      <c r="G1376" s="94">
        <f t="shared" si="194"/>
        <v>1.0269999999999999</v>
      </c>
      <c r="H1376" s="92" t="s">
        <v>43</v>
      </c>
      <c r="I1376" s="96">
        <f t="shared" si="189"/>
        <v>1</v>
      </c>
      <c r="J1376" s="96">
        <f t="shared" si="190"/>
        <v>0</v>
      </c>
      <c r="K1376" s="92">
        <f>VLOOKUP(H1376,'Taux émission CO2e'!$A$5:$D$16,4,FALSE)</f>
        <v>0.16</v>
      </c>
      <c r="L1376" s="93">
        <f t="shared" si="195"/>
        <v>40.882323039999996</v>
      </c>
      <c r="M1376" s="92">
        <f>VLOOKUP(H1376,'Taux émission CO2e'!$A$20:$D$31,4,FALSE)</f>
        <v>0</v>
      </c>
      <c r="N1376" s="105">
        <f t="shared" si="196"/>
        <v>0</v>
      </c>
      <c r="O1376" s="93">
        <f t="shared" si="197"/>
        <v>40.882323039999996</v>
      </c>
      <c r="P1376" s="92">
        <v>300</v>
      </c>
      <c r="Q1376" s="92" t="s">
        <v>58</v>
      </c>
      <c r="R1376" s="92" t="s">
        <v>82</v>
      </c>
      <c r="S1376" s="20">
        <v>248.797</v>
      </c>
    </row>
    <row r="1377" spans="1:19" x14ac:dyDescent="0.15">
      <c r="A1377" s="90">
        <v>44805</v>
      </c>
      <c r="B1377" s="90" t="str">
        <f t="shared" si="191"/>
        <v>septembre</v>
      </c>
      <c r="C1377" s="90" t="str">
        <f t="shared" si="192"/>
        <v>2022</v>
      </c>
      <c r="D1377" s="90" t="str">
        <f t="shared" si="193"/>
        <v>septembre2022</v>
      </c>
      <c r="E1377" s="91" t="s">
        <v>1359</v>
      </c>
      <c r="F1377" s="91">
        <v>200</v>
      </c>
      <c r="G1377" s="94">
        <f t="shared" si="194"/>
        <v>0.2</v>
      </c>
      <c r="H1377" s="92" t="s">
        <v>38</v>
      </c>
      <c r="I1377" s="96">
        <f t="shared" si="189"/>
        <v>1</v>
      </c>
      <c r="J1377" s="96">
        <f t="shared" si="190"/>
        <v>0</v>
      </c>
      <c r="K1377" s="92">
        <f>VLOOKUP(H1377,'Taux émission CO2e'!$A$5:$D$16,4,FALSE)</f>
        <v>0.24099999999999999</v>
      </c>
      <c r="L1377" s="93">
        <f t="shared" si="195"/>
        <v>1.6383661999999999</v>
      </c>
      <c r="M1377" s="92">
        <f>VLOOKUP(H1377,'Taux émission CO2e'!$A$20:$D$31,4,FALSE)</f>
        <v>0</v>
      </c>
      <c r="N1377" s="105">
        <f t="shared" si="196"/>
        <v>0</v>
      </c>
      <c r="O1377" s="93">
        <f t="shared" si="197"/>
        <v>1.6383661999999999</v>
      </c>
      <c r="P1377" s="92">
        <v>100</v>
      </c>
      <c r="Q1377" s="92" t="s">
        <v>67</v>
      </c>
      <c r="R1377" s="92" t="s">
        <v>55</v>
      </c>
      <c r="S1377" s="20">
        <v>33.991</v>
      </c>
    </row>
    <row r="1378" spans="1:19" x14ac:dyDescent="0.15">
      <c r="A1378" s="90">
        <v>44805</v>
      </c>
      <c r="B1378" s="90" t="str">
        <f t="shared" si="191"/>
        <v>septembre</v>
      </c>
      <c r="C1378" s="90" t="str">
        <f t="shared" si="192"/>
        <v>2022</v>
      </c>
      <c r="D1378" s="90" t="str">
        <f t="shared" si="193"/>
        <v>septembre2022</v>
      </c>
      <c r="E1378" s="91" t="s">
        <v>1360</v>
      </c>
      <c r="F1378" s="91">
        <v>149</v>
      </c>
      <c r="G1378" s="94">
        <f t="shared" si="194"/>
        <v>0.14899999999999999</v>
      </c>
      <c r="H1378" s="92" t="s">
        <v>38</v>
      </c>
      <c r="I1378" s="96">
        <f t="shared" si="189"/>
        <v>1</v>
      </c>
      <c r="J1378" s="96">
        <f t="shared" si="190"/>
        <v>0</v>
      </c>
      <c r="K1378" s="92">
        <f>VLOOKUP(H1378,'Taux émission CO2e'!$A$5:$D$16,4,FALSE)</f>
        <v>0.24099999999999999</v>
      </c>
      <c r="L1378" s="93">
        <f t="shared" si="195"/>
        <v>1.2239941739999998</v>
      </c>
      <c r="M1378" s="92">
        <f>VLOOKUP(H1378,'Taux émission CO2e'!$A$20:$D$31,4,FALSE)</f>
        <v>0</v>
      </c>
      <c r="N1378" s="105">
        <f t="shared" si="196"/>
        <v>0</v>
      </c>
      <c r="O1378" s="93">
        <f t="shared" si="197"/>
        <v>1.2239941739999998</v>
      </c>
      <c r="P1378" s="92">
        <v>100</v>
      </c>
      <c r="Q1378" s="92" t="s">
        <v>58</v>
      </c>
      <c r="R1378" s="92" t="s">
        <v>98</v>
      </c>
      <c r="S1378" s="20">
        <v>34.085999999999999</v>
      </c>
    </row>
    <row r="1379" spans="1:19" x14ac:dyDescent="0.15">
      <c r="A1379" s="90">
        <v>44805</v>
      </c>
      <c r="B1379" s="90" t="str">
        <f t="shared" si="191"/>
        <v>septembre</v>
      </c>
      <c r="C1379" s="90" t="str">
        <f t="shared" si="192"/>
        <v>2022</v>
      </c>
      <c r="D1379" s="90" t="str">
        <f t="shared" si="193"/>
        <v>septembre2022</v>
      </c>
      <c r="E1379" s="91" t="s">
        <v>1361</v>
      </c>
      <c r="F1379" s="91">
        <v>150</v>
      </c>
      <c r="G1379" s="94">
        <f t="shared" si="194"/>
        <v>0.15</v>
      </c>
      <c r="H1379" s="92" t="s">
        <v>46</v>
      </c>
      <c r="I1379" s="96">
        <f t="shared" si="189"/>
        <v>0.3</v>
      </c>
      <c r="J1379" s="96">
        <f t="shared" si="190"/>
        <v>0.7</v>
      </c>
      <c r="K1379" s="92">
        <f>VLOOKUP(H1379,'Taux émission CO2e'!$A$5:$D$16,4,FALSE)</f>
        <v>0.16</v>
      </c>
      <c r="L1379" s="93">
        <f t="shared" si="195"/>
        <v>2.0048976000000001</v>
      </c>
      <c r="M1379" s="92">
        <f>VLOOKUP(H1379,'Taux émission CO2e'!$A$20:$D$31,4,FALSE)</f>
        <v>6.7400000000000002E-2</v>
      </c>
      <c r="N1379" s="105">
        <f t="shared" si="196"/>
        <v>1.9706472660000003</v>
      </c>
      <c r="O1379" s="93">
        <f t="shared" si="197"/>
        <v>3.9755448660000003</v>
      </c>
      <c r="P1379" s="92">
        <v>130</v>
      </c>
      <c r="Q1379" s="92" t="s">
        <v>1197</v>
      </c>
      <c r="R1379" s="92" t="s">
        <v>55</v>
      </c>
      <c r="S1379" s="20">
        <v>278.45800000000003</v>
      </c>
    </row>
    <row r="1380" spans="1:19" x14ac:dyDescent="0.15">
      <c r="A1380" s="90">
        <v>44805</v>
      </c>
      <c r="B1380" s="90" t="str">
        <f t="shared" si="191"/>
        <v>septembre</v>
      </c>
      <c r="C1380" s="90" t="str">
        <f t="shared" si="192"/>
        <v>2022</v>
      </c>
      <c r="D1380" s="90" t="str">
        <f t="shared" si="193"/>
        <v>septembre2022</v>
      </c>
      <c r="E1380" s="91" t="s">
        <v>1362</v>
      </c>
      <c r="F1380" s="91">
        <v>300</v>
      </c>
      <c r="G1380" s="94">
        <f t="shared" si="194"/>
        <v>0.3</v>
      </c>
      <c r="H1380" s="92" t="s">
        <v>46</v>
      </c>
      <c r="I1380" s="96">
        <f t="shared" si="189"/>
        <v>0.3</v>
      </c>
      <c r="J1380" s="96">
        <f t="shared" si="190"/>
        <v>0.7</v>
      </c>
      <c r="K1380" s="92">
        <f>VLOOKUP(H1380,'Taux émission CO2e'!$A$5:$D$16,4,FALSE)</f>
        <v>0.16</v>
      </c>
      <c r="L1380" s="93">
        <f t="shared" si="195"/>
        <v>7.7979743999999993</v>
      </c>
      <c r="M1380" s="92">
        <f>VLOOKUP(H1380,'Taux émission CO2e'!$A$20:$D$31,4,FALSE)</f>
        <v>6.7400000000000002E-2</v>
      </c>
      <c r="N1380" s="105">
        <f t="shared" si="196"/>
        <v>7.6647590039999995</v>
      </c>
      <c r="O1380" s="93">
        <f t="shared" si="197"/>
        <v>15.462733403999998</v>
      </c>
      <c r="P1380" s="92">
        <v>250</v>
      </c>
      <c r="Q1380" s="92" t="s">
        <v>62</v>
      </c>
      <c r="R1380" s="92" t="s">
        <v>55</v>
      </c>
      <c r="S1380" s="20">
        <v>541.52599999999995</v>
      </c>
    </row>
    <row r="1381" spans="1:19" x14ac:dyDescent="0.15">
      <c r="A1381" s="90">
        <v>44806</v>
      </c>
      <c r="B1381" s="90" t="str">
        <f t="shared" si="191"/>
        <v>septembre</v>
      </c>
      <c r="C1381" s="90" t="str">
        <f t="shared" si="192"/>
        <v>2022</v>
      </c>
      <c r="D1381" s="90" t="str">
        <f t="shared" si="193"/>
        <v>septembre2022</v>
      </c>
      <c r="E1381" s="91" t="s">
        <v>1363</v>
      </c>
      <c r="F1381" s="91">
        <v>150</v>
      </c>
      <c r="G1381" s="94">
        <f t="shared" si="194"/>
        <v>0.15</v>
      </c>
      <c r="H1381" s="92" t="s">
        <v>45</v>
      </c>
      <c r="I1381" s="96">
        <f t="shared" si="189"/>
        <v>0.3</v>
      </c>
      <c r="J1381" s="96">
        <f t="shared" si="190"/>
        <v>0.7</v>
      </c>
      <c r="K1381" s="92">
        <f>VLOOKUP(H1381,'Taux émission CO2e'!$A$5:$D$16,4,FALSE)</f>
        <v>0.16</v>
      </c>
      <c r="L1381" s="93">
        <f t="shared" si="195"/>
        <v>5.4150624000000001</v>
      </c>
      <c r="M1381" s="92">
        <f>VLOOKUP(H1381,'Taux émission CO2e'!$A$20:$D$31,4,FALSE)</f>
        <v>6.7400000000000002E-2</v>
      </c>
      <c r="N1381" s="105">
        <f t="shared" si="196"/>
        <v>5.3225550840000002</v>
      </c>
      <c r="O1381" s="93">
        <f t="shared" si="197"/>
        <v>10.737617484000001</v>
      </c>
      <c r="P1381" s="92">
        <v>165</v>
      </c>
      <c r="Q1381" s="92" t="s">
        <v>73</v>
      </c>
      <c r="R1381" s="92" t="s">
        <v>55</v>
      </c>
      <c r="S1381" s="20">
        <v>752.09199999999998</v>
      </c>
    </row>
    <row r="1382" spans="1:19" x14ac:dyDescent="0.15">
      <c r="A1382" s="90">
        <v>44806</v>
      </c>
      <c r="B1382" s="90" t="str">
        <f t="shared" si="191"/>
        <v>septembre</v>
      </c>
      <c r="C1382" s="90" t="str">
        <f t="shared" si="192"/>
        <v>2022</v>
      </c>
      <c r="D1382" s="90" t="str">
        <f t="shared" si="193"/>
        <v>septembre2022</v>
      </c>
      <c r="E1382" s="91" t="s">
        <v>1364</v>
      </c>
      <c r="F1382" s="91">
        <v>400</v>
      </c>
      <c r="G1382" s="94">
        <f t="shared" si="194"/>
        <v>0.4</v>
      </c>
      <c r="H1382" s="92" t="s">
        <v>46</v>
      </c>
      <c r="I1382" s="96">
        <f t="shared" si="189"/>
        <v>0.3</v>
      </c>
      <c r="J1382" s="96">
        <f t="shared" si="190"/>
        <v>0.7</v>
      </c>
      <c r="K1382" s="92">
        <f>VLOOKUP(H1382,'Taux émission CO2e'!$A$5:$D$16,4,FALSE)</f>
        <v>0.16</v>
      </c>
      <c r="L1382" s="93">
        <f t="shared" si="195"/>
        <v>5.347142400000001</v>
      </c>
      <c r="M1382" s="92">
        <f>VLOOKUP(H1382,'Taux émission CO2e'!$A$20:$D$31,4,FALSE)</f>
        <v>6.7400000000000002E-2</v>
      </c>
      <c r="N1382" s="105">
        <f t="shared" si="196"/>
        <v>5.2557953839999998</v>
      </c>
      <c r="O1382" s="93">
        <f t="shared" si="197"/>
        <v>10.602937784000002</v>
      </c>
      <c r="P1382" s="92">
        <v>230</v>
      </c>
      <c r="Q1382" s="92" t="s">
        <v>90</v>
      </c>
      <c r="R1382" s="92" t="s">
        <v>55</v>
      </c>
      <c r="S1382" s="20">
        <v>278.49700000000001</v>
      </c>
    </row>
    <row r="1383" spans="1:19" x14ac:dyDescent="0.15">
      <c r="A1383" s="90">
        <v>44806</v>
      </c>
      <c r="B1383" s="90" t="str">
        <f t="shared" si="191"/>
        <v>septembre</v>
      </c>
      <c r="C1383" s="90" t="str">
        <f t="shared" si="192"/>
        <v>2022</v>
      </c>
      <c r="D1383" s="90" t="str">
        <f t="shared" si="193"/>
        <v>septembre2022</v>
      </c>
      <c r="E1383" s="91" t="s">
        <v>1365</v>
      </c>
      <c r="F1383" s="91">
        <v>300</v>
      </c>
      <c r="G1383" s="94">
        <f t="shared" si="194"/>
        <v>0.3</v>
      </c>
      <c r="H1383" s="92" t="s">
        <v>46</v>
      </c>
      <c r="I1383" s="96">
        <f t="shared" si="189"/>
        <v>0.3</v>
      </c>
      <c r="J1383" s="96">
        <f t="shared" si="190"/>
        <v>0.7</v>
      </c>
      <c r="K1383" s="92">
        <f>VLOOKUP(H1383,'Taux émission CO2e'!$A$5:$D$16,4,FALSE)</f>
        <v>0.16</v>
      </c>
      <c r="L1383" s="93">
        <f t="shared" si="195"/>
        <v>5.1763680000000001</v>
      </c>
      <c r="M1383" s="92">
        <f>VLOOKUP(H1383,'Taux émission CO2e'!$A$20:$D$31,4,FALSE)</f>
        <v>6.7400000000000002E-2</v>
      </c>
      <c r="N1383" s="105">
        <f t="shared" si="196"/>
        <v>5.0879383800000006</v>
      </c>
      <c r="O1383" s="93">
        <f t="shared" si="197"/>
        <v>10.264306380000001</v>
      </c>
      <c r="P1383" s="92">
        <v>250</v>
      </c>
      <c r="Q1383" s="92" t="s">
        <v>936</v>
      </c>
      <c r="R1383" s="92" t="s">
        <v>55</v>
      </c>
      <c r="S1383" s="20">
        <v>359.47</v>
      </c>
    </row>
    <row r="1384" spans="1:19" x14ac:dyDescent="0.15">
      <c r="A1384" s="90">
        <v>44806</v>
      </c>
      <c r="B1384" s="90" t="str">
        <f t="shared" si="191"/>
        <v>septembre</v>
      </c>
      <c r="C1384" s="90" t="str">
        <f t="shared" si="192"/>
        <v>2022</v>
      </c>
      <c r="D1384" s="90" t="str">
        <f t="shared" si="193"/>
        <v>septembre2022</v>
      </c>
      <c r="E1384" s="91" t="s">
        <v>1366</v>
      </c>
      <c r="F1384" s="91">
        <v>300</v>
      </c>
      <c r="G1384" s="94">
        <f t="shared" si="194"/>
        <v>0.3</v>
      </c>
      <c r="H1384" s="92" t="s">
        <v>46</v>
      </c>
      <c r="I1384" s="96">
        <f t="shared" si="189"/>
        <v>0.3</v>
      </c>
      <c r="J1384" s="96">
        <f t="shared" si="190"/>
        <v>0.7</v>
      </c>
      <c r="K1384" s="92">
        <f>VLOOKUP(H1384,'Taux émission CO2e'!$A$5:$D$16,4,FALSE)</f>
        <v>0.16</v>
      </c>
      <c r="L1384" s="93">
        <f t="shared" si="195"/>
        <v>3.7158191999999999</v>
      </c>
      <c r="M1384" s="92">
        <f>VLOOKUP(H1384,'Taux émission CO2e'!$A$20:$D$31,4,FALSE)</f>
        <v>6.7400000000000002E-2</v>
      </c>
      <c r="N1384" s="105">
        <f t="shared" si="196"/>
        <v>3.6523406220000001</v>
      </c>
      <c r="O1384" s="93">
        <f t="shared" si="197"/>
        <v>7.368159822</v>
      </c>
      <c r="P1384" s="92">
        <v>260</v>
      </c>
      <c r="Q1384" s="92" t="s">
        <v>102</v>
      </c>
      <c r="R1384" s="92" t="s">
        <v>55</v>
      </c>
      <c r="S1384" s="20">
        <v>258.04300000000001</v>
      </c>
    </row>
    <row r="1385" spans="1:19" x14ac:dyDescent="0.15">
      <c r="A1385" s="90">
        <v>44806</v>
      </c>
      <c r="B1385" s="90" t="str">
        <f t="shared" si="191"/>
        <v>septembre</v>
      </c>
      <c r="C1385" s="90" t="str">
        <f t="shared" si="192"/>
        <v>2022</v>
      </c>
      <c r="D1385" s="90" t="str">
        <f t="shared" si="193"/>
        <v>septembre2022</v>
      </c>
      <c r="E1385" s="91" t="s">
        <v>1367</v>
      </c>
      <c r="F1385" s="91">
        <v>1050</v>
      </c>
      <c r="G1385" s="94">
        <f t="shared" si="194"/>
        <v>1.05</v>
      </c>
      <c r="H1385" s="92" t="s">
        <v>46</v>
      </c>
      <c r="I1385" s="96">
        <f t="shared" si="189"/>
        <v>0.3</v>
      </c>
      <c r="J1385" s="96">
        <f t="shared" si="190"/>
        <v>0.7</v>
      </c>
      <c r="K1385" s="92">
        <f>VLOOKUP(H1385,'Taux émission CO2e'!$A$5:$D$16,4,FALSE)</f>
        <v>0.16</v>
      </c>
      <c r="L1385" s="93">
        <f t="shared" si="195"/>
        <v>37.300939199999995</v>
      </c>
      <c r="M1385" s="92">
        <f>VLOOKUP(H1385,'Taux émission CO2e'!$A$20:$D$31,4,FALSE)</f>
        <v>6.7400000000000002E-2</v>
      </c>
      <c r="N1385" s="105">
        <f t="shared" si="196"/>
        <v>36.663714821999996</v>
      </c>
      <c r="O1385" s="93">
        <f t="shared" si="197"/>
        <v>73.964654021999991</v>
      </c>
      <c r="P1385" s="92">
        <v>580</v>
      </c>
      <c r="Q1385" s="92" t="s">
        <v>473</v>
      </c>
      <c r="R1385" s="92" t="s">
        <v>55</v>
      </c>
      <c r="S1385" s="20">
        <v>740.09799999999996</v>
      </c>
    </row>
    <row r="1386" spans="1:19" x14ac:dyDescent="0.15">
      <c r="A1386" s="90">
        <v>44809</v>
      </c>
      <c r="B1386" s="90" t="str">
        <f t="shared" si="191"/>
        <v>septembre</v>
      </c>
      <c r="C1386" s="90" t="str">
        <f t="shared" si="192"/>
        <v>2022</v>
      </c>
      <c r="D1386" s="90" t="str">
        <f t="shared" si="193"/>
        <v>septembre2022</v>
      </c>
      <c r="E1386" s="91" t="s">
        <v>1368</v>
      </c>
      <c r="F1386" s="91">
        <v>150</v>
      </c>
      <c r="G1386" s="94">
        <f t="shared" si="194"/>
        <v>0.15</v>
      </c>
      <c r="H1386" s="92" t="s">
        <v>46</v>
      </c>
      <c r="I1386" s="96">
        <f t="shared" si="189"/>
        <v>0.3</v>
      </c>
      <c r="J1386" s="96">
        <f t="shared" si="190"/>
        <v>0.7</v>
      </c>
      <c r="K1386" s="92">
        <f>VLOOKUP(H1386,'Taux émission CO2e'!$A$5:$D$16,4,FALSE)</f>
        <v>0.16</v>
      </c>
      <c r="L1386" s="93">
        <f t="shared" si="195"/>
        <v>1.2471839999999998</v>
      </c>
      <c r="M1386" s="92">
        <f>VLOOKUP(H1386,'Taux émission CO2e'!$A$20:$D$31,4,FALSE)</f>
        <v>6.7400000000000002E-2</v>
      </c>
      <c r="N1386" s="105">
        <f t="shared" si="196"/>
        <v>1.2258779399999999</v>
      </c>
      <c r="O1386" s="93">
        <f t="shared" si="197"/>
        <v>2.47306194</v>
      </c>
      <c r="P1386" s="92">
        <v>140</v>
      </c>
      <c r="Q1386" s="92" t="s">
        <v>708</v>
      </c>
      <c r="R1386" s="92" t="s">
        <v>55</v>
      </c>
      <c r="S1386" s="20">
        <v>173.22</v>
      </c>
    </row>
    <row r="1387" spans="1:19" x14ac:dyDescent="0.15">
      <c r="A1387" s="90">
        <v>44809</v>
      </c>
      <c r="B1387" s="90" t="str">
        <f t="shared" si="191"/>
        <v>septembre</v>
      </c>
      <c r="C1387" s="90" t="str">
        <f t="shared" si="192"/>
        <v>2022</v>
      </c>
      <c r="D1387" s="90" t="str">
        <f t="shared" si="193"/>
        <v>septembre2022</v>
      </c>
      <c r="E1387" s="91" t="s">
        <v>1369</v>
      </c>
      <c r="F1387" s="91">
        <v>140</v>
      </c>
      <c r="G1387" s="94">
        <f t="shared" si="194"/>
        <v>0.14000000000000001</v>
      </c>
      <c r="H1387" s="92" t="s">
        <v>45</v>
      </c>
      <c r="I1387" s="96">
        <f t="shared" si="189"/>
        <v>0.3</v>
      </c>
      <c r="J1387" s="96">
        <f t="shared" si="190"/>
        <v>0.7</v>
      </c>
      <c r="K1387" s="92">
        <f>VLOOKUP(H1387,'Taux émission CO2e'!$A$5:$D$16,4,FALSE)</f>
        <v>0.16</v>
      </c>
      <c r="L1387" s="93">
        <f t="shared" si="195"/>
        <v>3.4546377600000002</v>
      </c>
      <c r="M1387" s="92">
        <f>VLOOKUP(H1387,'Taux émission CO2e'!$A$20:$D$31,4,FALSE)</f>
        <v>6.7400000000000002E-2</v>
      </c>
      <c r="N1387" s="105">
        <f t="shared" si="196"/>
        <v>3.3956210316000002</v>
      </c>
      <c r="O1387" s="93">
        <f t="shared" si="197"/>
        <v>6.8502587916</v>
      </c>
      <c r="P1387" s="92">
        <v>165</v>
      </c>
      <c r="Q1387" s="92" t="s">
        <v>1012</v>
      </c>
      <c r="R1387" s="92" t="s">
        <v>55</v>
      </c>
      <c r="S1387" s="20">
        <v>514.08299999999997</v>
      </c>
    </row>
    <row r="1388" spans="1:19" x14ac:dyDescent="0.15">
      <c r="A1388" s="90">
        <v>44809</v>
      </c>
      <c r="B1388" s="90" t="str">
        <f t="shared" si="191"/>
        <v>septembre</v>
      </c>
      <c r="C1388" s="90" t="str">
        <f t="shared" si="192"/>
        <v>2022</v>
      </c>
      <c r="D1388" s="90" t="str">
        <f t="shared" si="193"/>
        <v>septembre2022</v>
      </c>
      <c r="E1388" s="91" t="s">
        <v>1370</v>
      </c>
      <c r="F1388" s="91">
        <v>300</v>
      </c>
      <c r="G1388" s="94">
        <f t="shared" si="194"/>
        <v>0.3</v>
      </c>
      <c r="H1388" s="92" t="s">
        <v>45</v>
      </c>
      <c r="I1388" s="96">
        <f t="shared" si="189"/>
        <v>0.3</v>
      </c>
      <c r="J1388" s="96">
        <f t="shared" si="190"/>
        <v>0.7</v>
      </c>
      <c r="K1388" s="92">
        <f>VLOOKUP(H1388,'Taux émission CO2e'!$A$5:$D$16,4,FALSE)</f>
        <v>0.16</v>
      </c>
      <c r="L1388" s="93">
        <f t="shared" si="195"/>
        <v>7.4372256000000005</v>
      </c>
      <c r="M1388" s="92">
        <f>VLOOKUP(H1388,'Taux émission CO2e'!$A$20:$D$31,4,FALSE)</f>
        <v>6.7400000000000002E-2</v>
      </c>
      <c r="N1388" s="105">
        <f t="shared" si="196"/>
        <v>7.3101729960000004</v>
      </c>
      <c r="O1388" s="93">
        <f t="shared" si="197"/>
        <v>14.747398596</v>
      </c>
      <c r="P1388" s="92">
        <v>224</v>
      </c>
      <c r="Q1388" s="92" t="s">
        <v>52</v>
      </c>
      <c r="R1388" s="92" t="s">
        <v>55</v>
      </c>
      <c r="S1388" s="20">
        <v>516.47400000000005</v>
      </c>
    </row>
    <row r="1389" spans="1:19" x14ac:dyDescent="0.15">
      <c r="A1389" s="90">
        <v>44809</v>
      </c>
      <c r="B1389" s="90" t="str">
        <f t="shared" si="191"/>
        <v>septembre</v>
      </c>
      <c r="C1389" s="90" t="str">
        <f t="shared" si="192"/>
        <v>2022</v>
      </c>
      <c r="D1389" s="90" t="str">
        <f t="shared" si="193"/>
        <v>septembre2022</v>
      </c>
      <c r="E1389" s="91" t="s">
        <v>1371</v>
      </c>
      <c r="F1389" s="91">
        <v>930</v>
      </c>
      <c r="G1389" s="94">
        <f t="shared" si="194"/>
        <v>0.93</v>
      </c>
      <c r="H1389" s="92" t="s">
        <v>46</v>
      </c>
      <c r="I1389" s="96">
        <f t="shared" si="189"/>
        <v>0.3</v>
      </c>
      <c r="J1389" s="96">
        <f t="shared" si="190"/>
        <v>0.7</v>
      </c>
      <c r="K1389" s="92">
        <f>VLOOKUP(H1389,'Taux émission CO2e'!$A$5:$D$16,4,FALSE)</f>
        <v>0.16</v>
      </c>
      <c r="L1389" s="93">
        <f t="shared" si="195"/>
        <v>31.783099680000003</v>
      </c>
      <c r="M1389" s="92">
        <f>VLOOKUP(H1389,'Taux émission CO2e'!$A$20:$D$31,4,FALSE)</f>
        <v>6.7400000000000002E-2</v>
      </c>
      <c r="N1389" s="105">
        <f t="shared" si="196"/>
        <v>31.240138393800002</v>
      </c>
      <c r="O1389" s="93">
        <f t="shared" si="197"/>
        <v>63.023238073800002</v>
      </c>
      <c r="P1389" s="92">
        <v>380</v>
      </c>
      <c r="Q1389" s="92" t="s">
        <v>766</v>
      </c>
      <c r="R1389" s="92" t="s">
        <v>55</v>
      </c>
      <c r="S1389" s="20">
        <v>711.98699999999997</v>
      </c>
    </row>
    <row r="1390" spans="1:19" x14ac:dyDescent="0.15">
      <c r="A1390" s="90">
        <v>44809</v>
      </c>
      <c r="B1390" s="90" t="str">
        <f t="shared" si="191"/>
        <v>septembre</v>
      </c>
      <c r="C1390" s="90" t="str">
        <f t="shared" si="192"/>
        <v>2022</v>
      </c>
      <c r="D1390" s="90" t="str">
        <f t="shared" si="193"/>
        <v>septembre2022</v>
      </c>
      <c r="E1390" s="91" t="s">
        <v>1372</v>
      </c>
      <c r="F1390" s="91">
        <v>750</v>
      </c>
      <c r="G1390" s="94">
        <f t="shared" si="194"/>
        <v>0.75</v>
      </c>
      <c r="H1390" s="92" t="s">
        <v>46</v>
      </c>
      <c r="I1390" s="96">
        <f t="shared" si="189"/>
        <v>0.3</v>
      </c>
      <c r="J1390" s="96">
        <f t="shared" si="190"/>
        <v>0.7</v>
      </c>
      <c r="K1390" s="92">
        <f>VLOOKUP(H1390,'Taux émission CO2e'!$A$5:$D$16,4,FALSE)</f>
        <v>0.16</v>
      </c>
      <c r="L1390" s="93">
        <f t="shared" si="195"/>
        <v>13.701096000000001</v>
      </c>
      <c r="M1390" s="92">
        <f>VLOOKUP(H1390,'Taux émission CO2e'!$A$20:$D$31,4,FALSE)</f>
        <v>6.7400000000000002E-2</v>
      </c>
      <c r="N1390" s="105">
        <f t="shared" si="196"/>
        <v>13.46703561</v>
      </c>
      <c r="O1390" s="93">
        <f t="shared" si="197"/>
        <v>27.168131610000003</v>
      </c>
      <c r="P1390" s="92">
        <v>450</v>
      </c>
      <c r="Q1390" s="92" t="s">
        <v>91</v>
      </c>
      <c r="R1390" s="92" t="s">
        <v>55</v>
      </c>
      <c r="S1390" s="20">
        <v>380.58600000000001</v>
      </c>
    </row>
    <row r="1391" spans="1:19" x14ac:dyDescent="0.15">
      <c r="A1391" s="90">
        <v>44810</v>
      </c>
      <c r="B1391" s="90" t="str">
        <f t="shared" si="191"/>
        <v>septembre</v>
      </c>
      <c r="C1391" s="90" t="str">
        <f t="shared" si="192"/>
        <v>2022</v>
      </c>
      <c r="D1391" s="90" t="str">
        <f t="shared" si="193"/>
        <v>septembre2022</v>
      </c>
      <c r="E1391" s="91" t="s">
        <v>1373</v>
      </c>
      <c r="F1391" s="91">
        <v>214</v>
      </c>
      <c r="G1391" s="94">
        <f t="shared" si="194"/>
        <v>0.214</v>
      </c>
      <c r="H1391" s="92" t="s">
        <v>46</v>
      </c>
      <c r="I1391" s="96">
        <f t="shared" si="189"/>
        <v>0.3</v>
      </c>
      <c r="J1391" s="96">
        <f t="shared" si="190"/>
        <v>0.7</v>
      </c>
      <c r="K1391" s="92">
        <f>VLOOKUP(H1391,'Taux émission CO2e'!$A$5:$D$16,4,FALSE)</f>
        <v>0.16</v>
      </c>
      <c r="L1391" s="93">
        <f t="shared" si="195"/>
        <v>2.6389897919999998</v>
      </c>
      <c r="M1391" s="92">
        <f>VLOOKUP(H1391,'Taux émission CO2e'!$A$20:$D$31,4,FALSE)</f>
        <v>6.7400000000000002E-2</v>
      </c>
      <c r="N1391" s="105">
        <f t="shared" si="196"/>
        <v>2.5939070497199999</v>
      </c>
      <c r="O1391" s="93">
        <f t="shared" si="197"/>
        <v>5.2328968417199997</v>
      </c>
      <c r="P1391" s="92">
        <v>155</v>
      </c>
      <c r="Q1391" s="92" t="s">
        <v>58</v>
      </c>
      <c r="R1391" s="92" t="s">
        <v>60</v>
      </c>
      <c r="S1391" s="20">
        <v>256.911</v>
      </c>
    </row>
    <row r="1392" spans="1:19" x14ac:dyDescent="0.15">
      <c r="A1392" s="90">
        <v>44810</v>
      </c>
      <c r="B1392" s="90" t="str">
        <f t="shared" si="191"/>
        <v>septembre</v>
      </c>
      <c r="C1392" s="90" t="str">
        <f t="shared" si="192"/>
        <v>2022</v>
      </c>
      <c r="D1392" s="90" t="str">
        <f t="shared" si="193"/>
        <v>septembre2022</v>
      </c>
      <c r="E1392" s="91" t="s">
        <v>1374</v>
      </c>
      <c r="F1392" s="91">
        <v>230</v>
      </c>
      <c r="G1392" s="94">
        <f t="shared" si="194"/>
        <v>0.23</v>
      </c>
      <c r="H1392" s="92" t="s">
        <v>46</v>
      </c>
      <c r="I1392" s="96">
        <f t="shared" si="189"/>
        <v>0.3</v>
      </c>
      <c r="J1392" s="96">
        <f t="shared" si="190"/>
        <v>0.7</v>
      </c>
      <c r="K1392" s="92">
        <f>VLOOKUP(H1392,'Taux émission CO2e'!$A$5:$D$16,4,FALSE)</f>
        <v>0.16</v>
      </c>
      <c r="L1392" s="93">
        <f t="shared" si="195"/>
        <v>2.8064011200000003</v>
      </c>
      <c r="M1392" s="92">
        <f>VLOOKUP(H1392,'Taux émission CO2e'!$A$20:$D$31,4,FALSE)</f>
        <v>6.7400000000000002E-2</v>
      </c>
      <c r="N1392" s="105">
        <f t="shared" si="196"/>
        <v>2.7584584342</v>
      </c>
      <c r="O1392" s="93">
        <f t="shared" si="197"/>
        <v>5.5648595541999999</v>
      </c>
      <c r="P1392" s="92">
        <v>158</v>
      </c>
      <c r="Q1392" s="92" t="s">
        <v>871</v>
      </c>
      <c r="R1392" s="92" t="s">
        <v>55</v>
      </c>
      <c r="S1392" s="20">
        <v>254.203</v>
      </c>
    </row>
    <row r="1393" spans="1:19" x14ac:dyDescent="0.15">
      <c r="A1393" s="90">
        <v>44810</v>
      </c>
      <c r="B1393" s="90" t="str">
        <f t="shared" si="191"/>
        <v>septembre</v>
      </c>
      <c r="C1393" s="90" t="str">
        <f t="shared" si="192"/>
        <v>2022</v>
      </c>
      <c r="D1393" s="90" t="str">
        <f t="shared" si="193"/>
        <v>septembre2022</v>
      </c>
      <c r="E1393" s="91" t="s">
        <v>1375</v>
      </c>
      <c r="F1393" s="91">
        <v>342</v>
      </c>
      <c r="G1393" s="94">
        <f t="shared" si="194"/>
        <v>0.34200000000000003</v>
      </c>
      <c r="H1393" s="92" t="s">
        <v>46</v>
      </c>
      <c r="I1393" s="96">
        <f t="shared" si="189"/>
        <v>0.3</v>
      </c>
      <c r="J1393" s="96">
        <f t="shared" si="190"/>
        <v>0.7</v>
      </c>
      <c r="K1393" s="92">
        <f>VLOOKUP(H1393,'Taux émission CO2e'!$A$5:$D$16,4,FALSE)</f>
        <v>0.16</v>
      </c>
      <c r="L1393" s="93">
        <f t="shared" si="195"/>
        <v>8.8840108799999999</v>
      </c>
      <c r="M1393" s="92">
        <f>VLOOKUP(H1393,'Taux émission CO2e'!$A$20:$D$31,4,FALSE)</f>
        <v>6.7400000000000002E-2</v>
      </c>
      <c r="N1393" s="105">
        <f t="shared" si="196"/>
        <v>8.732242360799999</v>
      </c>
      <c r="O1393" s="93">
        <f t="shared" si="197"/>
        <v>17.616253240799999</v>
      </c>
      <c r="P1393" s="92">
        <v>225</v>
      </c>
      <c r="Q1393" s="92" t="s">
        <v>58</v>
      </c>
      <c r="R1393" s="92" t="s">
        <v>65</v>
      </c>
      <c r="S1393" s="20">
        <v>541.17999999999995</v>
      </c>
    </row>
    <row r="1394" spans="1:19" x14ac:dyDescent="0.15">
      <c r="A1394" s="90">
        <v>44810</v>
      </c>
      <c r="B1394" s="90" t="str">
        <f t="shared" si="191"/>
        <v>septembre</v>
      </c>
      <c r="C1394" s="90" t="str">
        <f t="shared" si="192"/>
        <v>2022</v>
      </c>
      <c r="D1394" s="90" t="str">
        <f t="shared" si="193"/>
        <v>septembre2022</v>
      </c>
      <c r="E1394" s="91" t="s">
        <v>1376</v>
      </c>
      <c r="F1394" s="91">
        <v>428</v>
      </c>
      <c r="G1394" s="94">
        <f t="shared" si="194"/>
        <v>0.42799999999999999</v>
      </c>
      <c r="H1394" s="92" t="s">
        <v>46</v>
      </c>
      <c r="I1394" s="96">
        <f t="shared" si="189"/>
        <v>0.3</v>
      </c>
      <c r="J1394" s="96">
        <f t="shared" si="190"/>
        <v>0.7</v>
      </c>
      <c r="K1394" s="92">
        <f>VLOOKUP(H1394,'Taux émission CO2e'!$A$5:$D$16,4,FALSE)</f>
        <v>0.16</v>
      </c>
      <c r="L1394" s="93">
        <f t="shared" si="195"/>
        <v>11.073503616</v>
      </c>
      <c r="M1394" s="92">
        <f>VLOOKUP(H1394,'Taux émission CO2e'!$A$20:$D$31,4,FALSE)</f>
        <v>6.7400000000000002E-2</v>
      </c>
      <c r="N1394" s="105">
        <f t="shared" si="196"/>
        <v>10.88433126256</v>
      </c>
      <c r="O1394" s="93">
        <f t="shared" si="197"/>
        <v>21.95783487856</v>
      </c>
      <c r="P1394" s="92">
        <v>260</v>
      </c>
      <c r="Q1394" s="92" t="s">
        <v>58</v>
      </c>
      <c r="R1394" s="92" t="s">
        <v>405</v>
      </c>
      <c r="S1394" s="20">
        <v>539.01400000000001</v>
      </c>
    </row>
    <row r="1395" spans="1:19" x14ac:dyDescent="0.15">
      <c r="A1395" s="90">
        <v>44810</v>
      </c>
      <c r="B1395" s="90" t="str">
        <f t="shared" si="191"/>
        <v>septembre</v>
      </c>
      <c r="C1395" s="90" t="str">
        <f t="shared" si="192"/>
        <v>2022</v>
      </c>
      <c r="D1395" s="90" t="str">
        <f t="shared" si="193"/>
        <v>septembre2022</v>
      </c>
      <c r="E1395" s="91" t="s">
        <v>1377</v>
      </c>
      <c r="F1395" s="91">
        <v>642</v>
      </c>
      <c r="G1395" s="94">
        <f t="shared" si="194"/>
        <v>0.64200000000000002</v>
      </c>
      <c r="H1395" s="92" t="s">
        <v>46</v>
      </c>
      <c r="I1395" s="96">
        <f t="shared" si="189"/>
        <v>0.3</v>
      </c>
      <c r="J1395" s="96">
        <f t="shared" si="190"/>
        <v>0.7</v>
      </c>
      <c r="K1395" s="92">
        <f>VLOOKUP(H1395,'Taux émission CO2e'!$A$5:$D$16,4,FALSE)</f>
        <v>0.16</v>
      </c>
      <c r="L1395" s="93">
        <f t="shared" si="195"/>
        <v>8.6499895679999987</v>
      </c>
      <c r="M1395" s="92">
        <f>VLOOKUP(H1395,'Taux émission CO2e'!$A$20:$D$31,4,FALSE)</f>
        <v>6.7400000000000002E-2</v>
      </c>
      <c r="N1395" s="105">
        <f t="shared" si="196"/>
        <v>8.5022189128800001</v>
      </c>
      <c r="O1395" s="93">
        <f t="shared" si="197"/>
        <v>17.152208480879999</v>
      </c>
      <c r="P1395" s="92">
        <v>285</v>
      </c>
      <c r="Q1395" s="92" t="s">
        <v>58</v>
      </c>
      <c r="R1395" s="92" t="s">
        <v>80</v>
      </c>
      <c r="S1395" s="20">
        <v>280.69799999999998</v>
      </c>
    </row>
    <row r="1396" spans="1:19" x14ac:dyDescent="0.15">
      <c r="A1396" s="90">
        <v>44810</v>
      </c>
      <c r="B1396" s="90" t="str">
        <f t="shared" si="191"/>
        <v>septembre</v>
      </c>
      <c r="C1396" s="90" t="str">
        <f t="shared" si="192"/>
        <v>2022</v>
      </c>
      <c r="D1396" s="90" t="str">
        <f t="shared" si="193"/>
        <v>septembre2022</v>
      </c>
      <c r="E1396" s="91" t="s">
        <v>1378</v>
      </c>
      <c r="F1396" s="91">
        <v>685</v>
      </c>
      <c r="G1396" s="94">
        <f t="shared" si="194"/>
        <v>0.68500000000000005</v>
      </c>
      <c r="H1396" s="92" t="s">
        <v>46</v>
      </c>
      <c r="I1396" s="96">
        <f t="shared" si="189"/>
        <v>0.3</v>
      </c>
      <c r="J1396" s="96">
        <f t="shared" si="190"/>
        <v>0.7</v>
      </c>
      <c r="K1396" s="92">
        <f>VLOOKUP(H1396,'Taux émission CO2e'!$A$5:$D$16,4,FALSE)</f>
        <v>0.16</v>
      </c>
      <c r="L1396" s="93">
        <f t="shared" si="195"/>
        <v>9.1997911200000004</v>
      </c>
      <c r="M1396" s="92">
        <f>VLOOKUP(H1396,'Taux émission CO2e'!$A$20:$D$31,4,FALSE)</f>
        <v>6.7400000000000002E-2</v>
      </c>
      <c r="N1396" s="105">
        <f t="shared" si="196"/>
        <v>9.0426280216999988</v>
      </c>
      <c r="O1396" s="93">
        <f t="shared" si="197"/>
        <v>18.242419141699997</v>
      </c>
      <c r="P1396" s="92">
        <v>320</v>
      </c>
      <c r="Q1396" s="92" t="s">
        <v>58</v>
      </c>
      <c r="R1396" s="92" t="s">
        <v>70</v>
      </c>
      <c r="S1396" s="20">
        <v>279.79899999999998</v>
      </c>
    </row>
    <row r="1397" spans="1:19" x14ac:dyDescent="0.15">
      <c r="A1397" s="90">
        <v>44811</v>
      </c>
      <c r="B1397" s="90" t="str">
        <f t="shared" si="191"/>
        <v>septembre</v>
      </c>
      <c r="C1397" s="90" t="str">
        <f t="shared" si="192"/>
        <v>2022</v>
      </c>
      <c r="D1397" s="90" t="str">
        <f t="shared" si="193"/>
        <v>septembre2022</v>
      </c>
      <c r="E1397" s="91" t="s">
        <v>1379</v>
      </c>
      <c r="F1397" s="91">
        <v>101</v>
      </c>
      <c r="G1397" s="94">
        <f t="shared" si="194"/>
        <v>0.10100000000000001</v>
      </c>
      <c r="H1397" s="92" t="s">
        <v>46</v>
      </c>
      <c r="I1397" s="96">
        <f t="shared" si="189"/>
        <v>0.3</v>
      </c>
      <c r="J1397" s="96">
        <f t="shared" si="190"/>
        <v>0.7</v>
      </c>
      <c r="K1397" s="92">
        <f>VLOOKUP(H1397,'Taux émission CO2e'!$A$5:$D$16,4,FALSE)</f>
        <v>0.16</v>
      </c>
      <c r="L1397" s="93">
        <f t="shared" si="195"/>
        <v>1.2061678560000002</v>
      </c>
      <c r="M1397" s="92">
        <f>VLOOKUP(H1397,'Taux émission CO2e'!$A$20:$D$31,4,FALSE)</f>
        <v>6.7400000000000002E-2</v>
      </c>
      <c r="N1397" s="105">
        <f t="shared" si="196"/>
        <v>1.18556248846</v>
      </c>
      <c r="O1397" s="93">
        <f t="shared" si="197"/>
        <v>2.39173034446</v>
      </c>
      <c r="P1397" s="92">
        <v>100</v>
      </c>
      <c r="Q1397" s="92" t="s">
        <v>58</v>
      </c>
      <c r="R1397" s="92" t="s">
        <v>82</v>
      </c>
      <c r="S1397" s="20">
        <v>248.797</v>
      </c>
    </row>
    <row r="1398" spans="1:19" x14ac:dyDescent="0.15">
      <c r="A1398" s="90">
        <v>44811</v>
      </c>
      <c r="B1398" s="90" t="str">
        <f t="shared" si="191"/>
        <v>septembre</v>
      </c>
      <c r="C1398" s="90" t="str">
        <f t="shared" si="192"/>
        <v>2022</v>
      </c>
      <c r="D1398" s="90" t="str">
        <f t="shared" si="193"/>
        <v>septembre2022</v>
      </c>
      <c r="E1398" s="91" t="s">
        <v>1380</v>
      </c>
      <c r="F1398" s="91">
        <v>345</v>
      </c>
      <c r="G1398" s="94">
        <f t="shared" si="194"/>
        <v>0.34499999999999997</v>
      </c>
      <c r="H1398" s="92" t="s">
        <v>46</v>
      </c>
      <c r="I1398" s="96">
        <f t="shared" si="189"/>
        <v>0.3</v>
      </c>
      <c r="J1398" s="96">
        <f t="shared" si="190"/>
        <v>0.7</v>
      </c>
      <c r="K1398" s="92">
        <f>VLOOKUP(H1398,'Taux émission CO2e'!$A$5:$D$16,4,FALSE)</f>
        <v>0.16</v>
      </c>
      <c r="L1398" s="93">
        <f t="shared" si="195"/>
        <v>3.0936398399999994</v>
      </c>
      <c r="M1398" s="92">
        <f>VLOOKUP(H1398,'Taux émission CO2e'!$A$20:$D$31,4,FALSE)</f>
        <v>6.7400000000000002E-2</v>
      </c>
      <c r="N1398" s="105">
        <f t="shared" si="196"/>
        <v>3.0407901593999997</v>
      </c>
      <c r="O1398" s="93">
        <f t="shared" si="197"/>
        <v>6.1344299993999991</v>
      </c>
      <c r="P1398" s="92">
        <v>140</v>
      </c>
      <c r="Q1398" s="92" t="s">
        <v>688</v>
      </c>
      <c r="R1398" s="92" t="s">
        <v>55</v>
      </c>
      <c r="S1398" s="20">
        <v>186.81399999999999</v>
      </c>
    </row>
    <row r="1399" spans="1:19" x14ac:dyDescent="0.15">
      <c r="A1399" s="90">
        <v>44811</v>
      </c>
      <c r="B1399" s="90" t="str">
        <f t="shared" si="191"/>
        <v>septembre</v>
      </c>
      <c r="C1399" s="90" t="str">
        <f t="shared" si="192"/>
        <v>2022</v>
      </c>
      <c r="D1399" s="90" t="str">
        <f t="shared" si="193"/>
        <v>septembre2022</v>
      </c>
      <c r="E1399" s="91" t="s">
        <v>1381</v>
      </c>
      <c r="F1399" s="91">
        <v>230</v>
      </c>
      <c r="G1399" s="94">
        <f t="shared" si="194"/>
        <v>0.23</v>
      </c>
      <c r="H1399" s="92" t="s">
        <v>46</v>
      </c>
      <c r="I1399" s="96">
        <f t="shared" si="189"/>
        <v>0.3</v>
      </c>
      <c r="J1399" s="96">
        <f t="shared" si="190"/>
        <v>0.7</v>
      </c>
      <c r="K1399" s="92">
        <f>VLOOKUP(H1399,'Taux émission CO2e'!$A$5:$D$16,4,FALSE)</f>
        <v>0.16</v>
      </c>
      <c r="L1399" s="93">
        <f t="shared" si="195"/>
        <v>2.9463331200000002</v>
      </c>
      <c r="M1399" s="92">
        <f>VLOOKUP(H1399,'Taux émission CO2e'!$A$20:$D$31,4,FALSE)</f>
        <v>6.7400000000000002E-2</v>
      </c>
      <c r="N1399" s="105">
        <f t="shared" si="196"/>
        <v>2.8959999291999998</v>
      </c>
      <c r="O1399" s="93">
        <f t="shared" si="197"/>
        <v>5.8423330492000005</v>
      </c>
      <c r="P1399" s="92">
        <v>158</v>
      </c>
      <c r="Q1399" s="92" t="s">
        <v>730</v>
      </c>
      <c r="R1399" s="92" t="s">
        <v>55</v>
      </c>
      <c r="S1399" s="20">
        <v>266.87799999999999</v>
      </c>
    </row>
    <row r="1400" spans="1:19" x14ac:dyDescent="0.15">
      <c r="A1400" s="90">
        <v>44811</v>
      </c>
      <c r="B1400" s="90" t="str">
        <f t="shared" si="191"/>
        <v>septembre</v>
      </c>
      <c r="C1400" s="90" t="str">
        <f t="shared" si="192"/>
        <v>2022</v>
      </c>
      <c r="D1400" s="90" t="str">
        <f t="shared" si="193"/>
        <v>septembre2022</v>
      </c>
      <c r="E1400" s="91" t="s">
        <v>1382</v>
      </c>
      <c r="F1400" s="91">
        <v>150</v>
      </c>
      <c r="G1400" s="94">
        <f t="shared" si="194"/>
        <v>0.15</v>
      </c>
      <c r="H1400" s="92" t="s">
        <v>45</v>
      </c>
      <c r="I1400" s="96">
        <f t="shared" si="189"/>
        <v>0.3</v>
      </c>
      <c r="J1400" s="96">
        <f t="shared" si="190"/>
        <v>0.7</v>
      </c>
      <c r="K1400" s="92">
        <f>VLOOKUP(H1400,'Taux émission CO2e'!$A$5:$D$16,4,FALSE)</f>
        <v>0.16</v>
      </c>
      <c r="L1400" s="93">
        <f t="shared" si="195"/>
        <v>2.0026439999999996</v>
      </c>
      <c r="M1400" s="92">
        <f>VLOOKUP(H1400,'Taux émission CO2e'!$A$20:$D$31,4,FALSE)</f>
        <v>6.7400000000000002E-2</v>
      </c>
      <c r="N1400" s="105">
        <f t="shared" si="196"/>
        <v>1.9684321649999998</v>
      </c>
      <c r="O1400" s="93">
        <f t="shared" si="197"/>
        <v>3.9710761649999995</v>
      </c>
      <c r="P1400" s="92">
        <v>158</v>
      </c>
      <c r="Q1400" s="92" t="s">
        <v>74</v>
      </c>
      <c r="R1400" s="92" t="s">
        <v>55</v>
      </c>
      <c r="S1400" s="20">
        <v>278.14499999999998</v>
      </c>
    </row>
    <row r="1401" spans="1:19" x14ac:dyDescent="0.15">
      <c r="A1401" s="90">
        <v>44812</v>
      </c>
      <c r="B1401" s="90" t="str">
        <f t="shared" si="191"/>
        <v>septembre</v>
      </c>
      <c r="C1401" s="90" t="str">
        <f t="shared" si="192"/>
        <v>2022</v>
      </c>
      <c r="D1401" s="90" t="str">
        <f t="shared" si="193"/>
        <v>septembre2022</v>
      </c>
      <c r="E1401" s="91" t="s">
        <v>1383</v>
      </c>
      <c r="F1401" s="91">
        <v>265</v>
      </c>
      <c r="G1401" s="94">
        <f t="shared" si="194"/>
        <v>0.26500000000000001</v>
      </c>
      <c r="H1401" s="92" t="s">
        <v>45</v>
      </c>
      <c r="I1401" s="96">
        <f t="shared" si="189"/>
        <v>0.3</v>
      </c>
      <c r="J1401" s="96">
        <f t="shared" si="190"/>
        <v>0.7</v>
      </c>
      <c r="K1401" s="92">
        <f>VLOOKUP(H1401,'Taux émission CO2e'!$A$5:$D$16,4,FALSE)</f>
        <v>0.16</v>
      </c>
      <c r="L1401" s="93">
        <f t="shared" si="195"/>
        <v>6.8396457599999998</v>
      </c>
      <c r="M1401" s="92">
        <f>VLOOKUP(H1401,'Taux émission CO2e'!$A$20:$D$31,4,FALSE)</f>
        <v>6.7400000000000002E-2</v>
      </c>
      <c r="N1401" s="105">
        <f t="shared" si="196"/>
        <v>6.7228018116000001</v>
      </c>
      <c r="O1401" s="93">
        <f t="shared" si="197"/>
        <v>13.5624475716</v>
      </c>
      <c r="P1401" s="92">
        <v>156</v>
      </c>
      <c r="Q1401" s="92" t="s">
        <v>612</v>
      </c>
      <c r="R1401" s="92" t="s">
        <v>55</v>
      </c>
      <c r="S1401" s="20">
        <v>537.70799999999997</v>
      </c>
    </row>
    <row r="1402" spans="1:19" x14ac:dyDescent="0.15">
      <c r="A1402" s="90">
        <v>44812</v>
      </c>
      <c r="B1402" s="90" t="str">
        <f t="shared" si="191"/>
        <v>septembre</v>
      </c>
      <c r="C1402" s="90" t="str">
        <f t="shared" si="192"/>
        <v>2022</v>
      </c>
      <c r="D1402" s="90" t="str">
        <f t="shared" si="193"/>
        <v>septembre2022</v>
      </c>
      <c r="E1402" s="91" t="s">
        <v>1384</v>
      </c>
      <c r="F1402" s="91">
        <v>300</v>
      </c>
      <c r="G1402" s="94">
        <f t="shared" si="194"/>
        <v>0.3</v>
      </c>
      <c r="H1402" s="92" t="s">
        <v>46</v>
      </c>
      <c r="I1402" s="96">
        <f t="shared" si="189"/>
        <v>0.3</v>
      </c>
      <c r="J1402" s="96">
        <f t="shared" si="190"/>
        <v>0.7</v>
      </c>
      <c r="K1402" s="92">
        <f>VLOOKUP(H1402,'Taux émission CO2e'!$A$5:$D$16,4,FALSE)</f>
        <v>0.16</v>
      </c>
      <c r="L1402" s="93">
        <f t="shared" si="195"/>
        <v>7.7979743999999993</v>
      </c>
      <c r="M1402" s="92">
        <f>VLOOKUP(H1402,'Taux émission CO2e'!$A$20:$D$31,4,FALSE)</f>
        <v>6.7400000000000002E-2</v>
      </c>
      <c r="N1402" s="105">
        <f t="shared" si="196"/>
        <v>7.6647590039999995</v>
      </c>
      <c r="O1402" s="93">
        <f t="shared" si="197"/>
        <v>15.462733403999998</v>
      </c>
      <c r="P1402" s="92">
        <v>250</v>
      </c>
      <c r="Q1402" s="92" t="s">
        <v>62</v>
      </c>
      <c r="R1402" s="92" t="s">
        <v>55</v>
      </c>
      <c r="S1402" s="20">
        <v>541.52599999999995</v>
      </c>
    </row>
    <row r="1403" spans="1:19" x14ac:dyDescent="0.15">
      <c r="A1403" s="90">
        <v>44813</v>
      </c>
      <c r="B1403" s="90" t="str">
        <f t="shared" si="191"/>
        <v>septembre</v>
      </c>
      <c r="C1403" s="90" t="str">
        <f t="shared" si="192"/>
        <v>2022</v>
      </c>
      <c r="D1403" s="90" t="str">
        <f t="shared" si="193"/>
        <v>septembre2022</v>
      </c>
      <c r="E1403" s="91" t="s">
        <v>1385</v>
      </c>
      <c r="F1403" s="91">
        <v>155</v>
      </c>
      <c r="G1403" s="94">
        <f t="shared" si="194"/>
        <v>0.155</v>
      </c>
      <c r="H1403" s="92" t="s">
        <v>45</v>
      </c>
      <c r="I1403" s="96">
        <f t="shared" si="189"/>
        <v>0.3</v>
      </c>
      <c r="J1403" s="96">
        <f t="shared" si="190"/>
        <v>0.7</v>
      </c>
      <c r="K1403" s="92">
        <f>VLOOKUP(H1403,'Taux émission CO2e'!$A$5:$D$16,4,FALSE)</f>
        <v>0.16</v>
      </c>
      <c r="L1403" s="93">
        <f t="shared" si="195"/>
        <v>2.35261728</v>
      </c>
      <c r="M1403" s="92">
        <f>VLOOKUP(H1403,'Taux émission CO2e'!$A$20:$D$31,4,FALSE)</f>
        <v>6.7400000000000002E-2</v>
      </c>
      <c r="N1403" s="105">
        <f t="shared" si="196"/>
        <v>2.3124267347999998</v>
      </c>
      <c r="O1403" s="93">
        <f t="shared" si="197"/>
        <v>4.6650440147999994</v>
      </c>
      <c r="P1403" s="92">
        <v>158</v>
      </c>
      <c r="Q1403" s="92" t="s">
        <v>1029</v>
      </c>
      <c r="R1403" s="92" t="s">
        <v>55</v>
      </c>
      <c r="S1403" s="20">
        <v>316.21199999999999</v>
      </c>
    </row>
    <row r="1404" spans="1:19" x14ac:dyDescent="0.15">
      <c r="A1404" s="90">
        <v>44813</v>
      </c>
      <c r="B1404" s="90" t="str">
        <f t="shared" si="191"/>
        <v>septembre</v>
      </c>
      <c r="C1404" s="90" t="str">
        <f t="shared" si="192"/>
        <v>2022</v>
      </c>
      <c r="D1404" s="90" t="str">
        <f t="shared" si="193"/>
        <v>septembre2022</v>
      </c>
      <c r="E1404" s="91" t="s">
        <v>1386</v>
      </c>
      <c r="F1404" s="91">
        <v>400</v>
      </c>
      <c r="G1404" s="94">
        <f t="shared" si="194"/>
        <v>0.4</v>
      </c>
      <c r="H1404" s="92" t="s">
        <v>46</v>
      </c>
      <c r="I1404" s="96">
        <f t="shared" si="189"/>
        <v>0.3</v>
      </c>
      <c r="J1404" s="96">
        <f t="shared" si="190"/>
        <v>0.7</v>
      </c>
      <c r="K1404" s="92">
        <f>VLOOKUP(H1404,'Taux émission CO2e'!$A$5:$D$16,4,FALSE)</f>
        <v>0.16</v>
      </c>
      <c r="L1404" s="93">
        <f t="shared" si="195"/>
        <v>5.347142400000001</v>
      </c>
      <c r="M1404" s="92">
        <f>VLOOKUP(H1404,'Taux émission CO2e'!$A$20:$D$31,4,FALSE)</f>
        <v>6.7400000000000002E-2</v>
      </c>
      <c r="N1404" s="105">
        <f t="shared" si="196"/>
        <v>5.2557953839999998</v>
      </c>
      <c r="O1404" s="93">
        <f t="shared" si="197"/>
        <v>10.602937784000002</v>
      </c>
      <c r="P1404" s="92">
        <v>230</v>
      </c>
      <c r="Q1404" s="92" t="s">
        <v>90</v>
      </c>
      <c r="R1404" s="92" t="s">
        <v>55</v>
      </c>
      <c r="S1404" s="20">
        <v>278.49700000000001</v>
      </c>
    </row>
    <row r="1405" spans="1:19" x14ac:dyDescent="0.15">
      <c r="A1405" s="90">
        <v>44813</v>
      </c>
      <c r="B1405" s="90" t="str">
        <f t="shared" si="191"/>
        <v>septembre</v>
      </c>
      <c r="C1405" s="90" t="str">
        <f t="shared" si="192"/>
        <v>2022</v>
      </c>
      <c r="D1405" s="90" t="str">
        <f t="shared" si="193"/>
        <v>septembre2022</v>
      </c>
      <c r="E1405" s="91" t="s">
        <v>1387</v>
      </c>
      <c r="F1405" s="91">
        <v>450</v>
      </c>
      <c r="G1405" s="94">
        <f t="shared" si="194"/>
        <v>0.45</v>
      </c>
      <c r="H1405" s="92" t="s">
        <v>46</v>
      </c>
      <c r="I1405" s="96">
        <f t="shared" si="189"/>
        <v>0.3</v>
      </c>
      <c r="J1405" s="96">
        <f t="shared" si="190"/>
        <v>0.7</v>
      </c>
      <c r="K1405" s="92">
        <f>VLOOKUP(H1405,'Taux émission CO2e'!$A$5:$D$16,4,FALSE)</f>
        <v>0.16</v>
      </c>
      <c r="L1405" s="93">
        <f t="shared" si="195"/>
        <v>5.5737288000000005</v>
      </c>
      <c r="M1405" s="92">
        <f>VLOOKUP(H1405,'Taux émission CO2e'!$A$20:$D$31,4,FALSE)</f>
        <v>6.7400000000000002E-2</v>
      </c>
      <c r="N1405" s="105">
        <f t="shared" si="196"/>
        <v>5.4785109329999999</v>
      </c>
      <c r="O1405" s="93">
        <f t="shared" si="197"/>
        <v>11.052239733</v>
      </c>
      <c r="P1405" s="92">
        <v>260</v>
      </c>
      <c r="Q1405" s="92" t="s">
        <v>102</v>
      </c>
      <c r="R1405" s="92" t="s">
        <v>55</v>
      </c>
      <c r="S1405" s="20">
        <v>258.04300000000001</v>
      </c>
    </row>
    <row r="1406" spans="1:19" x14ac:dyDescent="0.15">
      <c r="A1406" s="90">
        <v>44816</v>
      </c>
      <c r="B1406" s="90" t="str">
        <f t="shared" si="191"/>
        <v>septembre</v>
      </c>
      <c r="C1406" s="90" t="str">
        <f t="shared" si="192"/>
        <v>2022</v>
      </c>
      <c r="D1406" s="90" t="str">
        <f t="shared" si="193"/>
        <v>septembre2022</v>
      </c>
      <c r="E1406" s="91" t="s">
        <v>1388</v>
      </c>
      <c r="F1406" s="91">
        <v>750</v>
      </c>
      <c r="G1406" s="94">
        <f t="shared" si="194"/>
        <v>0.75</v>
      </c>
      <c r="H1406" s="92" t="s">
        <v>46</v>
      </c>
      <c r="I1406" s="96">
        <f t="shared" si="189"/>
        <v>0.3</v>
      </c>
      <c r="J1406" s="96">
        <f t="shared" si="190"/>
        <v>0.7</v>
      </c>
      <c r="K1406" s="92">
        <f>VLOOKUP(H1406,'Taux émission CO2e'!$A$5:$D$16,4,FALSE)</f>
        <v>0.16</v>
      </c>
      <c r="L1406" s="93">
        <f t="shared" si="195"/>
        <v>13.701096000000001</v>
      </c>
      <c r="M1406" s="92">
        <f>VLOOKUP(H1406,'Taux émission CO2e'!$A$20:$D$31,4,FALSE)</f>
        <v>6.7400000000000002E-2</v>
      </c>
      <c r="N1406" s="105">
        <f t="shared" si="196"/>
        <v>13.46703561</v>
      </c>
      <c r="O1406" s="93">
        <f t="shared" si="197"/>
        <v>27.168131610000003</v>
      </c>
      <c r="P1406" s="92">
        <v>165</v>
      </c>
      <c r="Q1406" s="92" t="s">
        <v>91</v>
      </c>
      <c r="R1406" s="92" t="s">
        <v>55</v>
      </c>
      <c r="S1406" s="20">
        <v>380.58600000000001</v>
      </c>
    </row>
    <row r="1407" spans="1:19" x14ac:dyDescent="0.15">
      <c r="A1407" s="90">
        <v>44816</v>
      </c>
      <c r="B1407" s="90" t="str">
        <f t="shared" si="191"/>
        <v>septembre</v>
      </c>
      <c r="C1407" s="90" t="str">
        <f t="shared" si="192"/>
        <v>2022</v>
      </c>
      <c r="D1407" s="90" t="str">
        <f t="shared" si="193"/>
        <v>septembre2022</v>
      </c>
      <c r="E1407" s="91" t="s">
        <v>1389</v>
      </c>
      <c r="F1407" s="91">
        <v>344</v>
      </c>
      <c r="G1407" s="94">
        <f t="shared" si="194"/>
        <v>0.34399999999999997</v>
      </c>
      <c r="H1407" s="92" t="s">
        <v>46</v>
      </c>
      <c r="I1407" s="96">
        <f t="shared" si="189"/>
        <v>0.3</v>
      </c>
      <c r="J1407" s="96">
        <f t="shared" si="190"/>
        <v>0.7</v>
      </c>
      <c r="K1407" s="92">
        <f>VLOOKUP(H1407,'Taux émission CO2e'!$A$5:$D$16,4,FALSE)</f>
        <v>0.16</v>
      </c>
      <c r="L1407" s="93">
        <f t="shared" si="195"/>
        <v>4.108136064</v>
      </c>
      <c r="M1407" s="92">
        <f>VLOOKUP(H1407,'Taux émission CO2e'!$A$20:$D$31,4,FALSE)</f>
        <v>6.7400000000000002E-2</v>
      </c>
      <c r="N1407" s="105">
        <f t="shared" si="196"/>
        <v>4.0379554062399992</v>
      </c>
      <c r="O1407" s="93">
        <f t="shared" si="197"/>
        <v>8.1460914702399982</v>
      </c>
      <c r="P1407" s="92">
        <v>200</v>
      </c>
      <c r="Q1407" s="92" t="s">
        <v>58</v>
      </c>
      <c r="R1407" s="92" t="s">
        <v>82</v>
      </c>
      <c r="S1407" s="20">
        <v>248.797</v>
      </c>
    </row>
    <row r="1408" spans="1:19" x14ac:dyDescent="0.15">
      <c r="A1408" s="90">
        <v>44816</v>
      </c>
      <c r="B1408" s="90" t="str">
        <f t="shared" si="191"/>
        <v>septembre</v>
      </c>
      <c r="C1408" s="90" t="str">
        <f t="shared" si="192"/>
        <v>2022</v>
      </c>
      <c r="D1408" s="90" t="str">
        <f t="shared" si="193"/>
        <v>septembre2022</v>
      </c>
      <c r="E1408" s="91" t="s">
        <v>1390</v>
      </c>
      <c r="F1408" s="91">
        <v>425</v>
      </c>
      <c r="G1408" s="94">
        <f t="shared" si="194"/>
        <v>0.42499999999999999</v>
      </c>
      <c r="H1408" s="92" t="s">
        <v>46</v>
      </c>
      <c r="I1408" s="96">
        <f t="shared" si="189"/>
        <v>0.3</v>
      </c>
      <c r="J1408" s="96">
        <f t="shared" si="190"/>
        <v>0.7</v>
      </c>
      <c r="K1408" s="92">
        <f>VLOOKUP(H1408,'Taux émission CO2e'!$A$5:$D$16,4,FALSE)</f>
        <v>0.16</v>
      </c>
      <c r="L1408" s="93">
        <f t="shared" si="195"/>
        <v>5.1118116000000002</v>
      </c>
      <c r="M1408" s="92">
        <f>VLOOKUP(H1408,'Taux émission CO2e'!$A$20:$D$31,4,FALSE)</f>
        <v>6.7400000000000002E-2</v>
      </c>
      <c r="N1408" s="105">
        <f t="shared" si="196"/>
        <v>5.0244848185000004</v>
      </c>
      <c r="O1408" s="93">
        <f t="shared" si="197"/>
        <v>10.136296418500001</v>
      </c>
      <c r="P1408" s="92">
        <v>200</v>
      </c>
      <c r="Q1408" s="92" t="s">
        <v>58</v>
      </c>
      <c r="R1408" s="92" t="s">
        <v>79</v>
      </c>
      <c r="S1408" s="20">
        <v>250.57900000000001</v>
      </c>
    </row>
    <row r="1409" spans="1:19" x14ac:dyDescent="0.15">
      <c r="A1409" s="90">
        <v>44816</v>
      </c>
      <c r="B1409" s="90" t="str">
        <f t="shared" si="191"/>
        <v>septembre</v>
      </c>
      <c r="C1409" s="90" t="str">
        <f t="shared" si="192"/>
        <v>2022</v>
      </c>
      <c r="D1409" s="90" t="str">
        <f t="shared" si="193"/>
        <v>septembre2022</v>
      </c>
      <c r="E1409" s="91" t="s">
        <v>1391</v>
      </c>
      <c r="F1409" s="91">
        <v>344</v>
      </c>
      <c r="G1409" s="94">
        <f t="shared" si="194"/>
        <v>0.34399999999999997</v>
      </c>
      <c r="H1409" s="92" t="s">
        <v>46</v>
      </c>
      <c r="I1409" s="96">
        <f t="shared" si="189"/>
        <v>0.3</v>
      </c>
      <c r="J1409" s="96">
        <f t="shared" si="190"/>
        <v>0.7</v>
      </c>
      <c r="K1409" s="92">
        <f>VLOOKUP(H1409,'Taux émission CO2e'!$A$5:$D$16,4,FALSE)</f>
        <v>0.16</v>
      </c>
      <c r="L1409" s="93">
        <f t="shared" si="195"/>
        <v>8.9359641599999993</v>
      </c>
      <c r="M1409" s="92">
        <f>VLOOKUP(H1409,'Taux émission CO2e'!$A$20:$D$31,4,FALSE)</f>
        <v>6.7400000000000002E-2</v>
      </c>
      <c r="N1409" s="105">
        <f t="shared" si="196"/>
        <v>8.783308105599998</v>
      </c>
      <c r="O1409" s="93">
        <f t="shared" si="197"/>
        <v>17.719272265599997</v>
      </c>
      <c r="P1409" s="92">
        <v>225</v>
      </c>
      <c r="Q1409" s="92" t="s">
        <v>58</v>
      </c>
      <c r="R1409" s="92" t="s">
        <v>65</v>
      </c>
      <c r="S1409" s="20">
        <v>541.17999999999995</v>
      </c>
    </row>
    <row r="1410" spans="1:19" x14ac:dyDescent="0.15">
      <c r="A1410" s="90">
        <v>44816</v>
      </c>
      <c r="B1410" s="90" t="str">
        <f t="shared" si="191"/>
        <v>septembre</v>
      </c>
      <c r="C1410" s="90" t="str">
        <f t="shared" si="192"/>
        <v>2022</v>
      </c>
      <c r="D1410" s="90" t="str">
        <f t="shared" si="193"/>
        <v>septembre2022</v>
      </c>
      <c r="E1410" s="91" t="s">
        <v>1392</v>
      </c>
      <c r="F1410" s="91">
        <v>425</v>
      </c>
      <c r="G1410" s="94">
        <f t="shared" si="194"/>
        <v>0.42499999999999999</v>
      </c>
      <c r="H1410" s="92" t="s">
        <v>46</v>
      </c>
      <c r="I1410" s="96">
        <f t="shared" ref="I1410:I1473" si="198">VLOOKUP(H1410,Segment1,2,FALSE)</f>
        <v>0.3</v>
      </c>
      <c r="J1410" s="96">
        <f t="shared" ref="J1410:J1473" si="199">VLOOKUP(H1410,Segment2,2,FALSE)</f>
        <v>0.7</v>
      </c>
      <c r="K1410" s="92">
        <f>VLOOKUP(H1410,'Taux émission CO2e'!$A$5:$D$16,4,FALSE)</f>
        <v>0.16</v>
      </c>
      <c r="L1410" s="93">
        <f t="shared" si="195"/>
        <v>10.995885600000001</v>
      </c>
      <c r="M1410" s="92">
        <f>VLOOKUP(H1410,'Taux émission CO2e'!$A$20:$D$31,4,FALSE)</f>
        <v>6.7400000000000002E-2</v>
      </c>
      <c r="N1410" s="105">
        <f t="shared" si="196"/>
        <v>10.808039221</v>
      </c>
      <c r="O1410" s="93">
        <f t="shared" si="197"/>
        <v>21.803924821000003</v>
      </c>
      <c r="P1410" s="92">
        <v>260</v>
      </c>
      <c r="Q1410" s="92" t="s">
        <v>58</v>
      </c>
      <c r="R1410" s="92" t="s">
        <v>405</v>
      </c>
      <c r="S1410" s="20">
        <v>539.01400000000001</v>
      </c>
    </row>
    <row r="1411" spans="1:19" x14ac:dyDescent="0.15">
      <c r="A1411" s="90">
        <v>44816</v>
      </c>
      <c r="B1411" s="90" t="str">
        <f t="shared" ref="B1411:B1474" si="200">TEXT(A1411,"mmmm")</f>
        <v>septembre</v>
      </c>
      <c r="C1411" s="90" t="str">
        <f t="shared" ref="C1411:C1474" si="201">TEXT(A1411,"aaaa")</f>
        <v>2022</v>
      </c>
      <c r="D1411" s="90" t="str">
        <f t="shared" ref="D1411:D1474" si="202">B1411&amp;C1411</f>
        <v>septembre2022</v>
      </c>
      <c r="E1411" s="91" t="s">
        <v>1393</v>
      </c>
      <c r="F1411" s="91">
        <v>750</v>
      </c>
      <c r="G1411" s="94">
        <f t="shared" ref="G1411:G1474" si="203">F1411/1000</f>
        <v>0.75</v>
      </c>
      <c r="H1411" s="92" t="s">
        <v>45</v>
      </c>
      <c r="I1411" s="96">
        <f t="shared" si="198"/>
        <v>0.3</v>
      </c>
      <c r="J1411" s="96">
        <f t="shared" si="199"/>
        <v>0.7</v>
      </c>
      <c r="K1411" s="92">
        <f>VLOOKUP(H1411,'Taux émission CO2e'!$A$5:$D$16,4,FALSE)</f>
        <v>0.16</v>
      </c>
      <c r="L1411" s="93">
        <f t="shared" ref="L1411:L1474" si="204">IFERROR(I1411*K1411*G1411*S1411,"0")</f>
        <v>18.593064000000005</v>
      </c>
      <c r="M1411" s="92">
        <f>VLOOKUP(H1411,'Taux émission CO2e'!$A$20:$D$31,4,FALSE)</f>
        <v>6.7400000000000002E-2</v>
      </c>
      <c r="N1411" s="105">
        <f t="shared" ref="N1411:N1474" si="205">IFERROR(J1411*M1411*G1411*S1411,"0")</f>
        <v>18.27543249</v>
      </c>
      <c r="O1411" s="93">
        <f t="shared" ref="O1411:O1474" si="206">L1411+N1411</f>
        <v>36.868496490000005</v>
      </c>
      <c r="P1411" s="92">
        <v>450</v>
      </c>
      <c r="Q1411" s="92" t="s">
        <v>52</v>
      </c>
      <c r="R1411" s="92" t="s">
        <v>55</v>
      </c>
      <c r="S1411" s="20">
        <v>516.47400000000005</v>
      </c>
    </row>
    <row r="1412" spans="1:19" x14ac:dyDescent="0.15">
      <c r="A1412" s="90">
        <v>44816</v>
      </c>
      <c r="B1412" s="90" t="str">
        <f t="shared" si="200"/>
        <v>septembre</v>
      </c>
      <c r="C1412" s="90" t="str">
        <f t="shared" si="201"/>
        <v>2022</v>
      </c>
      <c r="D1412" s="90" t="str">
        <f t="shared" si="202"/>
        <v>septembre2022</v>
      </c>
      <c r="E1412" s="91" t="s">
        <v>1394</v>
      </c>
      <c r="F1412" s="91">
        <v>900</v>
      </c>
      <c r="G1412" s="94">
        <f t="shared" si="203"/>
        <v>0.9</v>
      </c>
      <c r="H1412" s="92" t="s">
        <v>46</v>
      </c>
      <c r="I1412" s="96">
        <f t="shared" si="198"/>
        <v>0.3</v>
      </c>
      <c r="J1412" s="96">
        <f t="shared" si="199"/>
        <v>0.7</v>
      </c>
      <c r="K1412" s="92">
        <f>VLOOKUP(H1412,'Taux émission CO2e'!$A$5:$D$16,4,FALSE)</f>
        <v>0.16</v>
      </c>
      <c r="L1412" s="93">
        <f t="shared" si="204"/>
        <v>31.972233599999999</v>
      </c>
      <c r="M1412" s="92">
        <f>VLOOKUP(H1412,'Taux émission CO2e'!$A$20:$D$31,4,FALSE)</f>
        <v>6.7400000000000002E-2</v>
      </c>
      <c r="N1412" s="105">
        <f t="shared" si="205"/>
        <v>31.426041275999999</v>
      </c>
      <c r="O1412" s="93">
        <f t="shared" si="206"/>
        <v>63.398274876000002</v>
      </c>
      <c r="P1412" s="92">
        <v>470</v>
      </c>
      <c r="Q1412" s="92" t="s">
        <v>473</v>
      </c>
      <c r="R1412" s="92" t="s">
        <v>55</v>
      </c>
      <c r="S1412" s="20">
        <v>740.09799999999996</v>
      </c>
    </row>
    <row r="1413" spans="1:19" x14ac:dyDescent="0.15">
      <c r="A1413" s="90">
        <v>44817</v>
      </c>
      <c r="B1413" s="90" t="str">
        <f t="shared" si="200"/>
        <v>septembre</v>
      </c>
      <c r="C1413" s="90" t="str">
        <f t="shared" si="201"/>
        <v>2022</v>
      </c>
      <c r="D1413" s="90" t="str">
        <f t="shared" si="202"/>
        <v>septembre2022</v>
      </c>
      <c r="E1413" s="91" t="s">
        <v>1395</v>
      </c>
      <c r="F1413" s="91">
        <v>135</v>
      </c>
      <c r="G1413" s="94">
        <f t="shared" si="203"/>
        <v>0.13500000000000001</v>
      </c>
      <c r="H1413" s="92" t="s">
        <v>46</v>
      </c>
      <c r="I1413" s="96">
        <f t="shared" si="198"/>
        <v>0.3</v>
      </c>
      <c r="J1413" s="96">
        <f t="shared" si="199"/>
        <v>0.7</v>
      </c>
      <c r="K1413" s="92">
        <f>VLOOKUP(H1413,'Taux émission CO2e'!$A$5:$D$16,4,FALSE)</f>
        <v>0.16</v>
      </c>
      <c r="L1413" s="93">
        <f t="shared" si="204"/>
        <v>3.7396792800000003</v>
      </c>
      <c r="M1413" s="92">
        <f>VLOOKUP(H1413,'Taux émission CO2e'!$A$20:$D$31,4,FALSE)</f>
        <v>6.7400000000000002E-2</v>
      </c>
      <c r="N1413" s="105">
        <f t="shared" si="205"/>
        <v>3.6757930923000002</v>
      </c>
      <c r="O1413" s="93">
        <f t="shared" si="206"/>
        <v>7.4154723723</v>
      </c>
      <c r="P1413" s="92">
        <v>195</v>
      </c>
      <c r="Q1413" s="92" t="s">
        <v>898</v>
      </c>
      <c r="R1413" s="92" t="s">
        <v>55</v>
      </c>
      <c r="S1413" s="20">
        <v>577.11099999999999</v>
      </c>
    </row>
    <row r="1414" spans="1:19" x14ac:dyDescent="0.15">
      <c r="A1414" s="90">
        <v>44817</v>
      </c>
      <c r="B1414" s="90" t="str">
        <f t="shared" si="200"/>
        <v>septembre</v>
      </c>
      <c r="C1414" s="90" t="str">
        <f t="shared" si="201"/>
        <v>2022</v>
      </c>
      <c r="D1414" s="90" t="str">
        <f t="shared" si="202"/>
        <v>septembre2022</v>
      </c>
      <c r="E1414" s="91" t="s">
        <v>1396</v>
      </c>
      <c r="F1414" s="91">
        <v>344</v>
      </c>
      <c r="G1414" s="94">
        <f t="shared" si="203"/>
        <v>0.34399999999999997</v>
      </c>
      <c r="H1414" s="92" t="s">
        <v>45</v>
      </c>
      <c r="I1414" s="96">
        <f t="shared" si="198"/>
        <v>0.3</v>
      </c>
      <c r="J1414" s="96">
        <f t="shared" si="199"/>
        <v>0.7</v>
      </c>
      <c r="K1414" s="92">
        <f>VLOOKUP(H1414,'Taux émission CO2e'!$A$5:$D$16,4,FALSE)</f>
        <v>0.16</v>
      </c>
      <c r="L1414" s="93">
        <f t="shared" si="204"/>
        <v>4.108136064</v>
      </c>
      <c r="M1414" s="92">
        <f>VLOOKUP(H1414,'Taux émission CO2e'!$A$20:$D$31,4,FALSE)</f>
        <v>6.7400000000000002E-2</v>
      </c>
      <c r="N1414" s="105">
        <f t="shared" si="205"/>
        <v>4.0379554062399992</v>
      </c>
      <c r="O1414" s="93">
        <f t="shared" si="206"/>
        <v>8.1460914702399982</v>
      </c>
      <c r="P1414" s="92">
        <v>200</v>
      </c>
      <c r="Q1414" s="92" t="s">
        <v>58</v>
      </c>
      <c r="R1414" s="92" t="s">
        <v>82</v>
      </c>
      <c r="S1414" s="20">
        <v>248.797</v>
      </c>
    </row>
    <row r="1415" spans="1:19" x14ac:dyDescent="0.15">
      <c r="A1415" s="90">
        <v>44817</v>
      </c>
      <c r="B1415" s="90" t="str">
        <f t="shared" si="200"/>
        <v>septembre</v>
      </c>
      <c r="C1415" s="90" t="str">
        <f t="shared" si="201"/>
        <v>2022</v>
      </c>
      <c r="D1415" s="90" t="str">
        <f t="shared" si="202"/>
        <v>septembre2022</v>
      </c>
      <c r="E1415" s="91" t="s">
        <v>1397</v>
      </c>
      <c r="F1415" s="91">
        <v>428</v>
      </c>
      <c r="G1415" s="94">
        <f t="shared" si="203"/>
        <v>0.42799999999999999</v>
      </c>
      <c r="H1415" s="92" t="s">
        <v>45</v>
      </c>
      <c r="I1415" s="96">
        <f t="shared" si="198"/>
        <v>0.3</v>
      </c>
      <c r="J1415" s="96">
        <f t="shared" si="199"/>
        <v>0.7</v>
      </c>
      <c r="K1415" s="92">
        <f>VLOOKUP(H1415,'Taux émission CO2e'!$A$5:$D$16,4,FALSE)</f>
        <v>0.16</v>
      </c>
      <c r="L1415" s="93">
        <f t="shared" si="204"/>
        <v>5.2779795839999997</v>
      </c>
      <c r="M1415" s="92">
        <f>VLOOKUP(H1415,'Taux émission CO2e'!$A$20:$D$31,4,FALSE)</f>
        <v>6.7400000000000002E-2</v>
      </c>
      <c r="N1415" s="105">
        <f t="shared" si="205"/>
        <v>5.1878140994399997</v>
      </c>
      <c r="O1415" s="93">
        <f t="shared" si="206"/>
        <v>10.465793683439999</v>
      </c>
      <c r="P1415" s="92">
        <v>210</v>
      </c>
      <c r="Q1415" s="92" t="s">
        <v>58</v>
      </c>
      <c r="R1415" s="92" t="s">
        <v>60</v>
      </c>
      <c r="S1415" s="20">
        <v>256.911</v>
      </c>
    </row>
    <row r="1416" spans="1:19" x14ac:dyDescent="0.15">
      <c r="A1416" s="90">
        <v>44817</v>
      </c>
      <c r="B1416" s="90" t="str">
        <f t="shared" si="200"/>
        <v>septembre</v>
      </c>
      <c r="C1416" s="90" t="str">
        <f t="shared" si="201"/>
        <v>2022</v>
      </c>
      <c r="D1416" s="90" t="str">
        <f t="shared" si="202"/>
        <v>septembre2022</v>
      </c>
      <c r="E1416" s="91" t="s">
        <v>1398</v>
      </c>
      <c r="F1416" s="91">
        <v>681</v>
      </c>
      <c r="G1416" s="94">
        <f t="shared" si="203"/>
        <v>0.68100000000000005</v>
      </c>
      <c r="H1416" s="92" t="s">
        <v>46</v>
      </c>
      <c r="I1416" s="96">
        <f t="shared" si="198"/>
        <v>0.3</v>
      </c>
      <c r="J1416" s="96">
        <f t="shared" si="199"/>
        <v>0.7</v>
      </c>
      <c r="K1416" s="92">
        <f>VLOOKUP(H1416,'Taux émission CO2e'!$A$5:$D$16,4,FALSE)</f>
        <v>0.16</v>
      </c>
      <c r="L1416" s="93">
        <f t="shared" si="204"/>
        <v>27.373356144000002</v>
      </c>
      <c r="M1416" s="92">
        <f>VLOOKUP(H1416,'Taux émission CO2e'!$A$20:$D$31,4,FALSE)</f>
        <v>6.7400000000000002E-2</v>
      </c>
      <c r="N1416" s="105">
        <f t="shared" si="205"/>
        <v>26.905727976540003</v>
      </c>
      <c r="O1416" s="93">
        <f t="shared" si="206"/>
        <v>54.279084120540006</v>
      </c>
      <c r="P1416" s="92">
        <v>380</v>
      </c>
      <c r="Q1416" s="92" t="s">
        <v>58</v>
      </c>
      <c r="R1416" s="92" t="s">
        <v>61</v>
      </c>
      <c r="S1416" s="20">
        <v>837.41300000000001</v>
      </c>
    </row>
    <row r="1417" spans="1:19" x14ac:dyDescent="0.15">
      <c r="A1417" s="90">
        <v>44818</v>
      </c>
      <c r="B1417" s="90" t="str">
        <f t="shared" si="200"/>
        <v>septembre</v>
      </c>
      <c r="C1417" s="90" t="str">
        <f t="shared" si="201"/>
        <v>2022</v>
      </c>
      <c r="D1417" s="90" t="str">
        <f t="shared" si="202"/>
        <v>septembre2022</v>
      </c>
      <c r="E1417" s="91" t="s">
        <v>1399</v>
      </c>
      <c r="F1417" s="91">
        <v>90</v>
      </c>
      <c r="G1417" s="94">
        <f t="shared" si="203"/>
        <v>0.09</v>
      </c>
      <c r="H1417" s="92" t="s">
        <v>45</v>
      </c>
      <c r="I1417" s="96">
        <f t="shared" si="198"/>
        <v>0.3</v>
      </c>
      <c r="J1417" s="96">
        <f t="shared" si="199"/>
        <v>0.7</v>
      </c>
      <c r="K1417" s="92">
        <f>VLOOKUP(H1417,'Taux émission CO2e'!$A$5:$D$16,4,FALSE)</f>
        <v>0.16</v>
      </c>
      <c r="L1417" s="93">
        <f t="shared" si="204"/>
        <v>0.24048144000000002</v>
      </c>
      <c r="M1417" s="92">
        <f>VLOOKUP(H1417,'Taux émission CO2e'!$A$20:$D$31,4,FALSE)</f>
        <v>6.7400000000000002E-2</v>
      </c>
      <c r="N1417" s="105">
        <f t="shared" si="205"/>
        <v>0.23637321539999998</v>
      </c>
      <c r="O1417" s="93">
        <f t="shared" si="206"/>
        <v>0.47685465539999999</v>
      </c>
      <c r="P1417" s="92">
        <v>80</v>
      </c>
      <c r="Q1417" s="92" t="s">
        <v>1004</v>
      </c>
      <c r="R1417" s="92" t="s">
        <v>55</v>
      </c>
      <c r="S1417" s="20">
        <v>55.667000000000002</v>
      </c>
    </row>
    <row r="1418" spans="1:19" x14ac:dyDescent="0.15">
      <c r="A1418" s="90">
        <v>44818</v>
      </c>
      <c r="B1418" s="90" t="str">
        <f t="shared" si="200"/>
        <v>septembre</v>
      </c>
      <c r="C1418" s="90" t="str">
        <f t="shared" si="201"/>
        <v>2022</v>
      </c>
      <c r="D1418" s="90" t="str">
        <f t="shared" si="202"/>
        <v>septembre2022</v>
      </c>
      <c r="E1418" s="91" t="s">
        <v>1400</v>
      </c>
      <c r="F1418" s="91">
        <v>320</v>
      </c>
      <c r="G1418" s="94">
        <f t="shared" si="203"/>
        <v>0.32</v>
      </c>
      <c r="H1418" s="92" t="s">
        <v>46</v>
      </c>
      <c r="I1418" s="96">
        <f t="shared" si="198"/>
        <v>0.3</v>
      </c>
      <c r="J1418" s="96">
        <f t="shared" si="199"/>
        <v>0.7</v>
      </c>
      <c r="K1418" s="92">
        <f>VLOOKUP(H1418,'Taux émission CO2e'!$A$5:$D$16,4,FALSE)</f>
        <v>0.16</v>
      </c>
      <c r="L1418" s="93">
        <f t="shared" si="204"/>
        <v>2.6606592</v>
      </c>
      <c r="M1418" s="92">
        <f>VLOOKUP(H1418,'Taux émission CO2e'!$A$20:$D$31,4,FALSE)</f>
        <v>6.7400000000000002E-2</v>
      </c>
      <c r="N1418" s="105">
        <f t="shared" si="205"/>
        <v>2.615206272</v>
      </c>
      <c r="O1418" s="93">
        <f t="shared" si="206"/>
        <v>5.2758654719999996</v>
      </c>
      <c r="P1418" s="92">
        <v>200</v>
      </c>
      <c r="Q1418" s="92" t="s">
        <v>708</v>
      </c>
      <c r="R1418" s="92" t="s">
        <v>55</v>
      </c>
      <c r="S1418" s="20">
        <v>173.22</v>
      </c>
    </row>
    <row r="1419" spans="1:19" x14ac:dyDescent="0.15">
      <c r="A1419" s="90">
        <v>44818</v>
      </c>
      <c r="B1419" s="90" t="str">
        <f t="shared" si="200"/>
        <v>septembre</v>
      </c>
      <c r="C1419" s="90" t="str">
        <f t="shared" si="201"/>
        <v>2022</v>
      </c>
      <c r="D1419" s="90" t="str">
        <f t="shared" si="202"/>
        <v>septembre2022</v>
      </c>
      <c r="E1419" s="91" t="s">
        <v>1401</v>
      </c>
      <c r="F1419" s="91">
        <v>310</v>
      </c>
      <c r="G1419" s="94">
        <f t="shared" si="203"/>
        <v>0.31</v>
      </c>
      <c r="H1419" s="92" t="s">
        <v>46</v>
      </c>
      <c r="I1419" s="96">
        <f t="shared" si="198"/>
        <v>0.3</v>
      </c>
      <c r="J1419" s="96">
        <f t="shared" si="199"/>
        <v>0.7</v>
      </c>
      <c r="K1419" s="92">
        <f>VLOOKUP(H1419,'Taux émission CO2e'!$A$5:$D$16,4,FALSE)</f>
        <v>0.16</v>
      </c>
      <c r="L1419" s="93">
        <f t="shared" si="204"/>
        <v>3.9711446399999999</v>
      </c>
      <c r="M1419" s="92">
        <f>VLOOKUP(H1419,'Taux émission CO2e'!$A$20:$D$31,4,FALSE)</f>
        <v>6.7400000000000002E-2</v>
      </c>
      <c r="N1419" s="105">
        <f t="shared" si="205"/>
        <v>3.9033042523999999</v>
      </c>
      <c r="O1419" s="93">
        <f t="shared" si="206"/>
        <v>7.8744488924000002</v>
      </c>
      <c r="P1419" s="92">
        <v>200</v>
      </c>
      <c r="Q1419" s="92" t="s">
        <v>730</v>
      </c>
      <c r="R1419" s="92" t="s">
        <v>55</v>
      </c>
      <c r="S1419" s="20">
        <v>266.87799999999999</v>
      </c>
    </row>
    <row r="1420" spans="1:19" x14ac:dyDescent="0.15">
      <c r="A1420" s="90">
        <v>44819</v>
      </c>
      <c r="B1420" s="90" t="str">
        <f t="shared" si="200"/>
        <v>septembre</v>
      </c>
      <c r="C1420" s="90" t="str">
        <f t="shared" si="201"/>
        <v>2022</v>
      </c>
      <c r="D1420" s="90" t="str">
        <f t="shared" si="202"/>
        <v>septembre2022</v>
      </c>
      <c r="E1420" s="91" t="s">
        <v>1402</v>
      </c>
      <c r="F1420" s="91">
        <v>212</v>
      </c>
      <c r="G1420" s="94">
        <f t="shared" si="203"/>
        <v>0.21199999999999999</v>
      </c>
      <c r="H1420" s="92" t="s">
        <v>38</v>
      </c>
      <c r="I1420" s="96">
        <f t="shared" si="198"/>
        <v>1</v>
      </c>
      <c r="J1420" s="96">
        <f t="shared" si="199"/>
        <v>0</v>
      </c>
      <c r="K1420" s="92">
        <f>VLOOKUP(H1420,'Taux émission CO2e'!$A$5:$D$16,4,FALSE)</f>
        <v>0.24099999999999999</v>
      </c>
      <c r="L1420" s="93">
        <f t="shared" si="204"/>
        <v>1.7415219119999998</v>
      </c>
      <c r="M1420" s="92">
        <f>VLOOKUP(H1420,'Taux émission CO2e'!$A$20:$D$31,4,FALSE)</f>
        <v>0</v>
      </c>
      <c r="N1420" s="105">
        <f t="shared" si="205"/>
        <v>0</v>
      </c>
      <c r="O1420" s="93">
        <f t="shared" si="206"/>
        <v>1.7415219119999998</v>
      </c>
      <c r="P1420" s="92">
        <v>80</v>
      </c>
      <c r="Q1420" s="92" t="s">
        <v>58</v>
      </c>
      <c r="R1420" s="92" t="s">
        <v>98</v>
      </c>
      <c r="S1420" s="20">
        <v>34.085999999999999</v>
      </c>
    </row>
    <row r="1421" spans="1:19" x14ac:dyDescent="0.15">
      <c r="A1421" s="90">
        <v>44819</v>
      </c>
      <c r="B1421" s="90" t="str">
        <f t="shared" si="200"/>
        <v>septembre</v>
      </c>
      <c r="C1421" s="90" t="str">
        <f t="shared" si="201"/>
        <v>2022</v>
      </c>
      <c r="D1421" s="90" t="str">
        <f t="shared" si="202"/>
        <v>septembre2022</v>
      </c>
      <c r="E1421" s="91" t="s">
        <v>1403</v>
      </c>
      <c r="F1421" s="91">
        <v>220</v>
      </c>
      <c r="G1421" s="94">
        <f t="shared" si="203"/>
        <v>0.22</v>
      </c>
      <c r="H1421" s="92" t="s">
        <v>45</v>
      </c>
      <c r="I1421" s="96">
        <f t="shared" si="198"/>
        <v>0.3</v>
      </c>
      <c r="J1421" s="96">
        <f t="shared" si="199"/>
        <v>0.7</v>
      </c>
      <c r="K1421" s="92">
        <f>VLOOKUP(H1421,'Taux émission CO2e'!$A$5:$D$16,4,FALSE)</f>
        <v>0.16</v>
      </c>
      <c r="L1421" s="93">
        <f t="shared" si="204"/>
        <v>4.1085052800000001</v>
      </c>
      <c r="M1421" s="92">
        <f>VLOOKUP(H1421,'Taux émission CO2e'!$A$20:$D$31,4,FALSE)</f>
        <v>6.7400000000000002E-2</v>
      </c>
      <c r="N1421" s="105">
        <f t="shared" si="205"/>
        <v>4.0383183147999997</v>
      </c>
      <c r="O1421" s="93">
        <f t="shared" si="206"/>
        <v>8.1468235948000007</v>
      </c>
      <c r="P1421" s="92">
        <v>125</v>
      </c>
      <c r="Q1421" s="92" t="s">
        <v>842</v>
      </c>
      <c r="R1421" s="92" t="s">
        <v>55</v>
      </c>
      <c r="S1421" s="20">
        <v>389.06299999999999</v>
      </c>
    </row>
    <row r="1422" spans="1:19" x14ac:dyDescent="0.15">
      <c r="A1422" s="90">
        <v>44819</v>
      </c>
      <c r="B1422" s="90" t="str">
        <f t="shared" si="200"/>
        <v>septembre</v>
      </c>
      <c r="C1422" s="90" t="str">
        <f t="shared" si="201"/>
        <v>2022</v>
      </c>
      <c r="D1422" s="90" t="str">
        <f t="shared" si="202"/>
        <v>septembre2022</v>
      </c>
      <c r="E1422" s="91" t="s">
        <v>1404</v>
      </c>
      <c r="F1422" s="91">
        <v>345</v>
      </c>
      <c r="G1422" s="94">
        <f t="shared" si="203"/>
        <v>0.34499999999999997</v>
      </c>
      <c r="H1422" s="92" t="s">
        <v>46</v>
      </c>
      <c r="I1422" s="96">
        <f t="shared" si="198"/>
        <v>0.3</v>
      </c>
      <c r="J1422" s="96">
        <f t="shared" si="199"/>
        <v>0.7</v>
      </c>
      <c r="K1422" s="92">
        <f>VLOOKUP(H1422,'Taux émission CO2e'!$A$5:$D$16,4,FALSE)</f>
        <v>0.16</v>
      </c>
      <c r="L1422" s="93">
        <f t="shared" si="204"/>
        <v>3.0936398399999994</v>
      </c>
      <c r="M1422" s="92">
        <f>VLOOKUP(H1422,'Taux émission CO2e'!$A$20:$D$31,4,FALSE)</f>
        <v>6.7400000000000002E-2</v>
      </c>
      <c r="N1422" s="105">
        <f t="shared" si="205"/>
        <v>3.0407901593999997</v>
      </c>
      <c r="O1422" s="93">
        <f t="shared" si="206"/>
        <v>6.1344299993999991</v>
      </c>
      <c r="P1422" s="92">
        <v>140</v>
      </c>
      <c r="Q1422" s="92" t="s">
        <v>688</v>
      </c>
      <c r="R1422" s="92" t="s">
        <v>55</v>
      </c>
      <c r="S1422" s="20">
        <v>186.81399999999999</v>
      </c>
    </row>
    <row r="1423" spans="1:19" x14ac:dyDescent="0.15">
      <c r="A1423" s="90">
        <v>44819</v>
      </c>
      <c r="B1423" s="90" t="str">
        <f t="shared" si="200"/>
        <v>septembre</v>
      </c>
      <c r="C1423" s="90" t="str">
        <f t="shared" si="201"/>
        <v>2022</v>
      </c>
      <c r="D1423" s="90" t="str">
        <f t="shared" si="202"/>
        <v>septembre2022</v>
      </c>
      <c r="E1423" s="91" t="s">
        <v>1405</v>
      </c>
      <c r="F1423" s="91">
        <v>429</v>
      </c>
      <c r="G1423" s="94">
        <f t="shared" si="203"/>
        <v>0.42899999999999999</v>
      </c>
      <c r="H1423" s="92" t="s">
        <v>45</v>
      </c>
      <c r="I1423" s="96">
        <f t="shared" si="198"/>
        <v>0.3</v>
      </c>
      <c r="J1423" s="96">
        <f t="shared" si="199"/>
        <v>0.7</v>
      </c>
      <c r="K1423" s="92">
        <f>VLOOKUP(H1423,'Taux émission CO2e'!$A$5:$D$16,4,FALSE)</f>
        <v>0.16</v>
      </c>
      <c r="L1423" s="93">
        <f t="shared" si="204"/>
        <v>11.072483135999999</v>
      </c>
      <c r="M1423" s="92">
        <f>VLOOKUP(H1423,'Taux émission CO2e'!$A$20:$D$31,4,FALSE)</f>
        <v>6.7400000000000002E-2</v>
      </c>
      <c r="N1423" s="105">
        <f t="shared" si="205"/>
        <v>10.883328215759999</v>
      </c>
      <c r="O1423" s="93">
        <f t="shared" si="206"/>
        <v>21.955811351759998</v>
      </c>
      <c r="P1423" s="92">
        <v>195</v>
      </c>
      <c r="Q1423" s="92" t="s">
        <v>612</v>
      </c>
      <c r="R1423" s="92" t="s">
        <v>55</v>
      </c>
      <c r="S1423" s="20">
        <v>537.70799999999997</v>
      </c>
    </row>
    <row r="1424" spans="1:19" x14ac:dyDescent="0.15">
      <c r="A1424" s="90">
        <v>44819</v>
      </c>
      <c r="B1424" s="90" t="str">
        <f t="shared" si="200"/>
        <v>septembre</v>
      </c>
      <c r="C1424" s="90" t="str">
        <f t="shared" si="201"/>
        <v>2022</v>
      </c>
      <c r="D1424" s="90" t="str">
        <f t="shared" si="202"/>
        <v>septembre2022</v>
      </c>
      <c r="E1424" s="91" t="s">
        <v>1406</v>
      </c>
      <c r="F1424" s="91">
        <v>533</v>
      </c>
      <c r="G1424" s="94">
        <f t="shared" si="203"/>
        <v>0.53300000000000003</v>
      </c>
      <c r="H1424" s="92" t="s">
        <v>46</v>
      </c>
      <c r="I1424" s="96">
        <f t="shared" si="198"/>
        <v>0.3</v>
      </c>
      <c r="J1424" s="96">
        <f t="shared" si="199"/>
        <v>0.7</v>
      </c>
      <c r="K1424" s="92">
        <f>VLOOKUP(H1424,'Taux émission CO2e'!$A$5:$D$16,4,FALSE)</f>
        <v>0.16</v>
      </c>
      <c r="L1424" s="93">
        <f t="shared" si="204"/>
        <v>7.1813776320000002</v>
      </c>
      <c r="M1424" s="92">
        <f>VLOOKUP(H1424,'Taux émission CO2e'!$A$20:$D$31,4,FALSE)</f>
        <v>6.7400000000000002E-2</v>
      </c>
      <c r="N1424" s="105">
        <f t="shared" si="205"/>
        <v>7.0586957641199994</v>
      </c>
      <c r="O1424" s="93">
        <f t="shared" si="206"/>
        <v>14.24007339612</v>
      </c>
      <c r="P1424" s="92">
        <v>234</v>
      </c>
      <c r="Q1424" s="92" t="s">
        <v>58</v>
      </c>
      <c r="R1424" s="92" t="s">
        <v>80</v>
      </c>
      <c r="S1424" s="20">
        <v>280.69799999999998</v>
      </c>
    </row>
    <row r="1425" spans="1:19" x14ac:dyDescent="0.15">
      <c r="A1425" s="90">
        <v>44819</v>
      </c>
      <c r="B1425" s="90" t="str">
        <f t="shared" si="200"/>
        <v>septembre</v>
      </c>
      <c r="C1425" s="90" t="str">
        <f t="shared" si="201"/>
        <v>2022</v>
      </c>
      <c r="D1425" s="90" t="str">
        <f t="shared" si="202"/>
        <v>septembre2022</v>
      </c>
      <c r="E1425" s="91" t="s">
        <v>1407</v>
      </c>
      <c r="F1425" s="91">
        <v>300</v>
      </c>
      <c r="G1425" s="94">
        <f t="shared" si="203"/>
        <v>0.3</v>
      </c>
      <c r="H1425" s="92" t="s">
        <v>46</v>
      </c>
      <c r="I1425" s="96">
        <f t="shared" si="198"/>
        <v>0.3</v>
      </c>
      <c r="J1425" s="96">
        <f t="shared" si="199"/>
        <v>0.7</v>
      </c>
      <c r="K1425" s="92">
        <f>VLOOKUP(H1425,'Taux émission CO2e'!$A$5:$D$16,4,FALSE)</f>
        <v>0.16</v>
      </c>
      <c r="L1425" s="93">
        <f t="shared" si="204"/>
        <v>7.7979743999999993</v>
      </c>
      <c r="M1425" s="92">
        <f>VLOOKUP(H1425,'Taux émission CO2e'!$A$20:$D$31,4,FALSE)</f>
        <v>6.7400000000000002E-2</v>
      </c>
      <c r="N1425" s="105">
        <f t="shared" si="205"/>
        <v>7.6647590039999995</v>
      </c>
      <c r="O1425" s="93">
        <f t="shared" si="206"/>
        <v>15.462733403999998</v>
      </c>
      <c r="P1425" s="92">
        <v>250</v>
      </c>
      <c r="Q1425" s="92" t="s">
        <v>62</v>
      </c>
      <c r="R1425" s="92" t="s">
        <v>55</v>
      </c>
      <c r="S1425" s="20">
        <v>541.52599999999995</v>
      </c>
    </row>
    <row r="1426" spans="1:19" x14ac:dyDescent="0.15">
      <c r="A1426" s="90">
        <v>44819</v>
      </c>
      <c r="B1426" s="90" t="str">
        <f t="shared" si="200"/>
        <v>septembre</v>
      </c>
      <c r="C1426" s="90" t="str">
        <f t="shared" si="201"/>
        <v>2022</v>
      </c>
      <c r="D1426" s="90" t="str">
        <f t="shared" si="202"/>
        <v>septembre2022</v>
      </c>
      <c r="E1426" s="91" t="s">
        <v>1408</v>
      </c>
      <c r="F1426" s="91">
        <v>1017</v>
      </c>
      <c r="G1426" s="94">
        <f t="shared" si="203"/>
        <v>1.0169999999999999</v>
      </c>
      <c r="H1426" s="92" t="s">
        <v>46</v>
      </c>
      <c r="I1426" s="96">
        <f t="shared" si="198"/>
        <v>0.3</v>
      </c>
      <c r="J1426" s="96">
        <f t="shared" si="199"/>
        <v>0.7</v>
      </c>
      <c r="K1426" s="92">
        <f>VLOOKUP(H1426,'Taux émission CO2e'!$A$5:$D$16,4,FALSE)</f>
        <v>0.16</v>
      </c>
      <c r="L1426" s="93">
        <f t="shared" si="204"/>
        <v>9.2058677279999994</v>
      </c>
      <c r="M1426" s="92">
        <f>VLOOKUP(H1426,'Taux émission CO2e'!$A$20:$D$31,4,FALSE)</f>
        <v>6.7400000000000002E-2</v>
      </c>
      <c r="N1426" s="105">
        <f t="shared" si="205"/>
        <v>9.0486008209799991</v>
      </c>
      <c r="O1426" s="93">
        <f t="shared" si="206"/>
        <v>18.25446854898</v>
      </c>
      <c r="P1426" s="92">
        <v>295</v>
      </c>
      <c r="Q1426" s="92" t="s">
        <v>58</v>
      </c>
      <c r="R1426" s="92" t="s">
        <v>531</v>
      </c>
      <c r="S1426" s="20">
        <v>188.583</v>
      </c>
    </row>
    <row r="1427" spans="1:19" x14ac:dyDescent="0.15">
      <c r="A1427" s="90">
        <v>44819</v>
      </c>
      <c r="B1427" s="90" t="str">
        <f t="shared" si="200"/>
        <v>septembre</v>
      </c>
      <c r="C1427" s="90" t="str">
        <f t="shared" si="201"/>
        <v>2022</v>
      </c>
      <c r="D1427" s="90" t="str">
        <f t="shared" si="202"/>
        <v>septembre2022</v>
      </c>
      <c r="E1427" s="91" t="s">
        <v>1409</v>
      </c>
      <c r="F1427" s="91">
        <v>1362</v>
      </c>
      <c r="G1427" s="94">
        <f t="shared" si="203"/>
        <v>1.3620000000000001</v>
      </c>
      <c r="H1427" s="92" t="s">
        <v>46</v>
      </c>
      <c r="I1427" s="96">
        <f t="shared" si="198"/>
        <v>0.3</v>
      </c>
      <c r="J1427" s="96">
        <f t="shared" si="199"/>
        <v>0.7</v>
      </c>
      <c r="K1427" s="92">
        <f>VLOOKUP(H1427,'Taux émission CO2e'!$A$5:$D$16,4,FALSE)</f>
        <v>0.16</v>
      </c>
      <c r="L1427" s="93">
        <f t="shared" si="204"/>
        <v>17.400868416000002</v>
      </c>
      <c r="M1427" s="92">
        <f>VLOOKUP(H1427,'Taux émission CO2e'!$A$20:$D$31,4,FALSE)</f>
        <v>6.7400000000000002E-2</v>
      </c>
      <c r="N1427" s="105">
        <f t="shared" si="205"/>
        <v>17.103603580560002</v>
      </c>
      <c r="O1427" s="93">
        <f t="shared" si="206"/>
        <v>34.50447199656</v>
      </c>
      <c r="P1427" s="92">
        <v>325</v>
      </c>
      <c r="Q1427" s="92" t="s">
        <v>58</v>
      </c>
      <c r="R1427" s="92" t="s">
        <v>53</v>
      </c>
      <c r="S1427" s="20">
        <v>266.166</v>
      </c>
    </row>
    <row r="1428" spans="1:19" x14ac:dyDescent="0.15">
      <c r="A1428" s="90">
        <v>44820</v>
      </c>
      <c r="B1428" s="90" t="str">
        <f t="shared" si="200"/>
        <v>septembre</v>
      </c>
      <c r="C1428" s="90" t="str">
        <f t="shared" si="201"/>
        <v>2022</v>
      </c>
      <c r="D1428" s="90" t="str">
        <f t="shared" si="202"/>
        <v>septembre2022</v>
      </c>
      <c r="E1428" s="91" t="s">
        <v>1410</v>
      </c>
      <c r="F1428" s="91">
        <v>427</v>
      </c>
      <c r="G1428" s="94">
        <f t="shared" si="203"/>
        <v>0.42699999999999999</v>
      </c>
      <c r="H1428" s="92" t="s">
        <v>46</v>
      </c>
      <c r="I1428" s="96">
        <f t="shared" si="198"/>
        <v>0.3</v>
      </c>
      <c r="J1428" s="96">
        <f t="shared" si="199"/>
        <v>0.7</v>
      </c>
      <c r="K1428" s="92">
        <f>VLOOKUP(H1428,'Taux émission CO2e'!$A$5:$D$16,4,FALSE)</f>
        <v>0.16</v>
      </c>
      <c r="L1428" s="93">
        <f t="shared" si="204"/>
        <v>5.2656478560000002</v>
      </c>
      <c r="M1428" s="92">
        <f>VLOOKUP(H1428,'Taux émission CO2e'!$A$20:$D$31,4,FALSE)</f>
        <v>6.7400000000000002E-2</v>
      </c>
      <c r="N1428" s="105">
        <f t="shared" si="205"/>
        <v>5.1756930384599995</v>
      </c>
      <c r="O1428" s="93">
        <f t="shared" si="206"/>
        <v>10.44134089446</v>
      </c>
      <c r="P1428" s="92">
        <v>210</v>
      </c>
      <c r="Q1428" s="92" t="s">
        <v>58</v>
      </c>
      <c r="R1428" s="92" t="s">
        <v>60</v>
      </c>
      <c r="S1428" s="20">
        <v>256.911</v>
      </c>
    </row>
    <row r="1429" spans="1:19" x14ac:dyDescent="0.15">
      <c r="A1429" s="90">
        <v>44820</v>
      </c>
      <c r="B1429" s="90" t="str">
        <f t="shared" si="200"/>
        <v>septembre</v>
      </c>
      <c r="C1429" s="90" t="str">
        <f t="shared" si="201"/>
        <v>2022</v>
      </c>
      <c r="D1429" s="90" t="str">
        <f t="shared" si="202"/>
        <v>septembre2022</v>
      </c>
      <c r="E1429" s="91" t="s">
        <v>1411</v>
      </c>
      <c r="F1429" s="91">
        <v>300</v>
      </c>
      <c r="G1429" s="94">
        <f t="shared" si="203"/>
        <v>0.3</v>
      </c>
      <c r="H1429" s="92" t="s">
        <v>46</v>
      </c>
      <c r="I1429" s="96">
        <f t="shared" si="198"/>
        <v>0.3</v>
      </c>
      <c r="J1429" s="96">
        <f t="shared" si="199"/>
        <v>0.7</v>
      </c>
      <c r="K1429" s="92">
        <f>VLOOKUP(H1429,'Taux émission CO2e'!$A$5:$D$16,4,FALSE)</f>
        <v>0.16</v>
      </c>
      <c r="L1429" s="93">
        <f t="shared" si="204"/>
        <v>4.0103568000000003</v>
      </c>
      <c r="M1429" s="92">
        <f>VLOOKUP(H1429,'Taux émission CO2e'!$A$20:$D$31,4,FALSE)</f>
        <v>6.7400000000000002E-2</v>
      </c>
      <c r="N1429" s="105">
        <f t="shared" si="205"/>
        <v>3.9418465380000001</v>
      </c>
      <c r="O1429" s="93">
        <f t="shared" si="206"/>
        <v>7.9522033380000003</v>
      </c>
      <c r="P1429" s="92">
        <v>230</v>
      </c>
      <c r="Q1429" s="92" t="s">
        <v>90</v>
      </c>
      <c r="R1429" s="92" t="s">
        <v>55</v>
      </c>
      <c r="S1429" s="20">
        <v>278.49700000000001</v>
      </c>
    </row>
    <row r="1430" spans="1:19" x14ac:dyDescent="0.15">
      <c r="A1430" s="90">
        <v>44820</v>
      </c>
      <c r="B1430" s="90" t="str">
        <f t="shared" si="200"/>
        <v>septembre</v>
      </c>
      <c r="C1430" s="90" t="str">
        <f t="shared" si="201"/>
        <v>2022</v>
      </c>
      <c r="D1430" s="90" t="str">
        <f t="shared" si="202"/>
        <v>septembre2022</v>
      </c>
      <c r="E1430" s="91" t="s">
        <v>1412</v>
      </c>
      <c r="F1430" s="91">
        <v>300</v>
      </c>
      <c r="G1430" s="94">
        <f t="shared" si="203"/>
        <v>0.3</v>
      </c>
      <c r="H1430" s="92" t="s">
        <v>46</v>
      </c>
      <c r="I1430" s="96">
        <f t="shared" si="198"/>
        <v>0.3</v>
      </c>
      <c r="J1430" s="96">
        <f t="shared" si="199"/>
        <v>0.7</v>
      </c>
      <c r="K1430" s="92">
        <f>VLOOKUP(H1430,'Taux émission CO2e'!$A$5:$D$16,4,FALSE)</f>
        <v>0.16</v>
      </c>
      <c r="L1430" s="93">
        <f t="shared" si="204"/>
        <v>10.657411199999999</v>
      </c>
      <c r="M1430" s="92">
        <f>VLOOKUP(H1430,'Taux émission CO2e'!$A$20:$D$31,4,FALSE)</f>
        <v>6.7400000000000002E-2</v>
      </c>
      <c r="N1430" s="105">
        <f t="shared" si="205"/>
        <v>10.475347092</v>
      </c>
      <c r="O1430" s="93">
        <f t="shared" si="206"/>
        <v>21.132758291999998</v>
      </c>
      <c r="P1430" s="92">
        <v>235</v>
      </c>
      <c r="Q1430" s="92" t="s">
        <v>473</v>
      </c>
      <c r="R1430" s="92" t="s">
        <v>55</v>
      </c>
      <c r="S1430" s="20">
        <v>740.09799999999996</v>
      </c>
    </row>
    <row r="1431" spans="1:19" x14ac:dyDescent="0.15">
      <c r="A1431" s="90">
        <v>44820</v>
      </c>
      <c r="B1431" s="90" t="str">
        <f t="shared" si="200"/>
        <v>septembre</v>
      </c>
      <c r="C1431" s="90" t="str">
        <f t="shared" si="201"/>
        <v>2022</v>
      </c>
      <c r="D1431" s="90" t="str">
        <f t="shared" si="202"/>
        <v>septembre2022</v>
      </c>
      <c r="E1431" s="91" t="s">
        <v>1413</v>
      </c>
      <c r="F1431" s="91">
        <v>466</v>
      </c>
      <c r="G1431" s="94">
        <f t="shared" si="203"/>
        <v>0.46600000000000003</v>
      </c>
      <c r="H1431" s="92" t="s">
        <v>46</v>
      </c>
      <c r="I1431" s="96">
        <f t="shared" si="198"/>
        <v>0.3</v>
      </c>
      <c r="J1431" s="96">
        <f t="shared" si="199"/>
        <v>0.7</v>
      </c>
      <c r="K1431" s="92">
        <f>VLOOKUP(H1431,'Taux émission CO2e'!$A$5:$D$16,4,FALSE)</f>
        <v>0.16</v>
      </c>
      <c r="L1431" s="93">
        <f t="shared" si="204"/>
        <v>15.925725216000002</v>
      </c>
      <c r="M1431" s="92">
        <f>VLOOKUP(H1431,'Taux émission CO2e'!$A$20:$D$31,4,FALSE)</f>
        <v>6.7400000000000002E-2</v>
      </c>
      <c r="N1431" s="105">
        <f t="shared" si="205"/>
        <v>15.653660743560001</v>
      </c>
      <c r="O1431" s="93">
        <f t="shared" si="206"/>
        <v>31.579385959560003</v>
      </c>
      <c r="P1431" s="92">
        <v>260</v>
      </c>
      <c r="Q1431" s="92" t="s">
        <v>766</v>
      </c>
      <c r="R1431" s="92" t="s">
        <v>55</v>
      </c>
      <c r="S1431" s="20">
        <v>711.98699999999997</v>
      </c>
    </row>
    <row r="1432" spans="1:19" x14ac:dyDescent="0.15">
      <c r="A1432" s="90">
        <v>44820</v>
      </c>
      <c r="B1432" s="90" t="str">
        <f t="shared" si="200"/>
        <v>septembre</v>
      </c>
      <c r="C1432" s="90" t="str">
        <f t="shared" si="201"/>
        <v>2022</v>
      </c>
      <c r="D1432" s="90" t="str">
        <f t="shared" si="202"/>
        <v>septembre2022</v>
      </c>
      <c r="E1432" s="91" t="s">
        <v>1414</v>
      </c>
      <c r="F1432" s="91">
        <v>450</v>
      </c>
      <c r="G1432" s="94">
        <f t="shared" si="203"/>
        <v>0.45</v>
      </c>
      <c r="H1432" s="92" t="s">
        <v>46</v>
      </c>
      <c r="I1432" s="96">
        <f t="shared" si="198"/>
        <v>0.3</v>
      </c>
      <c r="J1432" s="96">
        <f t="shared" si="199"/>
        <v>0.7</v>
      </c>
      <c r="K1432" s="92">
        <f>VLOOKUP(H1432,'Taux émission CO2e'!$A$5:$D$16,4,FALSE)</f>
        <v>0.16</v>
      </c>
      <c r="L1432" s="93">
        <f t="shared" si="204"/>
        <v>5.5737288000000005</v>
      </c>
      <c r="M1432" s="92">
        <f>VLOOKUP(H1432,'Taux émission CO2e'!$A$20:$D$31,4,FALSE)</f>
        <v>6.7400000000000002E-2</v>
      </c>
      <c r="N1432" s="105">
        <f t="shared" si="205"/>
        <v>5.4785109329999999</v>
      </c>
      <c r="O1432" s="93">
        <f t="shared" si="206"/>
        <v>11.052239733</v>
      </c>
      <c r="P1432" s="92">
        <v>260</v>
      </c>
      <c r="Q1432" s="92" t="s">
        <v>102</v>
      </c>
      <c r="R1432" s="92" t="s">
        <v>55</v>
      </c>
      <c r="S1432" s="20">
        <v>258.04300000000001</v>
      </c>
    </row>
    <row r="1433" spans="1:19" x14ac:dyDescent="0.15">
      <c r="A1433" s="90">
        <v>44820</v>
      </c>
      <c r="B1433" s="90" t="str">
        <f t="shared" si="200"/>
        <v>septembre</v>
      </c>
      <c r="C1433" s="90" t="str">
        <f t="shared" si="201"/>
        <v>2022</v>
      </c>
      <c r="D1433" s="90" t="str">
        <f t="shared" si="202"/>
        <v>septembre2022</v>
      </c>
      <c r="E1433" s="91" t="s">
        <v>1415</v>
      </c>
      <c r="F1433" s="91">
        <v>601</v>
      </c>
      <c r="G1433" s="94">
        <f t="shared" si="203"/>
        <v>0.60099999999999998</v>
      </c>
      <c r="H1433" s="92" t="s">
        <v>46</v>
      </c>
      <c r="I1433" s="96">
        <f t="shared" si="198"/>
        <v>0.3</v>
      </c>
      <c r="J1433" s="96">
        <f t="shared" si="199"/>
        <v>0.7</v>
      </c>
      <c r="K1433" s="92">
        <f>VLOOKUP(H1433,'Taux émission CO2e'!$A$5:$D$16,4,FALSE)</f>
        <v>0.16</v>
      </c>
      <c r="L1433" s="93">
        <f t="shared" si="204"/>
        <v>15.549475872</v>
      </c>
      <c r="M1433" s="92">
        <f>VLOOKUP(H1433,'Taux émission CO2e'!$A$20:$D$31,4,FALSE)</f>
        <v>6.7400000000000002E-2</v>
      </c>
      <c r="N1433" s="105">
        <f t="shared" si="205"/>
        <v>15.283838992519998</v>
      </c>
      <c r="O1433" s="93">
        <f t="shared" si="206"/>
        <v>30.833314864519998</v>
      </c>
      <c r="P1433" s="92">
        <v>260</v>
      </c>
      <c r="Q1433" s="92" t="s">
        <v>58</v>
      </c>
      <c r="R1433" s="92" t="s">
        <v>405</v>
      </c>
      <c r="S1433" s="20">
        <v>539.01400000000001</v>
      </c>
    </row>
    <row r="1434" spans="1:19" x14ac:dyDescent="0.15">
      <c r="A1434" s="90">
        <v>44820</v>
      </c>
      <c r="B1434" s="90" t="str">
        <f t="shared" si="200"/>
        <v>septembre</v>
      </c>
      <c r="C1434" s="90" t="str">
        <f t="shared" si="201"/>
        <v>2022</v>
      </c>
      <c r="D1434" s="90" t="str">
        <f t="shared" si="202"/>
        <v>septembre2022</v>
      </c>
      <c r="E1434" s="91" t="s">
        <v>1416</v>
      </c>
      <c r="F1434" s="91">
        <v>344</v>
      </c>
      <c r="G1434" s="94">
        <f t="shared" si="203"/>
        <v>0.34399999999999997</v>
      </c>
      <c r="H1434" s="92" t="s">
        <v>46</v>
      </c>
      <c r="I1434" s="96">
        <f t="shared" si="198"/>
        <v>0.3</v>
      </c>
      <c r="J1434" s="96">
        <f t="shared" si="199"/>
        <v>0.7</v>
      </c>
      <c r="K1434" s="92">
        <f>VLOOKUP(H1434,'Taux émission CO2e'!$A$5:$D$16,4,FALSE)</f>
        <v>0.16</v>
      </c>
      <c r="L1434" s="93">
        <f t="shared" si="204"/>
        <v>6.2820729599999989</v>
      </c>
      <c r="M1434" s="92">
        <f>VLOOKUP(H1434,'Taux émission CO2e'!$A$20:$D$31,4,FALSE)</f>
        <v>6.7400000000000002E-2</v>
      </c>
      <c r="N1434" s="105">
        <f t="shared" si="205"/>
        <v>6.1747542135999991</v>
      </c>
      <c r="O1434" s="93">
        <f t="shared" si="206"/>
        <v>12.456827173599997</v>
      </c>
      <c r="P1434" s="92">
        <v>261</v>
      </c>
      <c r="Q1434" s="92" t="s">
        <v>58</v>
      </c>
      <c r="R1434" s="92" t="s">
        <v>83</v>
      </c>
      <c r="S1434" s="20">
        <v>380.45499999999998</v>
      </c>
    </row>
    <row r="1435" spans="1:19" x14ac:dyDescent="0.15">
      <c r="A1435" s="90">
        <v>44823</v>
      </c>
      <c r="B1435" s="90" t="str">
        <f t="shared" si="200"/>
        <v>septembre</v>
      </c>
      <c r="C1435" s="90" t="str">
        <f t="shared" si="201"/>
        <v>2022</v>
      </c>
      <c r="D1435" s="90" t="str">
        <f t="shared" si="202"/>
        <v>septembre2022</v>
      </c>
      <c r="E1435" s="91" t="s">
        <v>1417</v>
      </c>
      <c r="F1435" s="91">
        <v>128</v>
      </c>
      <c r="G1435" s="94">
        <f t="shared" si="203"/>
        <v>0.128</v>
      </c>
      <c r="H1435" s="92" t="s">
        <v>46</v>
      </c>
      <c r="I1435" s="96">
        <f t="shared" si="198"/>
        <v>0.3</v>
      </c>
      <c r="J1435" s="96">
        <f t="shared" si="199"/>
        <v>0.7</v>
      </c>
      <c r="K1435" s="92">
        <f>VLOOKUP(H1435,'Taux émission CO2e'!$A$5:$D$16,4,FALSE)</f>
        <v>0.16</v>
      </c>
      <c r="L1435" s="93">
        <f t="shared" si="204"/>
        <v>1.7463275520000001</v>
      </c>
      <c r="M1435" s="92">
        <f>VLOOKUP(H1435,'Taux émission CO2e'!$A$20:$D$31,4,FALSE)</f>
        <v>6.7400000000000002E-2</v>
      </c>
      <c r="N1435" s="105">
        <f t="shared" si="205"/>
        <v>1.71649445632</v>
      </c>
      <c r="O1435" s="93">
        <f t="shared" si="206"/>
        <v>3.4628220083199999</v>
      </c>
      <c r="P1435" s="92">
        <v>128</v>
      </c>
      <c r="Q1435" s="92" t="s">
        <v>58</v>
      </c>
      <c r="R1435" s="92" t="s">
        <v>100</v>
      </c>
      <c r="S1435" s="20">
        <v>284.233</v>
      </c>
    </row>
    <row r="1436" spans="1:19" x14ac:dyDescent="0.15">
      <c r="A1436" s="90">
        <v>44823</v>
      </c>
      <c r="B1436" s="90" t="str">
        <f t="shared" si="200"/>
        <v>septembre</v>
      </c>
      <c r="C1436" s="90" t="str">
        <f t="shared" si="201"/>
        <v>2022</v>
      </c>
      <c r="D1436" s="90" t="str">
        <f t="shared" si="202"/>
        <v>septembre2022</v>
      </c>
      <c r="E1436" s="91" t="s">
        <v>1418</v>
      </c>
      <c r="F1436" s="91">
        <v>181</v>
      </c>
      <c r="G1436" s="94">
        <f t="shared" si="203"/>
        <v>0.18099999999999999</v>
      </c>
      <c r="H1436" s="92" t="s">
        <v>45</v>
      </c>
      <c r="I1436" s="96">
        <f t="shared" si="198"/>
        <v>0.3</v>
      </c>
      <c r="J1436" s="96">
        <f t="shared" si="199"/>
        <v>0.7</v>
      </c>
      <c r="K1436" s="92">
        <f>VLOOKUP(H1436,'Taux émission CO2e'!$A$5:$D$16,4,FALSE)</f>
        <v>0.16</v>
      </c>
      <c r="L1436" s="93">
        <f t="shared" si="204"/>
        <v>2.7472498559999998</v>
      </c>
      <c r="M1436" s="92">
        <f>VLOOKUP(H1436,'Taux émission CO2e'!$A$20:$D$31,4,FALSE)</f>
        <v>6.7400000000000002E-2</v>
      </c>
      <c r="N1436" s="105">
        <f t="shared" si="205"/>
        <v>2.7003176709599996</v>
      </c>
      <c r="O1436" s="93">
        <f t="shared" si="206"/>
        <v>5.4475675269599995</v>
      </c>
      <c r="P1436" s="92">
        <v>158</v>
      </c>
      <c r="Q1436" s="92" t="s">
        <v>1029</v>
      </c>
      <c r="R1436" s="92" t="s">
        <v>55</v>
      </c>
      <c r="S1436" s="20">
        <v>316.21199999999999</v>
      </c>
    </row>
    <row r="1437" spans="1:19" x14ac:dyDescent="0.15">
      <c r="A1437" s="90">
        <v>44823</v>
      </c>
      <c r="B1437" s="90" t="str">
        <f t="shared" si="200"/>
        <v>septembre</v>
      </c>
      <c r="C1437" s="90" t="str">
        <f t="shared" si="201"/>
        <v>2022</v>
      </c>
      <c r="D1437" s="90" t="str">
        <f t="shared" si="202"/>
        <v>septembre2022</v>
      </c>
      <c r="E1437" s="91" t="s">
        <v>1419</v>
      </c>
      <c r="F1437" s="91">
        <v>150</v>
      </c>
      <c r="G1437" s="94">
        <f t="shared" si="203"/>
        <v>0.15</v>
      </c>
      <c r="H1437" s="92" t="s">
        <v>46</v>
      </c>
      <c r="I1437" s="96">
        <f t="shared" si="198"/>
        <v>0.3</v>
      </c>
      <c r="J1437" s="96">
        <f t="shared" si="199"/>
        <v>0.7</v>
      </c>
      <c r="K1437" s="92">
        <f>VLOOKUP(H1437,'Taux émission CO2e'!$A$5:$D$16,4,FALSE)</f>
        <v>0.16</v>
      </c>
      <c r="L1437" s="93">
        <f t="shared" si="204"/>
        <v>2.7402191999999999</v>
      </c>
      <c r="M1437" s="92">
        <f>VLOOKUP(H1437,'Taux émission CO2e'!$A$20:$D$31,4,FALSE)</f>
        <v>6.7400000000000002E-2</v>
      </c>
      <c r="N1437" s="105">
        <f t="shared" si="205"/>
        <v>2.693407122</v>
      </c>
      <c r="O1437" s="93">
        <f t="shared" si="206"/>
        <v>5.4336263220000003</v>
      </c>
      <c r="P1437" s="92">
        <v>165</v>
      </c>
      <c r="Q1437" s="92" t="s">
        <v>91</v>
      </c>
      <c r="R1437" s="92" t="s">
        <v>55</v>
      </c>
      <c r="S1437" s="20">
        <v>380.58600000000001</v>
      </c>
    </row>
    <row r="1438" spans="1:19" x14ac:dyDescent="0.15">
      <c r="A1438" s="90">
        <v>44823</v>
      </c>
      <c r="B1438" s="90" t="str">
        <f t="shared" si="200"/>
        <v>septembre</v>
      </c>
      <c r="C1438" s="90" t="str">
        <f t="shared" si="201"/>
        <v>2022</v>
      </c>
      <c r="D1438" s="90" t="str">
        <f t="shared" si="202"/>
        <v>septembre2022</v>
      </c>
      <c r="E1438" s="91" t="s">
        <v>1420</v>
      </c>
      <c r="F1438" s="91">
        <v>650</v>
      </c>
      <c r="G1438" s="94">
        <f t="shared" si="203"/>
        <v>0.65</v>
      </c>
      <c r="H1438" s="92" t="s">
        <v>46</v>
      </c>
      <c r="I1438" s="96">
        <f t="shared" si="198"/>
        <v>0.3</v>
      </c>
      <c r="J1438" s="96">
        <f t="shared" si="199"/>
        <v>0.7</v>
      </c>
      <c r="K1438" s="92">
        <f>VLOOKUP(H1438,'Taux émission CO2e'!$A$5:$D$16,4,FALSE)</f>
        <v>0.16</v>
      </c>
      <c r="L1438" s="93">
        <f t="shared" si="204"/>
        <v>7.8598728000000007</v>
      </c>
      <c r="M1438" s="92">
        <f>VLOOKUP(H1438,'Taux émission CO2e'!$A$20:$D$31,4,FALSE)</f>
        <v>6.7400000000000002E-2</v>
      </c>
      <c r="N1438" s="105">
        <f t="shared" si="205"/>
        <v>7.7255999730000005</v>
      </c>
      <c r="O1438" s="93">
        <f t="shared" si="206"/>
        <v>15.585472773000001</v>
      </c>
      <c r="P1438" s="92">
        <v>185</v>
      </c>
      <c r="Q1438" s="92" t="s">
        <v>92</v>
      </c>
      <c r="R1438" s="92" t="s">
        <v>55</v>
      </c>
      <c r="S1438" s="20">
        <v>251.91900000000001</v>
      </c>
    </row>
    <row r="1439" spans="1:19" x14ac:dyDescent="0.15">
      <c r="A1439" s="90">
        <v>44823</v>
      </c>
      <c r="B1439" s="90" t="str">
        <f t="shared" si="200"/>
        <v>septembre</v>
      </c>
      <c r="C1439" s="90" t="str">
        <f t="shared" si="201"/>
        <v>2022</v>
      </c>
      <c r="D1439" s="90" t="str">
        <f t="shared" si="202"/>
        <v>septembre2022</v>
      </c>
      <c r="E1439" s="91" t="s">
        <v>1421</v>
      </c>
      <c r="F1439" s="91">
        <v>1500</v>
      </c>
      <c r="G1439" s="94">
        <f t="shared" si="203"/>
        <v>1.5</v>
      </c>
      <c r="H1439" s="92" t="s">
        <v>45</v>
      </c>
      <c r="I1439" s="96">
        <f t="shared" si="198"/>
        <v>0.3</v>
      </c>
      <c r="J1439" s="96">
        <f t="shared" si="199"/>
        <v>0.7</v>
      </c>
      <c r="K1439" s="92">
        <f>VLOOKUP(H1439,'Taux émission CO2e'!$A$5:$D$16,4,FALSE)</f>
        <v>0.16</v>
      </c>
      <c r="L1439" s="93">
        <f t="shared" si="204"/>
        <v>37.186128000000011</v>
      </c>
      <c r="M1439" s="92">
        <f>VLOOKUP(H1439,'Taux émission CO2e'!$A$20:$D$31,4,FALSE)</f>
        <v>6.7400000000000002E-2</v>
      </c>
      <c r="N1439" s="105">
        <f t="shared" si="205"/>
        <v>36.55086498</v>
      </c>
      <c r="O1439" s="93">
        <f t="shared" si="206"/>
        <v>73.736992980000011</v>
      </c>
      <c r="P1439" s="92">
        <v>770</v>
      </c>
      <c r="Q1439" s="92" t="s">
        <v>52</v>
      </c>
      <c r="R1439" s="92" t="s">
        <v>55</v>
      </c>
      <c r="S1439" s="20">
        <v>516.47400000000005</v>
      </c>
    </row>
    <row r="1440" spans="1:19" x14ac:dyDescent="0.15">
      <c r="A1440" s="90">
        <v>44824</v>
      </c>
      <c r="B1440" s="90" t="str">
        <f t="shared" si="200"/>
        <v>septembre</v>
      </c>
      <c r="C1440" s="90" t="str">
        <f t="shared" si="201"/>
        <v>2022</v>
      </c>
      <c r="D1440" s="90" t="str">
        <f t="shared" si="202"/>
        <v>septembre2022</v>
      </c>
      <c r="E1440" s="91" t="s">
        <v>1422</v>
      </c>
      <c r="F1440" s="91">
        <v>230</v>
      </c>
      <c r="G1440" s="94">
        <f t="shared" si="203"/>
        <v>0.23</v>
      </c>
      <c r="H1440" s="92" t="s">
        <v>46</v>
      </c>
      <c r="I1440" s="96">
        <f t="shared" si="198"/>
        <v>0.3</v>
      </c>
      <c r="J1440" s="96">
        <f t="shared" si="199"/>
        <v>0.7</v>
      </c>
      <c r="K1440" s="92">
        <f>VLOOKUP(H1440,'Taux émission CO2e'!$A$5:$D$16,4,FALSE)</f>
        <v>0.16</v>
      </c>
      <c r="L1440" s="93">
        <f t="shared" si="204"/>
        <v>1.9123488000000002</v>
      </c>
      <c r="M1440" s="92">
        <f>VLOOKUP(H1440,'Taux émission CO2e'!$A$20:$D$31,4,FALSE)</f>
        <v>6.7400000000000002E-2</v>
      </c>
      <c r="N1440" s="105">
        <f t="shared" si="205"/>
        <v>1.8796795080000002</v>
      </c>
      <c r="O1440" s="93">
        <f t="shared" si="206"/>
        <v>3.7920283080000003</v>
      </c>
      <c r="P1440" s="92">
        <v>140</v>
      </c>
      <c r="Q1440" s="92" t="s">
        <v>708</v>
      </c>
      <c r="R1440" s="92" t="s">
        <v>55</v>
      </c>
      <c r="S1440" s="20">
        <v>173.22</v>
      </c>
    </row>
    <row r="1441" spans="1:19" x14ac:dyDescent="0.15">
      <c r="A1441" s="90">
        <v>44824</v>
      </c>
      <c r="B1441" s="90" t="str">
        <f t="shared" si="200"/>
        <v>septembre</v>
      </c>
      <c r="C1441" s="90" t="str">
        <f t="shared" si="201"/>
        <v>2022</v>
      </c>
      <c r="D1441" s="90" t="str">
        <f t="shared" si="202"/>
        <v>septembre2022</v>
      </c>
      <c r="E1441" s="91" t="s">
        <v>1423</v>
      </c>
      <c r="F1441" s="91">
        <v>230</v>
      </c>
      <c r="G1441" s="94">
        <f t="shared" si="203"/>
        <v>0.23</v>
      </c>
      <c r="H1441" s="92" t="s">
        <v>46</v>
      </c>
      <c r="I1441" s="96">
        <f t="shared" si="198"/>
        <v>0.3</v>
      </c>
      <c r="J1441" s="96">
        <f t="shared" si="199"/>
        <v>0.7</v>
      </c>
      <c r="K1441" s="92">
        <f>VLOOKUP(H1441,'Taux émission CO2e'!$A$5:$D$16,4,FALSE)</f>
        <v>0.16</v>
      </c>
      <c r="L1441" s="93">
        <f t="shared" si="204"/>
        <v>2.8064011200000003</v>
      </c>
      <c r="M1441" s="92">
        <f>VLOOKUP(H1441,'Taux émission CO2e'!$A$20:$D$31,4,FALSE)</f>
        <v>6.7400000000000002E-2</v>
      </c>
      <c r="N1441" s="105">
        <f t="shared" si="205"/>
        <v>2.7584584342</v>
      </c>
      <c r="O1441" s="93">
        <f t="shared" si="206"/>
        <v>5.5648595541999999</v>
      </c>
      <c r="P1441" s="92">
        <v>158</v>
      </c>
      <c r="Q1441" s="92" t="s">
        <v>871</v>
      </c>
      <c r="R1441" s="92" t="s">
        <v>55</v>
      </c>
      <c r="S1441" s="20">
        <v>254.203</v>
      </c>
    </row>
    <row r="1442" spans="1:19" x14ac:dyDescent="0.15">
      <c r="A1442" s="90">
        <v>44824</v>
      </c>
      <c r="B1442" s="90" t="str">
        <f t="shared" si="200"/>
        <v>septembre</v>
      </c>
      <c r="C1442" s="90" t="str">
        <f t="shared" si="201"/>
        <v>2022</v>
      </c>
      <c r="D1442" s="90" t="str">
        <f t="shared" si="202"/>
        <v>septembre2022</v>
      </c>
      <c r="E1442" s="91" t="s">
        <v>1424</v>
      </c>
      <c r="F1442" s="91">
        <v>340</v>
      </c>
      <c r="G1442" s="94">
        <f t="shared" si="203"/>
        <v>0.34</v>
      </c>
      <c r="H1442" s="92" t="s">
        <v>46</v>
      </c>
      <c r="I1442" s="96">
        <f t="shared" si="198"/>
        <v>0.3</v>
      </c>
      <c r="J1442" s="96">
        <f t="shared" si="199"/>
        <v>0.7</v>
      </c>
      <c r="K1442" s="92">
        <f>VLOOKUP(H1442,'Taux émission CO2e'!$A$5:$D$16,4,FALSE)</f>
        <v>0.16</v>
      </c>
      <c r="L1442" s="93">
        <f t="shared" si="204"/>
        <v>2.7314784000000003</v>
      </c>
      <c r="M1442" s="92">
        <f>VLOOKUP(H1442,'Taux émission CO2e'!$A$20:$D$31,4,FALSE)</f>
        <v>6.7400000000000002E-2</v>
      </c>
      <c r="N1442" s="105">
        <f t="shared" si="205"/>
        <v>2.6848156440000004</v>
      </c>
      <c r="O1442" s="93">
        <f t="shared" si="206"/>
        <v>5.4162940440000007</v>
      </c>
      <c r="P1442" s="92">
        <v>190</v>
      </c>
      <c r="Q1442" s="92" t="s">
        <v>58</v>
      </c>
      <c r="R1442" s="92" t="s">
        <v>112</v>
      </c>
      <c r="S1442" s="20">
        <v>167.37</v>
      </c>
    </row>
    <row r="1443" spans="1:19" x14ac:dyDescent="0.15">
      <c r="A1443" s="90">
        <v>44824</v>
      </c>
      <c r="B1443" s="90" t="str">
        <f t="shared" si="200"/>
        <v>septembre</v>
      </c>
      <c r="C1443" s="90" t="str">
        <f t="shared" si="201"/>
        <v>2022</v>
      </c>
      <c r="D1443" s="90" t="str">
        <f t="shared" si="202"/>
        <v>septembre2022</v>
      </c>
      <c r="E1443" s="91" t="s">
        <v>1425</v>
      </c>
      <c r="F1443" s="91">
        <v>344</v>
      </c>
      <c r="G1443" s="94">
        <f t="shared" si="203"/>
        <v>0.34399999999999997</v>
      </c>
      <c r="H1443" s="92" t="s">
        <v>46</v>
      </c>
      <c r="I1443" s="96">
        <f t="shared" si="198"/>
        <v>0.3</v>
      </c>
      <c r="J1443" s="96">
        <f t="shared" si="199"/>
        <v>0.7</v>
      </c>
      <c r="K1443" s="92">
        <f>VLOOKUP(H1443,'Taux émission CO2e'!$A$5:$D$16,4,FALSE)</f>
        <v>0.16</v>
      </c>
      <c r="L1443" s="93">
        <f t="shared" si="204"/>
        <v>4.6200410879999989</v>
      </c>
      <c r="M1443" s="92">
        <f>VLOOKUP(H1443,'Taux émission CO2e'!$A$20:$D$31,4,FALSE)</f>
        <v>6.7400000000000002E-2</v>
      </c>
      <c r="N1443" s="105">
        <f t="shared" si="205"/>
        <v>4.5411153860799995</v>
      </c>
      <c r="O1443" s="93">
        <f t="shared" si="206"/>
        <v>9.1611564740799984</v>
      </c>
      <c r="P1443" s="92">
        <v>205</v>
      </c>
      <c r="Q1443" s="92" t="s">
        <v>58</v>
      </c>
      <c r="R1443" s="92" t="s">
        <v>70</v>
      </c>
      <c r="S1443" s="20">
        <v>279.79899999999998</v>
      </c>
    </row>
    <row r="1444" spans="1:19" x14ac:dyDescent="0.15">
      <c r="A1444" s="90">
        <v>44824</v>
      </c>
      <c r="B1444" s="90" t="str">
        <f t="shared" si="200"/>
        <v>septembre</v>
      </c>
      <c r="C1444" s="90" t="str">
        <f t="shared" si="201"/>
        <v>2022</v>
      </c>
      <c r="D1444" s="90" t="str">
        <f t="shared" si="202"/>
        <v>septembre2022</v>
      </c>
      <c r="E1444" s="91" t="s">
        <v>1426</v>
      </c>
      <c r="F1444" s="91">
        <v>342</v>
      </c>
      <c r="G1444" s="94">
        <f t="shared" si="203"/>
        <v>0.34200000000000003</v>
      </c>
      <c r="H1444" s="92" t="s">
        <v>46</v>
      </c>
      <c r="I1444" s="96">
        <f t="shared" si="198"/>
        <v>0.3</v>
      </c>
      <c r="J1444" s="96">
        <f t="shared" si="199"/>
        <v>0.7</v>
      </c>
      <c r="K1444" s="92">
        <f>VLOOKUP(H1444,'Taux émission CO2e'!$A$5:$D$16,4,FALSE)</f>
        <v>0.16</v>
      </c>
      <c r="L1444" s="93">
        <f t="shared" si="204"/>
        <v>13.746971808</v>
      </c>
      <c r="M1444" s="92">
        <f>VLOOKUP(H1444,'Taux émission CO2e'!$A$20:$D$31,4,FALSE)</f>
        <v>6.7400000000000002E-2</v>
      </c>
      <c r="N1444" s="105">
        <f t="shared" si="205"/>
        <v>13.512127706280001</v>
      </c>
      <c r="O1444" s="93">
        <f t="shared" si="206"/>
        <v>27.259099514280003</v>
      </c>
      <c r="P1444" s="92">
        <v>210</v>
      </c>
      <c r="Q1444" s="92" t="s">
        <v>58</v>
      </c>
      <c r="R1444" s="92" t="s">
        <v>61</v>
      </c>
      <c r="S1444" s="20">
        <v>837.41300000000001</v>
      </c>
    </row>
    <row r="1445" spans="1:19" x14ac:dyDescent="0.15">
      <c r="A1445" s="90">
        <v>44824</v>
      </c>
      <c r="B1445" s="90" t="str">
        <f t="shared" si="200"/>
        <v>septembre</v>
      </c>
      <c r="C1445" s="90" t="str">
        <f t="shared" si="201"/>
        <v>2022</v>
      </c>
      <c r="D1445" s="90" t="str">
        <f t="shared" si="202"/>
        <v>septembre2022</v>
      </c>
      <c r="E1445" s="91" t="s">
        <v>1427</v>
      </c>
      <c r="F1445" s="91">
        <v>681</v>
      </c>
      <c r="G1445" s="94">
        <f t="shared" si="203"/>
        <v>0.68100000000000005</v>
      </c>
      <c r="H1445" s="92" t="s">
        <v>46</v>
      </c>
      <c r="I1445" s="96">
        <f t="shared" si="198"/>
        <v>0.3</v>
      </c>
      <c r="J1445" s="96">
        <f t="shared" si="199"/>
        <v>0.7</v>
      </c>
      <c r="K1445" s="92">
        <f>VLOOKUP(H1445,'Taux émission CO2e'!$A$5:$D$16,4,FALSE)</f>
        <v>0.16</v>
      </c>
      <c r="L1445" s="93">
        <f t="shared" si="204"/>
        <v>8.1326763360000012</v>
      </c>
      <c r="M1445" s="92">
        <f>VLOOKUP(H1445,'Taux émission CO2e'!$A$20:$D$31,4,FALSE)</f>
        <v>6.7400000000000002E-2</v>
      </c>
      <c r="N1445" s="105">
        <f t="shared" si="205"/>
        <v>7.9937431152600009</v>
      </c>
      <c r="O1445" s="93">
        <f t="shared" si="206"/>
        <v>16.126419451260002</v>
      </c>
      <c r="P1445" s="92">
        <v>245</v>
      </c>
      <c r="Q1445" s="92" t="s">
        <v>58</v>
      </c>
      <c r="R1445" s="92" t="s">
        <v>82</v>
      </c>
      <c r="S1445" s="20">
        <v>248.797</v>
      </c>
    </row>
    <row r="1446" spans="1:19" x14ac:dyDescent="0.15">
      <c r="A1446" s="90">
        <v>44825</v>
      </c>
      <c r="B1446" s="90" t="str">
        <f t="shared" si="200"/>
        <v>septembre</v>
      </c>
      <c r="C1446" s="90" t="str">
        <f t="shared" si="201"/>
        <v>2022</v>
      </c>
      <c r="D1446" s="90" t="str">
        <f t="shared" si="202"/>
        <v>septembre2022</v>
      </c>
      <c r="E1446" s="91" t="s">
        <v>1428</v>
      </c>
      <c r="F1446" s="91">
        <v>345</v>
      </c>
      <c r="G1446" s="94">
        <f t="shared" si="203"/>
        <v>0.34499999999999997</v>
      </c>
      <c r="H1446" s="92" t="s">
        <v>46</v>
      </c>
      <c r="I1446" s="96">
        <f t="shared" si="198"/>
        <v>0.3</v>
      </c>
      <c r="J1446" s="96">
        <f t="shared" si="199"/>
        <v>0.7</v>
      </c>
      <c r="K1446" s="92">
        <f>VLOOKUP(H1446,'Taux émission CO2e'!$A$5:$D$16,4,FALSE)</f>
        <v>0.16</v>
      </c>
      <c r="L1446" s="93">
        <f t="shared" si="204"/>
        <v>3.0936398399999994</v>
      </c>
      <c r="M1446" s="92">
        <f>VLOOKUP(H1446,'Taux émission CO2e'!$A$20:$D$31,4,FALSE)</f>
        <v>6.7400000000000002E-2</v>
      </c>
      <c r="N1446" s="105">
        <f t="shared" si="205"/>
        <v>3.0407901593999997</v>
      </c>
      <c r="O1446" s="93">
        <f t="shared" si="206"/>
        <v>6.1344299993999991</v>
      </c>
      <c r="P1446" s="92">
        <v>140</v>
      </c>
      <c r="Q1446" s="92" t="s">
        <v>688</v>
      </c>
      <c r="R1446" s="92" t="s">
        <v>55</v>
      </c>
      <c r="S1446" s="20">
        <v>186.81399999999999</v>
      </c>
    </row>
    <row r="1447" spans="1:19" x14ac:dyDescent="0.15">
      <c r="A1447" s="90">
        <v>44825</v>
      </c>
      <c r="B1447" s="90" t="str">
        <f t="shared" si="200"/>
        <v>septembre</v>
      </c>
      <c r="C1447" s="90" t="str">
        <f t="shared" si="201"/>
        <v>2022</v>
      </c>
      <c r="D1447" s="90" t="str">
        <f t="shared" si="202"/>
        <v>septembre2022</v>
      </c>
      <c r="E1447" s="91" t="s">
        <v>1429</v>
      </c>
      <c r="F1447" s="91">
        <v>300</v>
      </c>
      <c r="G1447" s="94">
        <f t="shared" si="203"/>
        <v>0.3</v>
      </c>
      <c r="H1447" s="92" t="s">
        <v>45</v>
      </c>
      <c r="I1447" s="96">
        <f t="shared" si="198"/>
        <v>0.3</v>
      </c>
      <c r="J1447" s="96">
        <f t="shared" si="199"/>
        <v>0.7</v>
      </c>
      <c r="K1447" s="92">
        <f>VLOOKUP(H1447,'Taux émission CO2e'!$A$5:$D$16,4,FALSE)</f>
        <v>0.16</v>
      </c>
      <c r="L1447" s="93">
        <f t="shared" si="204"/>
        <v>4.0052879999999993</v>
      </c>
      <c r="M1447" s="92">
        <f>VLOOKUP(H1447,'Taux émission CO2e'!$A$20:$D$31,4,FALSE)</f>
        <v>6.7400000000000002E-2</v>
      </c>
      <c r="N1447" s="105">
        <f t="shared" si="205"/>
        <v>3.9368643299999997</v>
      </c>
      <c r="O1447" s="93">
        <f t="shared" si="206"/>
        <v>7.942152329999999</v>
      </c>
      <c r="P1447" s="92">
        <v>188</v>
      </c>
      <c r="Q1447" s="92" t="s">
        <v>74</v>
      </c>
      <c r="R1447" s="92" t="s">
        <v>55</v>
      </c>
      <c r="S1447" s="20">
        <v>278.14499999999998</v>
      </c>
    </row>
    <row r="1448" spans="1:19" x14ac:dyDescent="0.15">
      <c r="A1448" s="90">
        <v>44825</v>
      </c>
      <c r="B1448" s="90" t="str">
        <f t="shared" si="200"/>
        <v>septembre</v>
      </c>
      <c r="C1448" s="90" t="str">
        <f t="shared" si="201"/>
        <v>2022</v>
      </c>
      <c r="D1448" s="90" t="str">
        <f t="shared" si="202"/>
        <v>septembre2022</v>
      </c>
      <c r="E1448" s="91" t="s">
        <v>1430</v>
      </c>
      <c r="F1448" s="91">
        <v>340</v>
      </c>
      <c r="G1448" s="94">
        <f t="shared" si="203"/>
        <v>0.34</v>
      </c>
      <c r="H1448" s="92" t="s">
        <v>46</v>
      </c>
      <c r="I1448" s="96">
        <f t="shared" si="198"/>
        <v>0.3</v>
      </c>
      <c r="J1448" s="96">
        <f t="shared" si="199"/>
        <v>0.7</v>
      </c>
      <c r="K1448" s="92">
        <f>VLOOKUP(H1448,'Taux émission CO2e'!$A$5:$D$16,4,FALSE)</f>
        <v>0.16</v>
      </c>
      <c r="L1448" s="93">
        <f t="shared" si="204"/>
        <v>4.148136</v>
      </c>
      <c r="M1448" s="92">
        <f>VLOOKUP(H1448,'Taux émission CO2e'!$A$20:$D$31,4,FALSE)</f>
        <v>6.7400000000000002E-2</v>
      </c>
      <c r="N1448" s="105">
        <f t="shared" si="205"/>
        <v>4.0772720100000006</v>
      </c>
      <c r="O1448" s="93">
        <f t="shared" si="206"/>
        <v>8.2254080100000007</v>
      </c>
      <c r="P1448" s="92">
        <v>200</v>
      </c>
      <c r="Q1448" s="92" t="s">
        <v>58</v>
      </c>
      <c r="R1448" s="92" t="s">
        <v>93</v>
      </c>
      <c r="S1448" s="20">
        <v>254.17500000000001</v>
      </c>
    </row>
    <row r="1449" spans="1:19" x14ac:dyDescent="0.15">
      <c r="A1449" s="90">
        <v>44826</v>
      </c>
      <c r="B1449" s="90" t="str">
        <f t="shared" si="200"/>
        <v>septembre</v>
      </c>
      <c r="C1449" s="90" t="str">
        <f t="shared" si="201"/>
        <v>2022</v>
      </c>
      <c r="D1449" s="90" t="str">
        <f t="shared" si="202"/>
        <v>septembre2022</v>
      </c>
      <c r="E1449" s="91" t="s">
        <v>1431</v>
      </c>
      <c r="F1449" s="91">
        <v>180</v>
      </c>
      <c r="G1449" s="94">
        <f t="shared" si="203"/>
        <v>0.18</v>
      </c>
      <c r="H1449" s="92" t="s">
        <v>45</v>
      </c>
      <c r="I1449" s="96">
        <f t="shared" si="198"/>
        <v>0.3</v>
      </c>
      <c r="J1449" s="96">
        <f t="shared" si="199"/>
        <v>0.7</v>
      </c>
      <c r="K1449" s="92">
        <f>VLOOKUP(H1449,'Taux émission CO2e'!$A$5:$D$16,4,FALSE)</f>
        <v>0.16</v>
      </c>
      <c r="L1449" s="93">
        <f t="shared" si="204"/>
        <v>3.3615043199999999</v>
      </c>
      <c r="M1449" s="92">
        <f>VLOOKUP(H1449,'Taux émission CO2e'!$A$20:$D$31,4,FALSE)</f>
        <v>6.7400000000000002E-2</v>
      </c>
      <c r="N1449" s="105">
        <f t="shared" si="205"/>
        <v>3.3040786211999995</v>
      </c>
      <c r="O1449" s="93">
        <f t="shared" si="206"/>
        <v>6.6655829411999994</v>
      </c>
      <c r="P1449" s="92">
        <v>125</v>
      </c>
      <c r="Q1449" s="92" t="s">
        <v>842</v>
      </c>
      <c r="R1449" s="92" t="s">
        <v>55</v>
      </c>
      <c r="S1449" s="20">
        <v>389.06299999999999</v>
      </c>
    </row>
    <row r="1450" spans="1:19" x14ac:dyDescent="0.15">
      <c r="A1450" s="90">
        <v>44826</v>
      </c>
      <c r="B1450" s="90" t="str">
        <f t="shared" si="200"/>
        <v>septembre</v>
      </c>
      <c r="C1450" s="90" t="str">
        <f t="shared" si="201"/>
        <v>2022</v>
      </c>
      <c r="D1450" s="90" t="str">
        <f t="shared" si="202"/>
        <v>septembre2022</v>
      </c>
      <c r="E1450" s="91" t="s">
        <v>1432</v>
      </c>
      <c r="F1450" s="91">
        <v>230</v>
      </c>
      <c r="G1450" s="94">
        <f t="shared" si="203"/>
        <v>0.23</v>
      </c>
      <c r="H1450" s="92" t="s">
        <v>46</v>
      </c>
      <c r="I1450" s="96">
        <f t="shared" si="198"/>
        <v>0.3</v>
      </c>
      <c r="J1450" s="96">
        <f t="shared" si="199"/>
        <v>0.7</v>
      </c>
      <c r="K1450" s="92">
        <f>VLOOKUP(H1450,'Taux émission CO2e'!$A$5:$D$16,4,FALSE)</f>
        <v>0.16</v>
      </c>
      <c r="L1450" s="93">
        <f t="shared" si="204"/>
        <v>2.9463331200000002</v>
      </c>
      <c r="M1450" s="92">
        <f>VLOOKUP(H1450,'Taux émission CO2e'!$A$20:$D$31,4,FALSE)</f>
        <v>6.7400000000000002E-2</v>
      </c>
      <c r="N1450" s="105">
        <f t="shared" si="205"/>
        <v>2.8959999291999998</v>
      </c>
      <c r="O1450" s="93">
        <f t="shared" si="206"/>
        <v>5.8423330492000005</v>
      </c>
      <c r="P1450" s="92">
        <v>158</v>
      </c>
      <c r="Q1450" s="92" t="s">
        <v>730</v>
      </c>
      <c r="R1450" s="92" t="s">
        <v>55</v>
      </c>
      <c r="S1450" s="20">
        <v>266.87799999999999</v>
      </c>
    </row>
    <row r="1451" spans="1:19" x14ac:dyDescent="0.15">
      <c r="A1451" s="90">
        <v>44826</v>
      </c>
      <c r="B1451" s="90" t="str">
        <f t="shared" si="200"/>
        <v>septembre</v>
      </c>
      <c r="C1451" s="90" t="str">
        <f t="shared" si="201"/>
        <v>2022</v>
      </c>
      <c r="D1451" s="90" t="str">
        <f t="shared" si="202"/>
        <v>septembre2022</v>
      </c>
      <c r="E1451" s="91" t="s">
        <v>1433</v>
      </c>
      <c r="F1451" s="91">
        <v>150</v>
      </c>
      <c r="G1451" s="94">
        <f t="shared" si="203"/>
        <v>0.15</v>
      </c>
      <c r="H1451" s="92" t="s">
        <v>46</v>
      </c>
      <c r="I1451" s="96">
        <f t="shared" si="198"/>
        <v>0.3</v>
      </c>
      <c r="J1451" s="96">
        <f t="shared" si="199"/>
        <v>0.7</v>
      </c>
      <c r="K1451" s="92">
        <f>VLOOKUP(H1451,'Taux émission CO2e'!$A$5:$D$16,4,FALSE)</f>
        <v>0.16</v>
      </c>
      <c r="L1451" s="93">
        <f t="shared" si="204"/>
        <v>3.8989871999999997</v>
      </c>
      <c r="M1451" s="92">
        <f>VLOOKUP(H1451,'Taux émission CO2e'!$A$20:$D$31,4,FALSE)</f>
        <v>6.7400000000000002E-2</v>
      </c>
      <c r="N1451" s="105">
        <f t="shared" si="205"/>
        <v>3.8323795019999998</v>
      </c>
      <c r="O1451" s="93">
        <f t="shared" si="206"/>
        <v>7.731366701999999</v>
      </c>
      <c r="P1451" s="92">
        <v>165</v>
      </c>
      <c r="Q1451" s="92" t="s">
        <v>62</v>
      </c>
      <c r="R1451" s="92" t="s">
        <v>55</v>
      </c>
      <c r="S1451" s="20">
        <v>541.52599999999995</v>
      </c>
    </row>
    <row r="1452" spans="1:19" x14ac:dyDescent="0.15">
      <c r="A1452" s="90">
        <v>44826</v>
      </c>
      <c r="B1452" s="90" t="str">
        <f t="shared" si="200"/>
        <v>septembre</v>
      </c>
      <c r="C1452" s="90" t="str">
        <f t="shared" si="201"/>
        <v>2022</v>
      </c>
      <c r="D1452" s="90" t="str">
        <f t="shared" si="202"/>
        <v>septembre2022</v>
      </c>
      <c r="E1452" s="91" t="s">
        <v>1434</v>
      </c>
      <c r="F1452" s="91">
        <v>470</v>
      </c>
      <c r="G1452" s="94">
        <f t="shared" si="203"/>
        <v>0.47</v>
      </c>
      <c r="H1452" s="92" t="s">
        <v>45</v>
      </c>
      <c r="I1452" s="96">
        <f t="shared" si="198"/>
        <v>0.3</v>
      </c>
      <c r="J1452" s="96">
        <f t="shared" si="199"/>
        <v>0.7</v>
      </c>
      <c r="K1452" s="92">
        <f>VLOOKUP(H1452,'Taux émission CO2e'!$A$5:$D$16,4,FALSE)</f>
        <v>0.16</v>
      </c>
      <c r="L1452" s="93">
        <f t="shared" si="204"/>
        <v>12.130692479999999</v>
      </c>
      <c r="M1452" s="92">
        <f>VLOOKUP(H1452,'Taux émission CO2e'!$A$20:$D$31,4,FALSE)</f>
        <v>6.7400000000000002E-2</v>
      </c>
      <c r="N1452" s="105">
        <f t="shared" si="205"/>
        <v>11.923459816799999</v>
      </c>
      <c r="O1452" s="93">
        <f t="shared" si="206"/>
        <v>24.054152296799998</v>
      </c>
      <c r="P1452" s="92">
        <v>195</v>
      </c>
      <c r="Q1452" s="92" t="s">
        <v>612</v>
      </c>
      <c r="R1452" s="92" t="s">
        <v>55</v>
      </c>
      <c r="S1452" s="20">
        <v>537.70799999999997</v>
      </c>
    </row>
    <row r="1453" spans="1:19" x14ac:dyDescent="0.15">
      <c r="A1453" s="90">
        <v>44827</v>
      </c>
      <c r="B1453" s="90" t="str">
        <f t="shared" si="200"/>
        <v>septembre</v>
      </c>
      <c r="C1453" s="90" t="str">
        <f t="shared" si="201"/>
        <v>2022</v>
      </c>
      <c r="D1453" s="90" t="str">
        <f t="shared" si="202"/>
        <v>septembre2022</v>
      </c>
      <c r="E1453" s="91" t="s">
        <v>1435</v>
      </c>
      <c r="F1453" s="91">
        <v>150</v>
      </c>
      <c r="G1453" s="94">
        <f t="shared" si="203"/>
        <v>0.15</v>
      </c>
      <c r="H1453" s="92" t="s">
        <v>46</v>
      </c>
      <c r="I1453" s="96">
        <f t="shared" si="198"/>
        <v>0.3</v>
      </c>
      <c r="J1453" s="96">
        <f t="shared" si="199"/>
        <v>0.7</v>
      </c>
      <c r="K1453" s="92">
        <f>VLOOKUP(H1453,'Taux émission CO2e'!$A$5:$D$16,4,FALSE)</f>
        <v>0.16</v>
      </c>
      <c r="L1453" s="93">
        <f t="shared" si="204"/>
        <v>5.3287055999999993</v>
      </c>
      <c r="M1453" s="92">
        <f>VLOOKUP(H1453,'Taux émission CO2e'!$A$20:$D$31,4,FALSE)</f>
        <v>6.7400000000000002E-2</v>
      </c>
      <c r="N1453" s="105">
        <f t="shared" si="205"/>
        <v>5.2376735459999999</v>
      </c>
      <c r="O1453" s="93">
        <f t="shared" si="206"/>
        <v>10.566379145999999</v>
      </c>
      <c r="P1453" s="92">
        <v>175</v>
      </c>
      <c r="Q1453" s="92" t="s">
        <v>473</v>
      </c>
      <c r="R1453" s="92" t="s">
        <v>55</v>
      </c>
      <c r="S1453" s="20">
        <v>740.09799999999996</v>
      </c>
    </row>
    <row r="1454" spans="1:19" x14ac:dyDescent="0.15">
      <c r="A1454" s="90">
        <v>44827</v>
      </c>
      <c r="B1454" s="90" t="str">
        <f t="shared" si="200"/>
        <v>septembre</v>
      </c>
      <c r="C1454" s="90" t="str">
        <f t="shared" si="201"/>
        <v>2022</v>
      </c>
      <c r="D1454" s="90" t="str">
        <f t="shared" si="202"/>
        <v>septembre2022</v>
      </c>
      <c r="E1454" s="91" t="s">
        <v>1436</v>
      </c>
      <c r="F1454" s="91">
        <v>600</v>
      </c>
      <c r="G1454" s="94">
        <f t="shared" si="203"/>
        <v>0.6</v>
      </c>
      <c r="H1454" s="92" t="s">
        <v>46</v>
      </c>
      <c r="I1454" s="96">
        <f t="shared" si="198"/>
        <v>0.3</v>
      </c>
      <c r="J1454" s="96">
        <f t="shared" si="199"/>
        <v>0.7</v>
      </c>
      <c r="K1454" s="92">
        <f>VLOOKUP(H1454,'Taux émission CO2e'!$A$5:$D$16,4,FALSE)</f>
        <v>0.16</v>
      </c>
      <c r="L1454" s="93">
        <f t="shared" si="204"/>
        <v>8.0207136000000006</v>
      </c>
      <c r="M1454" s="92">
        <f>VLOOKUP(H1454,'Taux émission CO2e'!$A$20:$D$31,4,FALSE)</f>
        <v>6.7400000000000002E-2</v>
      </c>
      <c r="N1454" s="105">
        <f t="shared" si="205"/>
        <v>7.8836930760000001</v>
      </c>
      <c r="O1454" s="93">
        <f t="shared" si="206"/>
        <v>15.904406676000001</v>
      </c>
      <c r="P1454" s="92">
        <v>230</v>
      </c>
      <c r="Q1454" s="92" t="s">
        <v>90</v>
      </c>
      <c r="R1454" s="92" t="s">
        <v>55</v>
      </c>
      <c r="S1454" s="20">
        <v>278.49700000000001</v>
      </c>
    </row>
    <row r="1455" spans="1:19" x14ac:dyDescent="0.15">
      <c r="A1455" s="90">
        <v>44827</v>
      </c>
      <c r="B1455" s="90" t="str">
        <f t="shared" si="200"/>
        <v>septembre</v>
      </c>
      <c r="C1455" s="90" t="str">
        <f t="shared" si="201"/>
        <v>2022</v>
      </c>
      <c r="D1455" s="90" t="str">
        <f t="shared" si="202"/>
        <v>septembre2022</v>
      </c>
      <c r="E1455" s="91" t="s">
        <v>1437</v>
      </c>
      <c r="F1455" s="91">
        <v>300</v>
      </c>
      <c r="G1455" s="94">
        <f t="shared" si="203"/>
        <v>0.3</v>
      </c>
      <c r="H1455" s="92" t="s">
        <v>46</v>
      </c>
      <c r="I1455" s="96">
        <f t="shared" si="198"/>
        <v>0.3</v>
      </c>
      <c r="J1455" s="96">
        <f t="shared" si="199"/>
        <v>0.7</v>
      </c>
      <c r="K1455" s="92">
        <f>VLOOKUP(H1455,'Taux émission CO2e'!$A$5:$D$16,4,FALSE)</f>
        <v>0.16</v>
      </c>
      <c r="L1455" s="93">
        <f t="shared" si="204"/>
        <v>3.7158191999999999</v>
      </c>
      <c r="M1455" s="92">
        <f>VLOOKUP(H1455,'Taux émission CO2e'!$A$20:$D$31,4,FALSE)</f>
        <v>6.7400000000000002E-2</v>
      </c>
      <c r="N1455" s="105">
        <f t="shared" si="205"/>
        <v>3.6523406220000001</v>
      </c>
      <c r="O1455" s="93">
        <f t="shared" si="206"/>
        <v>7.368159822</v>
      </c>
      <c r="P1455" s="92">
        <v>260</v>
      </c>
      <c r="Q1455" s="92" t="s">
        <v>102</v>
      </c>
      <c r="R1455" s="92" t="s">
        <v>55</v>
      </c>
      <c r="S1455" s="20">
        <v>258.04300000000001</v>
      </c>
    </row>
    <row r="1456" spans="1:19" x14ac:dyDescent="0.15">
      <c r="A1456" s="90">
        <v>44830</v>
      </c>
      <c r="B1456" s="90" t="str">
        <f t="shared" si="200"/>
        <v>septembre</v>
      </c>
      <c r="C1456" s="90" t="str">
        <f t="shared" si="201"/>
        <v>2022</v>
      </c>
      <c r="D1456" s="90" t="str">
        <f t="shared" si="202"/>
        <v>septembre2022</v>
      </c>
      <c r="E1456" s="91" t="s">
        <v>1438</v>
      </c>
      <c r="F1456" s="91">
        <v>336</v>
      </c>
      <c r="G1456" s="94">
        <f t="shared" si="203"/>
        <v>0.33600000000000002</v>
      </c>
      <c r="H1456" s="92" t="s">
        <v>46</v>
      </c>
      <c r="I1456" s="96">
        <f t="shared" si="198"/>
        <v>0.3</v>
      </c>
      <c r="J1456" s="96">
        <f t="shared" si="199"/>
        <v>0.7</v>
      </c>
      <c r="K1456" s="92">
        <f>VLOOKUP(H1456,'Taux émission CO2e'!$A$5:$D$16,4,FALSE)</f>
        <v>0.16</v>
      </c>
      <c r="L1456" s="93">
        <f t="shared" si="204"/>
        <v>4.1434606079999998</v>
      </c>
      <c r="M1456" s="92">
        <f>VLOOKUP(H1456,'Taux émission CO2e'!$A$20:$D$31,4,FALSE)</f>
        <v>6.7400000000000002E-2</v>
      </c>
      <c r="N1456" s="105">
        <f t="shared" si="205"/>
        <v>4.0726764892800009</v>
      </c>
      <c r="O1456" s="93">
        <f t="shared" si="206"/>
        <v>8.2161370972800007</v>
      </c>
      <c r="P1456" s="92">
        <v>155</v>
      </c>
      <c r="Q1456" s="92" t="s">
        <v>58</v>
      </c>
      <c r="R1456" s="92" t="s">
        <v>60</v>
      </c>
      <c r="S1456" s="20">
        <v>256.911</v>
      </c>
    </row>
    <row r="1457" spans="1:19" x14ac:dyDescent="0.15">
      <c r="A1457" s="90">
        <v>44830</v>
      </c>
      <c r="B1457" s="90" t="str">
        <f t="shared" si="200"/>
        <v>septembre</v>
      </c>
      <c r="C1457" s="90" t="str">
        <f t="shared" si="201"/>
        <v>2022</v>
      </c>
      <c r="D1457" s="90" t="str">
        <f t="shared" si="202"/>
        <v>septembre2022</v>
      </c>
      <c r="E1457" s="91" t="s">
        <v>1439</v>
      </c>
      <c r="F1457" s="91">
        <v>130</v>
      </c>
      <c r="G1457" s="94">
        <f t="shared" si="203"/>
        <v>0.13</v>
      </c>
      <c r="H1457" s="92" t="s">
        <v>45</v>
      </c>
      <c r="I1457" s="96">
        <f t="shared" si="198"/>
        <v>0.3</v>
      </c>
      <c r="J1457" s="96">
        <f t="shared" si="199"/>
        <v>0.7</v>
      </c>
      <c r="K1457" s="92">
        <f>VLOOKUP(H1457,'Taux émission CO2e'!$A$5:$D$16,4,FALSE)</f>
        <v>0.16</v>
      </c>
      <c r="L1457" s="93">
        <f t="shared" si="204"/>
        <v>3.20787792</v>
      </c>
      <c r="M1457" s="92">
        <f>VLOOKUP(H1457,'Taux émission CO2e'!$A$20:$D$31,4,FALSE)</f>
        <v>6.7400000000000002E-2</v>
      </c>
      <c r="N1457" s="105">
        <f t="shared" si="205"/>
        <v>3.1530766721999997</v>
      </c>
      <c r="O1457" s="93">
        <f t="shared" si="206"/>
        <v>6.3609545921999997</v>
      </c>
      <c r="P1457" s="92">
        <v>165</v>
      </c>
      <c r="Q1457" s="92" t="s">
        <v>1012</v>
      </c>
      <c r="R1457" s="92" t="s">
        <v>55</v>
      </c>
      <c r="S1457" s="20">
        <v>514.08299999999997</v>
      </c>
    </row>
    <row r="1458" spans="1:19" x14ac:dyDescent="0.15">
      <c r="A1458" s="90">
        <v>44830</v>
      </c>
      <c r="B1458" s="90" t="str">
        <f t="shared" si="200"/>
        <v>septembre</v>
      </c>
      <c r="C1458" s="90" t="str">
        <f t="shared" si="201"/>
        <v>2022</v>
      </c>
      <c r="D1458" s="90" t="str">
        <f t="shared" si="202"/>
        <v>septembre2022</v>
      </c>
      <c r="E1458" s="91" t="s">
        <v>1440</v>
      </c>
      <c r="F1458" s="91">
        <v>150</v>
      </c>
      <c r="G1458" s="94">
        <f t="shared" si="203"/>
        <v>0.15</v>
      </c>
      <c r="H1458" s="92" t="s">
        <v>46</v>
      </c>
      <c r="I1458" s="96">
        <f t="shared" si="198"/>
        <v>0.3</v>
      </c>
      <c r="J1458" s="96">
        <f t="shared" si="199"/>
        <v>0.7</v>
      </c>
      <c r="K1458" s="92">
        <f>VLOOKUP(H1458,'Taux émission CO2e'!$A$5:$D$16,4,FALSE)</f>
        <v>0.16</v>
      </c>
      <c r="L1458" s="93">
        <f t="shared" si="204"/>
        <v>2.7402191999999999</v>
      </c>
      <c r="M1458" s="92">
        <f>VLOOKUP(H1458,'Taux émission CO2e'!$A$20:$D$31,4,FALSE)</f>
        <v>6.7400000000000002E-2</v>
      </c>
      <c r="N1458" s="105">
        <f t="shared" si="205"/>
        <v>2.693407122</v>
      </c>
      <c r="O1458" s="93">
        <f t="shared" si="206"/>
        <v>5.4336263220000003</v>
      </c>
      <c r="P1458" s="92">
        <v>165</v>
      </c>
      <c r="Q1458" s="92" t="s">
        <v>91</v>
      </c>
      <c r="R1458" s="92" t="s">
        <v>55</v>
      </c>
      <c r="S1458" s="20">
        <v>380.58600000000001</v>
      </c>
    </row>
    <row r="1459" spans="1:19" x14ac:dyDescent="0.15">
      <c r="A1459" s="90">
        <v>44830</v>
      </c>
      <c r="B1459" s="90" t="str">
        <f t="shared" si="200"/>
        <v>septembre</v>
      </c>
      <c r="C1459" s="90" t="str">
        <f t="shared" si="201"/>
        <v>2022</v>
      </c>
      <c r="D1459" s="90" t="str">
        <f t="shared" si="202"/>
        <v>septembre2022</v>
      </c>
      <c r="E1459" s="91" t="s">
        <v>1441</v>
      </c>
      <c r="F1459" s="91">
        <v>360</v>
      </c>
      <c r="G1459" s="94">
        <f t="shared" si="203"/>
        <v>0.36</v>
      </c>
      <c r="H1459" s="92" t="s">
        <v>46</v>
      </c>
      <c r="I1459" s="96">
        <f t="shared" si="198"/>
        <v>0.3</v>
      </c>
      <c r="J1459" s="96">
        <f t="shared" si="199"/>
        <v>0.7</v>
      </c>
      <c r="K1459" s="92">
        <f>VLOOKUP(H1459,'Taux émission CO2e'!$A$5:$D$16,4,FALSE)</f>
        <v>0.16</v>
      </c>
      <c r="L1459" s="93">
        <f t="shared" si="204"/>
        <v>6.5001657599999998</v>
      </c>
      <c r="M1459" s="92">
        <f>VLOOKUP(H1459,'Taux émission CO2e'!$A$20:$D$31,4,FALSE)</f>
        <v>6.7400000000000002E-2</v>
      </c>
      <c r="N1459" s="105">
        <f t="shared" si="205"/>
        <v>6.3891212615999988</v>
      </c>
      <c r="O1459" s="93">
        <f t="shared" si="206"/>
        <v>12.889287021599998</v>
      </c>
      <c r="P1459" s="92">
        <v>210</v>
      </c>
      <c r="Q1459" s="92" t="s">
        <v>856</v>
      </c>
      <c r="R1459" s="92" t="s">
        <v>55</v>
      </c>
      <c r="S1459" s="20">
        <v>376.16699999999997</v>
      </c>
    </row>
    <row r="1460" spans="1:19" x14ac:dyDescent="0.15">
      <c r="A1460" s="90">
        <v>44830</v>
      </c>
      <c r="B1460" s="90" t="str">
        <f t="shared" si="200"/>
        <v>septembre</v>
      </c>
      <c r="C1460" s="90" t="str">
        <f t="shared" si="201"/>
        <v>2022</v>
      </c>
      <c r="D1460" s="90" t="str">
        <f t="shared" si="202"/>
        <v>septembre2022</v>
      </c>
      <c r="E1460" s="91" t="s">
        <v>1442</v>
      </c>
      <c r="F1460" s="91">
        <v>450</v>
      </c>
      <c r="G1460" s="94">
        <f t="shared" si="203"/>
        <v>0.45</v>
      </c>
      <c r="H1460" s="92" t="s">
        <v>45</v>
      </c>
      <c r="I1460" s="96">
        <f t="shared" si="198"/>
        <v>0.3</v>
      </c>
      <c r="J1460" s="96">
        <f t="shared" si="199"/>
        <v>0.7</v>
      </c>
      <c r="K1460" s="92">
        <f>VLOOKUP(H1460,'Taux émission CO2e'!$A$5:$D$16,4,FALSE)</f>
        <v>0.16</v>
      </c>
      <c r="L1460" s="93">
        <f t="shared" si="204"/>
        <v>11.155838400000002</v>
      </c>
      <c r="M1460" s="92">
        <f>VLOOKUP(H1460,'Taux émission CO2e'!$A$20:$D$31,4,FALSE)</f>
        <v>6.7400000000000002E-2</v>
      </c>
      <c r="N1460" s="105">
        <f t="shared" si="205"/>
        <v>10.965259494000001</v>
      </c>
      <c r="O1460" s="93">
        <f t="shared" si="206"/>
        <v>22.121097894000002</v>
      </c>
      <c r="P1460" s="92">
        <v>260</v>
      </c>
      <c r="Q1460" s="92" t="s">
        <v>52</v>
      </c>
      <c r="R1460" s="92" t="s">
        <v>55</v>
      </c>
      <c r="S1460" s="20">
        <v>516.47400000000005</v>
      </c>
    </row>
    <row r="1461" spans="1:19" x14ac:dyDescent="0.15">
      <c r="A1461" s="90">
        <v>44831</v>
      </c>
      <c r="B1461" s="90" t="str">
        <f t="shared" si="200"/>
        <v>septembre</v>
      </c>
      <c r="C1461" s="90" t="str">
        <f t="shared" si="201"/>
        <v>2022</v>
      </c>
      <c r="D1461" s="90" t="str">
        <f t="shared" si="202"/>
        <v>septembre2022</v>
      </c>
      <c r="E1461" s="91" t="s">
        <v>1443</v>
      </c>
      <c r="F1461" s="91">
        <v>90</v>
      </c>
      <c r="G1461" s="94">
        <f t="shared" si="203"/>
        <v>0.09</v>
      </c>
      <c r="H1461" s="92" t="s">
        <v>45</v>
      </c>
      <c r="I1461" s="96">
        <f t="shared" si="198"/>
        <v>0.3</v>
      </c>
      <c r="J1461" s="96">
        <f t="shared" si="199"/>
        <v>0.7</v>
      </c>
      <c r="K1461" s="92">
        <f>VLOOKUP(H1461,'Taux émission CO2e'!$A$5:$D$16,4,FALSE)</f>
        <v>0.16</v>
      </c>
      <c r="L1461" s="93">
        <f t="shared" si="204"/>
        <v>0.12452832</v>
      </c>
      <c r="M1461" s="92">
        <f>VLOOKUP(H1461,'Taux émission CO2e'!$A$20:$D$31,4,FALSE)</f>
        <v>6.7400000000000002E-2</v>
      </c>
      <c r="N1461" s="105">
        <f t="shared" si="205"/>
        <v>0.12240096119999999</v>
      </c>
      <c r="O1461" s="93">
        <f t="shared" si="206"/>
        <v>0.24692928119999999</v>
      </c>
      <c r="P1461" s="92">
        <v>80</v>
      </c>
      <c r="Q1461" s="92" t="s">
        <v>58</v>
      </c>
      <c r="R1461" s="92" t="s">
        <v>1276</v>
      </c>
      <c r="S1461" s="20">
        <v>28.826000000000001</v>
      </c>
    </row>
    <row r="1462" spans="1:19" x14ac:dyDescent="0.15">
      <c r="A1462" s="90">
        <v>44831</v>
      </c>
      <c r="B1462" s="90" t="str">
        <f t="shared" si="200"/>
        <v>septembre</v>
      </c>
      <c r="C1462" s="90" t="str">
        <f t="shared" si="201"/>
        <v>2022</v>
      </c>
      <c r="D1462" s="90" t="str">
        <f t="shared" si="202"/>
        <v>septembre2022</v>
      </c>
      <c r="E1462" s="91" t="s">
        <v>1444</v>
      </c>
      <c r="F1462" s="91">
        <v>140</v>
      </c>
      <c r="G1462" s="94">
        <f t="shared" si="203"/>
        <v>0.14000000000000001</v>
      </c>
      <c r="H1462" s="92" t="s">
        <v>46</v>
      </c>
      <c r="I1462" s="96">
        <f t="shared" si="198"/>
        <v>0.3</v>
      </c>
      <c r="J1462" s="96">
        <f t="shared" si="199"/>
        <v>0.7</v>
      </c>
      <c r="K1462" s="92">
        <f>VLOOKUP(H1462,'Taux émission CO2e'!$A$5:$D$16,4,FALSE)</f>
        <v>0.16</v>
      </c>
      <c r="L1462" s="93">
        <f t="shared" si="204"/>
        <v>1.8075724800000001</v>
      </c>
      <c r="M1462" s="92">
        <f>VLOOKUP(H1462,'Taux émission CO2e'!$A$20:$D$31,4,FALSE)</f>
        <v>6.7400000000000002E-2</v>
      </c>
      <c r="N1462" s="105">
        <f t="shared" si="205"/>
        <v>1.7766931168</v>
      </c>
      <c r="O1462" s="93">
        <f t="shared" si="206"/>
        <v>3.5842655967999999</v>
      </c>
      <c r="P1462" s="92">
        <v>100</v>
      </c>
      <c r="Q1462" s="92" t="s">
        <v>58</v>
      </c>
      <c r="R1462" s="92" t="s">
        <v>1349</v>
      </c>
      <c r="S1462" s="20">
        <v>268.98399999999998</v>
      </c>
    </row>
    <row r="1463" spans="1:19" x14ac:dyDescent="0.15">
      <c r="A1463" s="90">
        <v>44831</v>
      </c>
      <c r="B1463" s="90" t="str">
        <f t="shared" si="200"/>
        <v>septembre</v>
      </c>
      <c r="C1463" s="90" t="str">
        <f t="shared" si="201"/>
        <v>2022</v>
      </c>
      <c r="D1463" s="90" t="str">
        <f t="shared" si="202"/>
        <v>septembre2022</v>
      </c>
      <c r="E1463" s="91" t="s">
        <v>1445</v>
      </c>
      <c r="F1463" s="91">
        <v>230</v>
      </c>
      <c r="G1463" s="94">
        <f t="shared" si="203"/>
        <v>0.23</v>
      </c>
      <c r="H1463" s="92" t="s">
        <v>46</v>
      </c>
      <c r="I1463" s="96">
        <f t="shared" si="198"/>
        <v>0.3</v>
      </c>
      <c r="J1463" s="96">
        <f t="shared" si="199"/>
        <v>0.7</v>
      </c>
      <c r="K1463" s="92">
        <f>VLOOKUP(H1463,'Taux émission CO2e'!$A$5:$D$16,4,FALSE)</f>
        <v>0.16</v>
      </c>
      <c r="L1463" s="93">
        <f t="shared" si="204"/>
        <v>2.8064011200000003</v>
      </c>
      <c r="M1463" s="92">
        <f>VLOOKUP(H1463,'Taux émission CO2e'!$A$20:$D$31,4,FALSE)</f>
        <v>6.7400000000000002E-2</v>
      </c>
      <c r="N1463" s="105">
        <f t="shared" si="205"/>
        <v>2.7584584342</v>
      </c>
      <c r="O1463" s="93">
        <f t="shared" si="206"/>
        <v>5.5648595541999999</v>
      </c>
      <c r="P1463" s="92">
        <v>158</v>
      </c>
      <c r="Q1463" s="92" t="s">
        <v>871</v>
      </c>
      <c r="R1463" s="92" t="s">
        <v>55</v>
      </c>
      <c r="S1463" s="20">
        <v>254.203</v>
      </c>
    </row>
    <row r="1464" spans="1:19" x14ac:dyDescent="0.15">
      <c r="A1464" s="90">
        <v>44831</v>
      </c>
      <c r="B1464" s="90" t="str">
        <f t="shared" si="200"/>
        <v>septembre</v>
      </c>
      <c r="C1464" s="90" t="str">
        <f t="shared" si="201"/>
        <v>2022</v>
      </c>
      <c r="D1464" s="90" t="str">
        <f t="shared" si="202"/>
        <v>septembre2022</v>
      </c>
      <c r="E1464" s="91" t="s">
        <v>1446</v>
      </c>
      <c r="F1464" s="91">
        <v>344</v>
      </c>
      <c r="G1464" s="94">
        <f t="shared" si="203"/>
        <v>0.34399999999999997</v>
      </c>
      <c r="H1464" s="92" t="s">
        <v>46</v>
      </c>
      <c r="I1464" s="96">
        <f t="shared" si="198"/>
        <v>0.3</v>
      </c>
      <c r="J1464" s="96">
        <f t="shared" si="199"/>
        <v>0.7</v>
      </c>
      <c r="K1464" s="92">
        <f>VLOOKUP(H1464,'Taux émission CO2e'!$A$5:$D$16,4,FALSE)</f>
        <v>0.16</v>
      </c>
      <c r="L1464" s="93">
        <f t="shared" si="204"/>
        <v>8.9359641599999993</v>
      </c>
      <c r="M1464" s="92">
        <f>VLOOKUP(H1464,'Taux émission CO2e'!$A$20:$D$31,4,FALSE)</f>
        <v>6.7400000000000002E-2</v>
      </c>
      <c r="N1464" s="105">
        <f t="shared" si="205"/>
        <v>8.783308105599998</v>
      </c>
      <c r="O1464" s="93">
        <f t="shared" si="206"/>
        <v>17.719272265599997</v>
      </c>
      <c r="P1464" s="92">
        <v>225</v>
      </c>
      <c r="Q1464" s="92" t="s">
        <v>58</v>
      </c>
      <c r="R1464" s="92" t="s">
        <v>65</v>
      </c>
      <c r="S1464" s="20">
        <v>541.17999999999995</v>
      </c>
    </row>
    <row r="1465" spans="1:19" x14ac:dyDescent="0.15">
      <c r="A1465" s="90">
        <v>44831</v>
      </c>
      <c r="B1465" s="90" t="str">
        <f t="shared" si="200"/>
        <v>septembre</v>
      </c>
      <c r="C1465" s="90" t="str">
        <f t="shared" si="201"/>
        <v>2022</v>
      </c>
      <c r="D1465" s="90" t="str">
        <f t="shared" si="202"/>
        <v>septembre2022</v>
      </c>
      <c r="E1465" s="91" t="s">
        <v>1447</v>
      </c>
      <c r="F1465" s="92">
        <v>1362</v>
      </c>
      <c r="G1465" s="92">
        <f>F1465/1000</f>
        <v>1.3620000000000001</v>
      </c>
      <c r="H1465" s="92" t="s">
        <v>46</v>
      </c>
      <c r="I1465" s="96">
        <f t="shared" si="198"/>
        <v>0.3</v>
      </c>
      <c r="J1465" s="96">
        <f t="shared" si="199"/>
        <v>0.7</v>
      </c>
      <c r="K1465" s="92">
        <f>VLOOKUP(H1465,'Taux émission CO2e'!$A$5:$D$16,4,FALSE)</f>
        <v>0.16</v>
      </c>
      <c r="L1465" s="93">
        <f t="shared" si="204"/>
        <v>16.265352672000002</v>
      </c>
      <c r="M1465" s="92">
        <f>VLOOKUP(H1465,'Taux émission CO2e'!$A$20:$D$31,4,FALSE)</f>
        <v>6.7400000000000002E-2</v>
      </c>
      <c r="N1465" s="105">
        <f t="shared" si="205"/>
        <v>15.987486230520002</v>
      </c>
      <c r="O1465" s="93">
        <f t="shared" si="206"/>
        <v>32.252838902520004</v>
      </c>
      <c r="P1465" s="92">
        <v>245</v>
      </c>
      <c r="Q1465" s="92" t="s">
        <v>58</v>
      </c>
      <c r="R1465" s="92" t="s">
        <v>82</v>
      </c>
      <c r="S1465" s="20">
        <v>248.797</v>
      </c>
    </row>
    <row r="1466" spans="1:19" x14ac:dyDescent="0.15">
      <c r="A1466" s="90">
        <v>44831</v>
      </c>
      <c r="B1466" s="90" t="str">
        <f t="shared" si="200"/>
        <v>septembre</v>
      </c>
      <c r="C1466" s="90" t="str">
        <f t="shared" si="201"/>
        <v>2022</v>
      </c>
      <c r="D1466" s="90" t="str">
        <f t="shared" si="202"/>
        <v>septembre2022</v>
      </c>
      <c r="E1466" s="91" t="s">
        <v>1448</v>
      </c>
      <c r="F1466" s="91">
        <v>492</v>
      </c>
      <c r="G1466" s="94">
        <f t="shared" si="203"/>
        <v>0.49199999999999999</v>
      </c>
      <c r="H1466" s="92" t="s">
        <v>46</v>
      </c>
      <c r="I1466" s="96">
        <f t="shared" si="198"/>
        <v>0.3</v>
      </c>
      <c r="J1466" s="96">
        <f t="shared" si="199"/>
        <v>0.7</v>
      </c>
      <c r="K1466" s="92">
        <f>VLOOKUP(H1466,'Taux émission CO2e'!$A$5:$D$16,4,FALSE)</f>
        <v>0.16</v>
      </c>
      <c r="L1466" s="93">
        <f t="shared" si="204"/>
        <v>12.729354624000001</v>
      </c>
      <c r="M1466" s="92">
        <f>VLOOKUP(H1466,'Taux émission CO2e'!$A$20:$D$31,4,FALSE)</f>
        <v>6.7400000000000002E-2</v>
      </c>
      <c r="N1466" s="105">
        <f t="shared" si="205"/>
        <v>12.51189481584</v>
      </c>
      <c r="O1466" s="93">
        <f t="shared" si="206"/>
        <v>25.241249439840001</v>
      </c>
      <c r="P1466" s="92">
        <v>260</v>
      </c>
      <c r="Q1466" s="92" t="s">
        <v>58</v>
      </c>
      <c r="R1466" s="92" t="s">
        <v>405</v>
      </c>
      <c r="S1466" s="20">
        <v>539.01400000000001</v>
      </c>
    </row>
    <row r="1467" spans="1:19" x14ac:dyDescent="0.15">
      <c r="A1467" s="90">
        <v>44832</v>
      </c>
      <c r="B1467" s="90" t="str">
        <f t="shared" si="200"/>
        <v>septembre</v>
      </c>
      <c r="C1467" s="90" t="str">
        <f t="shared" si="201"/>
        <v>2022</v>
      </c>
      <c r="D1467" s="90" t="str">
        <f t="shared" si="202"/>
        <v>septembre2022</v>
      </c>
      <c r="E1467" s="91" t="s">
        <v>1449</v>
      </c>
      <c r="F1467" s="91">
        <v>150</v>
      </c>
      <c r="G1467" s="94">
        <f t="shared" si="203"/>
        <v>0.15</v>
      </c>
      <c r="H1467" s="92" t="s">
        <v>45</v>
      </c>
      <c r="I1467" s="96">
        <f t="shared" si="198"/>
        <v>0.3</v>
      </c>
      <c r="J1467" s="96">
        <f t="shared" si="199"/>
        <v>0.7</v>
      </c>
      <c r="K1467" s="92">
        <f>VLOOKUP(H1467,'Taux émission CO2e'!$A$5:$D$16,4,FALSE)</f>
        <v>0.16</v>
      </c>
      <c r="L1467" s="93">
        <f t="shared" si="204"/>
        <v>2.0026439999999996</v>
      </c>
      <c r="M1467" s="92">
        <f>VLOOKUP(H1467,'Taux émission CO2e'!$A$20:$D$31,4,FALSE)</f>
        <v>6.7400000000000002E-2</v>
      </c>
      <c r="N1467" s="105">
        <f t="shared" si="205"/>
        <v>1.9684321649999998</v>
      </c>
      <c r="O1467" s="93">
        <f t="shared" si="206"/>
        <v>3.9710761649999995</v>
      </c>
      <c r="P1467" s="92">
        <v>158</v>
      </c>
      <c r="Q1467" s="92" t="s">
        <v>74</v>
      </c>
      <c r="R1467" s="92" t="s">
        <v>55</v>
      </c>
      <c r="S1467" s="20">
        <v>278.14499999999998</v>
      </c>
    </row>
    <row r="1468" spans="1:19" x14ac:dyDescent="0.15">
      <c r="A1468" s="90">
        <v>44833</v>
      </c>
      <c r="B1468" s="90" t="str">
        <f t="shared" si="200"/>
        <v>septembre</v>
      </c>
      <c r="C1468" s="90" t="str">
        <f t="shared" si="201"/>
        <v>2022</v>
      </c>
      <c r="D1468" s="90" t="str">
        <f t="shared" si="202"/>
        <v>septembre2022</v>
      </c>
      <c r="E1468" s="91" t="s">
        <v>1450</v>
      </c>
      <c r="F1468" s="91">
        <v>130</v>
      </c>
      <c r="G1468" s="94">
        <f t="shared" si="203"/>
        <v>0.13</v>
      </c>
      <c r="H1468" s="92" t="s">
        <v>45</v>
      </c>
      <c r="I1468" s="96">
        <f t="shared" si="198"/>
        <v>0.3</v>
      </c>
      <c r="J1468" s="96">
        <f t="shared" si="199"/>
        <v>0.7</v>
      </c>
      <c r="K1468" s="92">
        <f>VLOOKUP(H1468,'Taux émission CO2e'!$A$5:$D$16,4,FALSE)</f>
        <v>0.16</v>
      </c>
      <c r="L1468" s="93">
        <f t="shared" si="204"/>
        <v>2.4277531200000002</v>
      </c>
      <c r="M1468" s="92">
        <f>VLOOKUP(H1468,'Taux émission CO2e'!$A$20:$D$31,4,FALSE)</f>
        <v>6.7400000000000002E-2</v>
      </c>
      <c r="N1468" s="105">
        <f t="shared" si="205"/>
        <v>2.3862790041999999</v>
      </c>
      <c r="O1468" s="93">
        <f t="shared" si="206"/>
        <v>4.8140321242000006</v>
      </c>
      <c r="P1468" s="92">
        <v>125</v>
      </c>
      <c r="Q1468" s="92" t="s">
        <v>842</v>
      </c>
      <c r="R1468" s="92" t="s">
        <v>55</v>
      </c>
      <c r="S1468" s="20">
        <v>389.06299999999999</v>
      </c>
    </row>
    <row r="1469" spans="1:19" x14ac:dyDescent="0.15">
      <c r="A1469" s="90">
        <v>44833</v>
      </c>
      <c r="B1469" s="90" t="str">
        <f t="shared" si="200"/>
        <v>septembre</v>
      </c>
      <c r="C1469" s="90" t="str">
        <f t="shared" si="201"/>
        <v>2022</v>
      </c>
      <c r="D1469" s="90" t="str">
        <f t="shared" si="202"/>
        <v>septembre2022</v>
      </c>
      <c r="E1469" s="91" t="s">
        <v>1451</v>
      </c>
      <c r="F1469" s="91">
        <v>170</v>
      </c>
      <c r="G1469" s="94">
        <f t="shared" si="203"/>
        <v>0.17</v>
      </c>
      <c r="H1469" s="92" t="s">
        <v>46</v>
      </c>
      <c r="I1469" s="96">
        <f t="shared" si="198"/>
        <v>0.3</v>
      </c>
      <c r="J1469" s="96">
        <f t="shared" si="199"/>
        <v>0.7</v>
      </c>
      <c r="K1469" s="92">
        <f>VLOOKUP(H1469,'Taux émission CO2e'!$A$5:$D$16,4,FALSE)</f>
        <v>0.16</v>
      </c>
      <c r="L1469" s="93">
        <f t="shared" si="204"/>
        <v>2.1537422400000001</v>
      </c>
      <c r="M1469" s="92">
        <f>VLOOKUP(H1469,'Taux émission CO2e'!$A$20:$D$31,4,FALSE)</f>
        <v>6.7400000000000002E-2</v>
      </c>
      <c r="N1469" s="105">
        <f t="shared" si="205"/>
        <v>2.1169491434000003</v>
      </c>
      <c r="O1469" s="93">
        <f t="shared" si="206"/>
        <v>4.2706913834000009</v>
      </c>
      <c r="P1469" s="92">
        <v>140</v>
      </c>
      <c r="Q1469" s="92" t="s">
        <v>58</v>
      </c>
      <c r="R1469" s="92" t="s">
        <v>101</v>
      </c>
      <c r="S1469" s="20">
        <v>263.93900000000002</v>
      </c>
    </row>
    <row r="1470" spans="1:19" x14ac:dyDescent="0.15">
      <c r="A1470" s="90">
        <v>44833</v>
      </c>
      <c r="B1470" s="90" t="str">
        <f t="shared" si="200"/>
        <v>septembre</v>
      </c>
      <c r="C1470" s="90" t="str">
        <f t="shared" si="201"/>
        <v>2022</v>
      </c>
      <c r="D1470" s="90" t="str">
        <f t="shared" si="202"/>
        <v>septembre2022</v>
      </c>
      <c r="E1470" s="91" t="s">
        <v>1452</v>
      </c>
      <c r="F1470" s="91">
        <v>230</v>
      </c>
      <c r="G1470" s="94">
        <f t="shared" si="203"/>
        <v>0.23</v>
      </c>
      <c r="H1470" s="92" t="s">
        <v>46</v>
      </c>
      <c r="I1470" s="96">
        <f t="shared" si="198"/>
        <v>0.3</v>
      </c>
      <c r="J1470" s="96">
        <f t="shared" si="199"/>
        <v>0.7</v>
      </c>
      <c r="K1470" s="92">
        <f>VLOOKUP(H1470,'Taux émission CO2e'!$A$5:$D$16,4,FALSE)</f>
        <v>0.16</v>
      </c>
      <c r="L1470" s="93">
        <f t="shared" si="204"/>
        <v>2.9463331200000002</v>
      </c>
      <c r="M1470" s="92">
        <f>VLOOKUP(H1470,'Taux émission CO2e'!$A$20:$D$31,4,FALSE)</f>
        <v>6.7400000000000002E-2</v>
      </c>
      <c r="N1470" s="105">
        <f t="shared" si="205"/>
        <v>2.8959999291999998</v>
      </c>
      <c r="O1470" s="93">
        <f t="shared" si="206"/>
        <v>5.8423330492000005</v>
      </c>
      <c r="P1470" s="92">
        <v>158</v>
      </c>
      <c r="Q1470" s="92" t="s">
        <v>730</v>
      </c>
      <c r="R1470" s="92" t="s">
        <v>55</v>
      </c>
      <c r="S1470" s="20">
        <v>266.87799999999999</v>
      </c>
    </row>
    <row r="1471" spans="1:19" x14ac:dyDescent="0.15">
      <c r="A1471" s="90">
        <v>44833</v>
      </c>
      <c r="B1471" s="90" t="str">
        <f t="shared" si="200"/>
        <v>septembre</v>
      </c>
      <c r="C1471" s="90" t="str">
        <f t="shared" si="201"/>
        <v>2022</v>
      </c>
      <c r="D1471" s="90" t="str">
        <f t="shared" si="202"/>
        <v>septembre2022</v>
      </c>
      <c r="E1471" s="91" t="s">
        <v>1453</v>
      </c>
      <c r="F1471" s="91">
        <v>150</v>
      </c>
      <c r="G1471" s="94">
        <f t="shared" si="203"/>
        <v>0.15</v>
      </c>
      <c r="H1471" s="92" t="s">
        <v>46</v>
      </c>
      <c r="I1471" s="96">
        <f t="shared" si="198"/>
        <v>0.3</v>
      </c>
      <c r="J1471" s="96">
        <f t="shared" si="199"/>
        <v>0.7</v>
      </c>
      <c r="K1471" s="92">
        <f>VLOOKUP(H1471,'Taux émission CO2e'!$A$5:$D$16,4,FALSE)</f>
        <v>0.16</v>
      </c>
      <c r="L1471" s="93">
        <f t="shared" si="204"/>
        <v>3.8989871999999997</v>
      </c>
      <c r="M1471" s="92">
        <f>VLOOKUP(H1471,'Taux émission CO2e'!$A$20:$D$31,4,FALSE)</f>
        <v>6.7400000000000002E-2</v>
      </c>
      <c r="N1471" s="105">
        <f t="shared" si="205"/>
        <v>3.8323795019999998</v>
      </c>
      <c r="O1471" s="93">
        <f t="shared" si="206"/>
        <v>7.731366701999999</v>
      </c>
      <c r="P1471" s="92">
        <v>165</v>
      </c>
      <c r="Q1471" s="92" t="s">
        <v>62</v>
      </c>
      <c r="R1471" s="92" t="s">
        <v>55</v>
      </c>
      <c r="S1471" s="20">
        <v>541.52599999999995</v>
      </c>
    </row>
    <row r="1472" spans="1:19" x14ac:dyDescent="0.15">
      <c r="A1472" s="90">
        <v>44833</v>
      </c>
      <c r="B1472" s="90" t="str">
        <f t="shared" si="200"/>
        <v>septembre</v>
      </c>
      <c r="C1472" s="90" t="str">
        <f t="shared" si="201"/>
        <v>2022</v>
      </c>
      <c r="D1472" s="90" t="str">
        <f t="shared" si="202"/>
        <v>septembre2022</v>
      </c>
      <c r="E1472" s="91" t="s">
        <v>1454</v>
      </c>
      <c r="F1472" s="91">
        <v>155</v>
      </c>
      <c r="G1472" s="94">
        <f t="shared" si="203"/>
        <v>0.155</v>
      </c>
      <c r="H1472" s="92" t="s">
        <v>46</v>
      </c>
      <c r="I1472" s="96">
        <f t="shared" si="198"/>
        <v>0.3</v>
      </c>
      <c r="J1472" s="96">
        <f t="shared" si="199"/>
        <v>0.7</v>
      </c>
      <c r="K1472" s="92">
        <f>VLOOKUP(H1472,'Taux émission CO2e'!$A$5:$D$16,4,FALSE)</f>
        <v>0.16</v>
      </c>
      <c r="L1472" s="93">
        <f t="shared" si="204"/>
        <v>4.3015476000000001</v>
      </c>
      <c r="M1472" s="92">
        <f>VLOOKUP(H1472,'Taux émission CO2e'!$A$20:$D$31,4,FALSE)</f>
        <v>6.7400000000000002E-2</v>
      </c>
      <c r="N1472" s="105">
        <f t="shared" si="205"/>
        <v>4.2280628284999997</v>
      </c>
      <c r="O1472" s="93">
        <f t="shared" si="206"/>
        <v>8.5296104284999998</v>
      </c>
      <c r="P1472" s="92">
        <v>195</v>
      </c>
      <c r="Q1472" s="92" t="s">
        <v>1455</v>
      </c>
      <c r="R1472" s="92" t="s">
        <v>55</v>
      </c>
      <c r="S1472" s="20">
        <v>578.16499999999996</v>
      </c>
    </row>
    <row r="1473" spans="1:19" x14ac:dyDescent="0.15">
      <c r="A1473" s="90">
        <v>44833</v>
      </c>
      <c r="B1473" s="90" t="str">
        <f t="shared" si="200"/>
        <v>septembre</v>
      </c>
      <c r="C1473" s="90" t="str">
        <f t="shared" si="201"/>
        <v>2022</v>
      </c>
      <c r="D1473" s="90" t="str">
        <f t="shared" si="202"/>
        <v>septembre2022</v>
      </c>
      <c r="E1473" s="91" t="s">
        <v>1456</v>
      </c>
      <c r="F1473" s="91">
        <v>470</v>
      </c>
      <c r="G1473" s="94">
        <f t="shared" si="203"/>
        <v>0.47</v>
      </c>
      <c r="H1473" s="92" t="s">
        <v>45</v>
      </c>
      <c r="I1473" s="96">
        <f t="shared" si="198"/>
        <v>0.3</v>
      </c>
      <c r="J1473" s="96">
        <f t="shared" si="199"/>
        <v>0.7</v>
      </c>
      <c r="K1473" s="92">
        <f>VLOOKUP(H1473,'Taux émission CO2e'!$A$5:$D$16,4,FALSE)</f>
        <v>0.16</v>
      </c>
      <c r="L1473" s="93">
        <f t="shared" si="204"/>
        <v>12.130692479999999</v>
      </c>
      <c r="M1473" s="92">
        <f>VLOOKUP(H1473,'Taux émission CO2e'!$A$20:$D$31,4,FALSE)</f>
        <v>6.7400000000000002E-2</v>
      </c>
      <c r="N1473" s="105">
        <f t="shared" si="205"/>
        <v>11.923459816799999</v>
      </c>
      <c r="O1473" s="93">
        <f t="shared" si="206"/>
        <v>24.054152296799998</v>
      </c>
      <c r="P1473" s="92">
        <v>195</v>
      </c>
      <c r="Q1473" s="92" t="s">
        <v>612</v>
      </c>
      <c r="R1473" s="92" t="s">
        <v>55</v>
      </c>
      <c r="S1473" s="20">
        <v>537.70799999999997</v>
      </c>
    </row>
    <row r="1474" spans="1:19" x14ac:dyDescent="0.15">
      <c r="A1474" s="90">
        <v>44834</v>
      </c>
      <c r="B1474" s="90" t="str">
        <f t="shared" si="200"/>
        <v>septembre</v>
      </c>
      <c r="C1474" s="90" t="str">
        <f t="shared" si="201"/>
        <v>2022</v>
      </c>
      <c r="D1474" s="90" t="str">
        <f t="shared" si="202"/>
        <v>septembre2022</v>
      </c>
      <c r="E1474" s="91" t="s">
        <v>1457</v>
      </c>
      <c r="F1474" s="91">
        <v>90</v>
      </c>
      <c r="G1474" s="94">
        <f t="shared" si="203"/>
        <v>0.09</v>
      </c>
      <c r="H1474" s="92" t="s">
        <v>45</v>
      </c>
      <c r="I1474" s="96">
        <f t="shared" ref="I1474:I1537" si="207">VLOOKUP(H1474,Segment1,2,FALSE)</f>
        <v>0.3</v>
      </c>
      <c r="J1474" s="96">
        <f t="shared" ref="J1474:J1482" si="208">VLOOKUP(H1474,Segment2,2,FALSE)</f>
        <v>0.7</v>
      </c>
      <c r="K1474" s="92">
        <f>VLOOKUP(H1474,'Taux émission CO2e'!$A$5:$D$16,4,FALSE)</f>
        <v>0.16</v>
      </c>
      <c r="L1474" s="93">
        <f t="shared" si="204"/>
        <v>0.23925888000000001</v>
      </c>
      <c r="M1474" s="92">
        <f>VLOOKUP(H1474,'Taux émission CO2e'!$A$20:$D$31,4,FALSE)</f>
        <v>6.7400000000000002E-2</v>
      </c>
      <c r="N1474" s="105">
        <f t="shared" si="205"/>
        <v>0.23517154079999997</v>
      </c>
      <c r="O1474" s="93">
        <f t="shared" si="206"/>
        <v>0.47443042079999997</v>
      </c>
      <c r="P1474" s="92">
        <v>80</v>
      </c>
      <c r="Q1474" s="92" t="s">
        <v>58</v>
      </c>
      <c r="R1474" s="92" t="s">
        <v>769</v>
      </c>
      <c r="S1474" s="20">
        <v>55.384</v>
      </c>
    </row>
    <row r="1475" spans="1:19" x14ac:dyDescent="0.15">
      <c r="A1475" s="90">
        <v>44834</v>
      </c>
      <c r="B1475" s="90" t="str">
        <f t="shared" ref="B1475:B1482" si="209">TEXT(A1475,"mmmm")</f>
        <v>septembre</v>
      </c>
      <c r="C1475" s="90" t="str">
        <f t="shared" ref="C1475:C1482" si="210">TEXT(A1475,"aaaa")</f>
        <v>2022</v>
      </c>
      <c r="D1475" s="90" t="str">
        <f t="shared" ref="D1475:D1482" si="211">B1475&amp;C1475</f>
        <v>septembre2022</v>
      </c>
      <c r="E1475" s="91" t="s">
        <v>1458</v>
      </c>
      <c r="F1475" s="91">
        <v>120</v>
      </c>
      <c r="G1475" s="94">
        <f t="shared" ref="G1475:G1482" si="212">F1475/1000</f>
        <v>0.12</v>
      </c>
      <c r="H1475" s="92" t="s">
        <v>38</v>
      </c>
      <c r="I1475" s="96">
        <f t="shared" si="207"/>
        <v>1</v>
      </c>
      <c r="J1475" s="96">
        <f t="shared" si="208"/>
        <v>0</v>
      </c>
      <c r="K1475" s="92">
        <f>VLOOKUP(H1475,'Taux émission CO2e'!$A$5:$D$16,4,FALSE)</f>
        <v>0.24099999999999999</v>
      </c>
      <c r="L1475" s="93">
        <f t="shared" ref="L1475:L1482" si="213">IFERROR(I1475*K1475*G1475*S1475,"0")</f>
        <v>0.98576711999999989</v>
      </c>
      <c r="M1475" s="92">
        <f>VLOOKUP(H1475,'Taux émission CO2e'!$A$20:$D$31,4,FALSE)</f>
        <v>0</v>
      </c>
      <c r="N1475" s="105">
        <f t="shared" ref="N1475:N1482" si="214">IFERROR(J1475*M1475*G1475*S1475,"0")</f>
        <v>0</v>
      </c>
      <c r="O1475" s="93">
        <f t="shared" ref="O1475:O1482" si="215">L1475+N1475</f>
        <v>0.98576711999999989</v>
      </c>
      <c r="P1475" s="92">
        <v>80</v>
      </c>
      <c r="Q1475" s="92" t="s">
        <v>58</v>
      </c>
      <c r="R1475" s="92" t="s">
        <v>98</v>
      </c>
      <c r="S1475" s="20">
        <v>34.085999999999999</v>
      </c>
    </row>
    <row r="1476" spans="1:19" x14ac:dyDescent="0.15">
      <c r="A1476" s="90">
        <v>44834</v>
      </c>
      <c r="B1476" s="90" t="str">
        <f t="shared" si="209"/>
        <v>septembre</v>
      </c>
      <c r="C1476" s="90" t="str">
        <f t="shared" si="210"/>
        <v>2022</v>
      </c>
      <c r="D1476" s="90" t="str">
        <f t="shared" si="211"/>
        <v>septembre2022</v>
      </c>
      <c r="E1476" s="91" t="s">
        <v>1459</v>
      </c>
      <c r="F1476" s="91">
        <v>90</v>
      </c>
      <c r="G1476" s="94">
        <f t="shared" si="212"/>
        <v>0.09</v>
      </c>
      <c r="H1476" s="92" t="s">
        <v>46</v>
      </c>
      <c r="I1476" s="96">
        <f t="shared" si="207"/>
        <v>0.3</v>
      </c>
      <c r="J1476" s="96">
        <f t="shared" si="208"/>
        <v>0.7</v>
      </c>
      <c r="K1476" s="92">
        <f>VLOOKUP(H1476,'Taux émission CO2e'!$A$5:$D$16,4,FALSE)</f>
        <v>0.16</v>
      </c>
      <c r="L1476" s="93">
        <f t="shared" si="213"/>
        <v>1.1471544</v>
      </c>
      <c r="M1476" s="92">
        <f>VLOOKUP(H1476,'Taux émission CO2e'!$A$20:$D$31,4,FALSE)</f>
        <v>6.7400000000000002E-2</v>
      </c>
      <c r="N1476" s="105">
        <f t="shared" si="214"/>
        <v>1.1275571789999999</v>
      </c>
      <c r="O1476" s="93">
        <f t="shared" si="215"/>
        <v>2.2747115789999999</v>
      </c>
      <c r="P1476" s="92">
        <v>100</v>
      </c>
      <c r="Q1476" s="92" t="s">
        <v>58</v>
      </c>
      <c r="R1476" s="92" t="s">
        <v>71</v>
      </c>
      <c r="S1476" s="20">
        <v>265.54500000000002</v>
      </c>
    </row>
    <row r="1477" spans="1:19" x14ac:dyDescent="0.15">
      <c r="A1477" s="90">
        <v>44834</v>
      </c>
      <c r="B1477" s="90" t="str">
        <f t="shared" si="209"/>
        <v>septembre</v>
      </c>
      <c r="C1477" s="90" t="str">
        <f t="shared" si="210"/>
        <v>2022</v>
      </c>
      <c r="D1477" s="90" t="str">
        <f t="shared" si="211"/>
        <v>septembre2022</v>
      </c>
      <c r="E1477" s="91" t="s">
        <v>1460</v>
      </c>
      <c r="F1477" s="91">
        <v>345</v>
      </c>
      <c r="G1477" s="94">
        <f t="shared" si="212"/>
        <v>0.34499999999999997</v>
      </c>
      <c r="H1477" s="92" t="s">
        <v>46</v>
      </c>
      <c r="I1477" s="96">
        <f t="shared" si="207"/>
        <v>0.3</v>
      </c>
      <c r="J1477" s="96">
        <f t="shared" si="208"/>
        <v>0.7</v>
      </c>
      <c r="K1477" s="92">
        <f>VLOOKUP(H1477,'Taux émission CO2e'!$A$5:$D$16,4,FALSE)</f>
        <v>0.16</v>
      </c>
      <c r="L1477" s="93">
        <f t="shared" si="213"/>
        <v>3.0936398399999994</v>
      </c>
      <c r="M1477" s="92">
        <f>VLOOKUP(H1477,'Taux émission CO2e'!$A$20:$D$31,4,FALSE)</f>
        <v>6.7400000000000002E-2</v>
      </c>
      <c r="N1477" s="105">
        <f t="shared" si="214"/>
        <v>3.0407901593999997</v>
      </c>
      <c r="O1477" s="93">
        <f t="shared" si="215"/>
        <v>6.1344299993999991</v>
      </c>
      <c r="P1477" s="92">
        <v>140</v>
      </c>
      <c r="Q1477" s="92" t="s">
        <v>688</v>
      </c>
      <c r="R1477" s="92" t="s">
        <v>55</v>
      </c>
      <c r="S1477" s="20">
        <v>186.81399999999999</v>
      </c>
    </row>
    <row r="1478" spans="1:19" x14ac:dyDescent="0.15">
      <c r="A1478" s="90">
        <v>44834</v>
      </c>
      <c r="B1478" s="90" t="str">
        <f t="shared" si="209"/>
        <v>septembre</v>
      </c>
      <c r="C1478" s="90" t="str">
        <f t="shared" si="210"/>
        <v>2022</v>
      </c>
      <c r="D1478" s="90" t="str">
        <f t="shared" si="211"/>
        <v>septembre2022</v>
      </c>
      <c r="E1478" s="91" t="s">
        <v>1461</v>
      </c>
      <c r="F1478" s="91">
        <v>150</v>
      </c>
      <c r="G1478" s="94">
        <f t="shared" si="212"/>
        <v>0.15</v>
      </c>
      <c r="H1478" s="92" t="s">
        <v>46</v>
      </c>
      <c r="I1478" s="96">
        <f t="shared" si="207"/>
        <v>0.3</v>
      </c>
      <c r="J1478" s="96">
        <f t="shared" si="208"/>
        <v>0.7</v>
      </c>
      <c r="K1478" s="92">
        <f>VLOOKUP(H1478,'Taux émission CO2e'!$A$5:$D$16,4,FALSE)</f>
        <v>0.16</v>
      </c>
      <c r="L1478" s="93">
        <f t="shared" si="213"/>
        <v>5.4405647999999998</v>
      </c>
      <c r="M1478" s="92">
        <f>VLOOKUP(H1478,'Taux émission CO2e'!$A$20:$D$31,4,FALSE)</f>
        <v>6.7400000000000002E-2</v>
      </c>
      <c r="N1478" s="105">
        <f t="shared" si="214"/>
        <v>5.3476218180000004</v>
      </c>
      <c r="O1478" s="93">
        <f t="shared" si="215"/>
        <v>10.788186618000001</v>
      </c>
      <c r="P1478" s="92">
        <v>168</v>
      </c>
      <c r="Q1478" s="92" t="s">
        <v>58</v>
      </c>
      <c r="R1478" s="92" t="s">
        <v>1462</v>
      </c>
      <c r="S1478" s="20">
        <v>755.63400000000001</v>
      </c>
    </row>
    <row r="1479" spans="1:19" x14ac:dyDescent="0.15">
      <c r="A1479" s="90">
        <v>44834</v>
      </c>
      <c r="B1479" s="90" t="str">
        <f t="shared" si="209"/>
        <v>septembre</v>
      </c>
      <c r="C1479" s="90" t="str">
        <f t="shared" si="210"/>
        <v>2022</v>
      </c>
      <c r="D1479" s="90" t="str">
        <f t="shared" si="211"/>
        <v>septembre2022</v>
      </c>
      <c r="E1479" s="91" t="s">
        <v>1463</v>
      </c>
      <c r="F1479" s="91">
        <v>90</v>
      </c>
      <c r="G1479" s="94">
        <f t="shared" si="212"/>
        <v>0.09</v>
      </c>
      <c r="H1479" s="92" t="s">
        <v>46</v>
      </c>
      <c r="I1479" s="96">
        <f t="shared" si="207"/>
        <v>0.3</v>
      </c>
      <c r="J1479" s="96">
        <f t="shared" si="208"/>
        <v>0.7</v>
      </c>
      <c r="K1479" s="92">
        <f>VLOOKUP(H1479,'Taux émission CO2e'!$A$5:$D$16,4,FALSE)</f>
        <v>0.16</v>
      </c>
      <c r="L1479" s="93">
        <f t="shared" si="213"/>
        <v>3.820176</v>
      </c>
      <c r="M1479" s="92">
        <f>VLOOKUP(H1479,'Taux émission CO2e'!$A$20:$D$31,4,FALSE)</f>
        <v>6.7400000000000002E-2</v>
      </c>
      <c r="N1479" s="105">
        <f t="shared" si="214"/>
        <v>3.7549146599999994</v>
      </c>
      <c r="O1479" s="93">
        <f t="shared" si="215"/>
        <v>7.575090659999999</v>
      </c>
      <c r="P1479" s="92">
        <v>196</v>
      </c>
      <c r="Q1479" s="92" t="s">
        <v>58</v>
      </c>
      <c r="R1479" s="92" t="s">
        <v>1464</v>
      </c>
      <c r="S1479" s="20">
        <v>884.3</v>
      </c>
    </row>
    <row r="1480" spans="1:19" x14ac:dyDescent="0.15">
      <c r="A1480" s="90">
        <v>44834</v>
      </c>
      <c r="B1480" s="90" t="str">
        <f t="shared" si="209"/>
        <v>septembre</v>
      </c>
      <c r="C1480" s="90" t="str">
        <f t="shared" si="210"/>
        <v>2022</v>
      </c>
      <c r="D1480" s="90" t="str">
        <f t="shared" si="211"/>
        <v>septembre2022</v>
      </c>
      <c r="E1480" s="91" t="s">
        <v>1465</v>
      </c>
      <c r="F1480" s="91">
        <v>300</v>
      </c>
      <c r="G1480" s="94">
        <f t="shared" si="212"/>
        <v>0.3</v>
      </c>
      <c r="H1480" s="92" t="s">
        <v>46</v>
      </c>
      <c r="I1480" s="96">
        <f t="shared" si="207"/>
        <v>0.3</v>
      </c>
      <c r="J1480" s="96">
        <f t="shared" si="208"/>
        <v>0.7</v>
      </c>
      <c r="K1480" s="92">
        <f>VLOOKUP(H1480,'Taux émission CO2e'!$A$5:$D$16,4,FALSE)</f>
        <v>0.16</v>
      </c>
      <c r="L1480" s="93">
        <f t="shared" si="213"/>
        <v>4.0103568000000003</v>
      </c>
      <c r="M1480" s="92">
        <f>VLOOKUP(H1480,'Taux émission CO2e'!$A$20:$D$31,4,FALSE)</f>
        <v>6.7400000000000002E-2</v>
      </c>
      <c r="N1480" s="105">
        <f t="shared" si="214"/>
        <v>3.9418465380000001</v>
      </c>
      <c r="O1480" s="93">
        <f t="shared" si="215"/>
        <v>7.9522033380000003</v>
      </c>
      <c r="P1480" s="92">
        <v>230</v>
      </c>
      <c r="Q1480" s="92" t="s">
        <v>90</v>
      </c>
      <c r="R1480" s="92" t="s">
        <v>55</v>
      </c>
      <c r="S1480" s="20">
        <v>278.49700000000001</v>
      </c>
    </row>
    <row r="1481" spans="1:19" x14ac:dyDescent="0.15">
      <c r="A1481" s="90">
        <v>44834</v>
      </c>
      <c r="B1481" s="90" t="str">
        <f t="shared" si="209"/>
        <v>septembre</v>
      </c>
      <c r="C1481" s="90" t="str">
        <f t="shared" si="210"/>
        <v>2022</v>
      </c>
      <c r="D1481" s="90" t="str">
        <f t="shared" si="211"/>
        <v>septembre2022</v>
      </c>
      <c r="E1481" s="91" t="s">
        <v>1466</v>
      </c>
      <c r="F1481" s="91">
        <v>300</v>
      </c>
      <c r="G1481" s="94">
        <f t="shared" si="212"/>
        <v>0.3</v>
      </c>
      <c r="H1481" s="92" t="s">
        <v>46</v>
      </c>
      <c r="I1481" s="96">
        <f t="shared" si="207"/>
        <v>0.3</v>
      </c>
      <c r="J1481" s="96">
        <f t="shared" si="208"/>
        <v>0.7</v>
      </c>
      <c r="K1481" s="92">
        <f>VLOOKUP(H1481,'Taux émission CO2e'!$A$5:$D$16,4,FALSE)</f>
        <v>0.16</v>
      </c>
      <c r="L1481" s="93">
        <f t="shared" si="213"/>
        <v>3.7158191999999999</v>
      </c>
      <c r="M1481" s="92">
        <f>VLOOKUP(H1481,'Taux émission CO2e'!$A$20:$D$31,4,FALSE)</f>
        <v>6.7400000000000002E-2</v>
      </c>
      <c r="N1481" s="105">
        <f t="shared" si="214"/>
        <v>3.6523406220000001</v>
      </c>
      <c r="O1481" s="93">
        <f t="shared" si="215"/>
        <v>7.368159822</v>
      </c>
      <c r="P1481" s="92">
        <v>260</v>
      </c>
      <c r="Q1481" s="92" t="s">
        <v>102</v>
      </c>
      <c r="R1481" s="92" t="s">
        <v>55</v>
      </c>
      <c r="S1481" s="20">
        <v>258.04300000000001</v>
      </c>
    </row>
    <row r="1482" spans="1:19" x14ac:dyDescent="0.15">
      <c r="A1482" s="90">
        <v>44834</v>
      </c>
      <c r="B1482" s="90" t="str">
        <f t="shared" si="209"/>
        <v>septembre</v>
      </c>
      <c r="C1482" s="90" t="str">
        <f t="shared" si="210"/>
        <v>2022</v>
      </c>
      <c r="D1482" s="90" t="str">
        <f t="shared" si="211"/>
        <v>septembre2022</v>
      </c>
      <c r="E1482" s="91" t="s">
        <v>1467</v>
      </c>
      <c r="F1482" s="91">
        <v>581</v>
      </c>
      <c r="G1482" s="94">
        <f t="shared" si="212"/>
        <v>0.58099999999999996</v>
      </c>
      <c r="H1482" s="92" t="s">
        <v>46</v>
      </c>
      <c r="I1482" s="96">
        <f t="shared" si="207"/>
        <v>0.3</v>
      </c>
      <c r="J1482" s="96">
        <f t="shared" si="208"/>
        <v>0.7</v>
      </c>
      <c r="K1482" s="92">
        <f>VLOOKUP(H1482,'Taux émission CO2e'!$A$5:$D$16,4,FALSE)</f>
        <v>0.16</v>
      </c>
      <c r="L1482" s="93">
        <f t="shared" si="213"/>
        <v>12.786843215999999</v>
      </c>
      <c r="M1482" s="92">
        <f>VLOOKUP(H1482,'Taux émission CO2e'!$A$20:$D$31,4,FALSE)</f>
        <v>6.7400000000000002E-2</v>
      </c>
      <c r="N1482" s="105">
        <f t="shared" si="214"/>
        <v>12.568401311059999</v>
      </c>
      <c r="O1482" s="93">
        <f t="shared" si="215"/>
        <v>25.355244527059998</v>
      </c>
      <c r="P1482" s="92">
        <v>435</v>
      </c>
      <c r="Q1482" s="92" t="s">
        <v>58</v>
      </c>
      <c r="R1482" s="92" t="s">
        <v>427</v>
      </c>
      <c r="S1482" s="20">
        <v>458.50700000000001</v>
      </c>
    </row>
  </sheetData>
  <autoFilter ref="A1:S1482" xr:uid="{7C797A80-DFC8-5E46-92FF-7D50D3F6BF9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AC1005"/>
  <sheetViews>
    <sheetView showGridLines="0" tabSelected="1" zoomScale="170" zoomScaleNormal="170" workbookViewId="0">
      <selection activeCell="T2" sqref="T2"/>
    </sheetView>
  </sheetViews>
  <sheetFormatPr baseColWidth="10" defaultColWidth="12.6640625" defaultRowHeight="15.75" customHeight="1" outlineLevelCol="1" x14ac:dyDescent="0.15"/>
  <cols>
    <col min="2" max="2" width="12.6640625" customWidth="1" outlineLevel="1"/>
    <col min="3" max="3" width="13.1640625" customWidth="1" outlineLevel="1"/>
    <col min="19" max="19" width="14.33203125" customWidth="1"/>
  </cols>
  <sheetData>
    <row r="1" spans="2:29" ht="13" x14ac:dyDescent="0.15">
      <c r="C1" s="1"/>
      <c r="D1" s="1"/>
      <c r="E1" s="1"/>
      <c r="F1" s="1"/>
      <c r="G1" s="1"/>
      <c r="H1" s="1"/>
      <c r="I1" s="1"/>
      <c r="J1" s="1"/>
      <c r="K1" s="1"/>
      <c r="L1" s="1"/>
      <c r="M1" s="1"/>
      <c r="N1" s="1"/>
      <c r="O1" s="1"/>
      <c r="P1" s="1"/>
      <c r="Q1" s="1"/>
      <c r="R1" s="1"/>
      <c r="S1" s="2" t="s">
        <v>0</v>
      </c>
      <c r="T1" s="3" t="s">
        <v>1500</v>
      </c>
      <c r="U1" s="1"/>
      <c r="V1" s="1"/>
      <c r="W1" s="1"/>
      <c r="X1" s="4"/>
      <c r="Y1" s="119"/>
      <c r="Z1" s="1"/>
      <c r="AA1" s="1"/>
      <c r="AB1" s="1"/>
      <c r="AC1" s="1"/>
    </row>
    <row r="2" spans="2:29" ht="23" x14ac:dyDescent="0.25">
      <c r="C2" s="5"/>
      <c r="D2" s="6" t="s">
        <v>1</v>
      </c>
      <c r="E2" s="5"/>
      <c r="F2" s="5"/>
      <c r="G2" s="5"/>
      <c r="H2" s="5"/>
      <c r="I2" s="5"/>
      <c r="J2" s="5"/>
      <c r="K2" s="5"/>
      <c r="L2" s="5"/>
      <c r="M2" s="5"/>
      <c r="N2" s="5"/>
      <c r="O2" s="5"/>
      <c r="P2" s="5"/>
      <c r="Q2" s="5"/>
      <c r="R2" s="5"/>
      <c r="S2" s="7" t="s">
        <v>2</v>
      </c>
      <c r="T2" s="130">
        <v>45454</v>
      </c>
      <c r="U2" s="5"/>
      <c r="V2" s="5"/>
      <c r="W2" s="5"/>
      <c r="X2" s="8"/>
      <c r="Y2" s="120"/>
      <c r="Z2" s="5"/>
      <c r="AA2" s="5"/>
      <c r="AB2" s="1"/>
      <c r="AC2" s="1"/>
    </row>
    <row r="3" spans="2:29" ht="15.75" customHeight="1" x14ac:dyDescent="0.15">
      <c r="C3" s="1"/>
      <c r="D3" s="1"/>
      <c r="E3" s="1"/>
      <c r="F3" s="1"/>
      <c r="G3" s="1"/>
      <c r="H3" s="1"/>
      <c r="I3" s="1"/>
      <c r="J3" s="1"/>
      <c r="K3" s="1"/>
      <c r="L3" s="1"/>
      <c r="M3" s="1"/>
      <c r="N3" s="9"/>
      <c r="O3" s="9"/>
      <c r="P3" s="9"/>
      <c r="Q3" s="9"/>
      <c r="R3" s="1"/>
      <c r="S3" s="1"/>
      <c r="T3" s="1"/>
      <c r="U3" s="1"/>
      <c r="V3" s="1"/>
      <c r="W3" s="1"/>
      <c r="X3" s="9"/>
      <c r="Y3" s="9"/>
      <c r="Z3" s="9"/>
      <c r="AA3" s="9"/>
      <c r="AB3" s="1"/>
      <c r="AC3" s="1"/>
    </row>
    <row r="4" spans="2:29" ht="16" x14ac:dyDescent="0.2">
      <c r="C4" s="10"/>
      <c r="D4" s="10"/>
      <c r="E4" s="11" t="s">
        <v>3</v>
      </c>
      <c r="F4" s="10"/>
      <c r="G4" s="10"/>
      <c r="H4" s="10"/>
      <c r="I4" s="10"/>
      <c r="J4" s="11" t="s">
        <v>4</v>
      </c>
      <c r="K4" s="10"/>
      <c r="L4" s="10"/>
      <c r="M4" s="12"/>
      <c r="N4" s="10"/>
      <c r="O4" s="11" t="s">
        <v>5</v>
      </c>
      <c r="P4" s="10"/>
      <c r="Q4" s="12"/>
      <c r="R4" s="10"/>
      <c r="S4" s="10"/>
      <c r="T4" s="11" t="s">
        <v>6</v>
      </c>
      <c r="U4" s="10"/>
      <c r="V4" s="10"/>
      <c r="W4" s="12"/>
      <c r="X4" s="10"/>
      <c r="Y4" s="11" t="s">
        <v>7</v>
      </c>
      <c r="Z4" s="10"/>
      <c r="AA4" s="12"/>
      <c r="AB4" s="1"/>
      <c r="AC4" s="1"/>
    </row>
    <row r="5" spans="2:29" ht="15.75" customHeight="1" x14ac:dyDescent="0.15">
      <c r="C5" s="10"/>
      <c r="D5" s="10"/>
      <c r="E5" s="13">
        <v>2021</v>
      </c>
      <c r="F5" s="13">
        <v>2022</v>
      </c>
      <c r="G5" s="14" t="s">
        <v>8</v>
      </c>
      <c r="H5" s="10"/>
      <c r="I5" s="10"/>
      <c r="J5" s="13">
        <v>2021</v>
      </c>
      <c r="K5" s="13">
        <v>2022</v>
      </c>
      <c r="L5" s="15" t="s">
        <v>8</v>
      </c>
      <c r="M5" s="12"/>
      <c r="N5" s="10"/>
      <c r="O5" s="13">
        <v>2021</v>
      </c>
      <c r="P5" s="13">
        <v>2022</v>
      </c>
      <c r="Q5" s="16" t="s">
        <v>8</v>
      </c>
      <c r="R5" s="10"/>
      <c r="S5" s="10"/>
      <c r="T5" s="13">
        <v>2021</v>
      </c>
      <c r="U5" s="13">
        <v>2022</v>
      </c>
      <c r="V5" s="17" t="s">
        <v>8</v>
      </c>
      <c r="W5" s="12"/>
      <c r="X5" s="10"/>
      <c r="Y5" s="13">
        <v>2021</v>
      </c>
      <c r="Z5" s="13">
        <v>2022</v>
      </c>
      <c r="AA5" s="18" t="s">
        <v>8</v>
      </c>
      <c r="AB5" s="1"/>
      <c r="AC5" s="1"/>
    </row>
    <row r="6" spans="2:29" ht="15.75" customHeight="1" x14ac:dyDescent="0.15">
      <c r="B6" t="str">
        <f>D6&amp;$E$5</f>
        <v>janvier2021</v>
      </c>
      <c r="C6" s="10" t="str">
        <f>D6&amp;$F$5</f>
        <v>janvier2022</v>
      </c>
      <c r="D6" s="19" t="s">
        <v>9</v>
      </c>
      <c r="E6" s="20">
        <f>COUNTIFS(Import!$D$1:$D$1482,B6)</f>
        <v>31</v>
      </c>
      <c r="F6" s="20">
        <f>COUNTIFS(Import!$D$1:$D$1482,C6)</f>
        <v>32</v>
      </c>
      <c r="G6" s="21">
        <f>IF(F6=0,,F6/E6-1)</f>
        <v>3.2258064516129004E-2</v>
      </c>
      <c r="H6" s="10"/>
      <c r="I6" s="19" t="s">
        <v>9</v>
      </c>
      <c r="J6" s="22">
        <f>SUMIFS(Import!F:F,Import!D:D,'Indicateurs transport'!B6)</f>
        <v>18053</v>
      </c>
      <c r="K6" s="22">
        <f>SUMIFS(Import!F:F,Import!D:D,'Indicateurs transport'!C6)</f>
        <v>10517</v>
      </c>
      <c r="L6" s="23">
        <f t="shared" ref="L6:L17" si="0">IF(K6=0,,K6/J6-1)</f>
        <v>-0.41743754500637009</v>
      </c>
      <c r="M6" s="12"/>
      <c r="N6" s="19" t="s">
        <v>9</v>
      </c>
      <c r="O6" s="22">
        <f>IFERROR(J6/E6, 0)</f>
        <v>582.35483870967744</v>
      </c>
      <c r="P6" s="22">
        <f>IFERROR(K6/F6, 0)</f>
        <v>328.65625</v>
      </c>
      <c r="Q6" s="24">
        <f t="shared" ref="Q6:Q17" si="1">IF(P6=0,,P6/O6-1)</f>
        <v>-0.43564262172492108</v>
      </c>
      <c r="R6" s="10"/>
      <c r="S6" s="19" t="s">
        <v>9</v>
      </c>
      <c r="T6" s="22">
        <f>SUMIFS(Import!$S$2:$S$1482,Import!$D$2:$D$1482,'Indicateurs transport'!B6)</f>
        <v>12548.985000000001</v>
      </c>
      <c r="U6" s="22">
        <f>SUMIFS(Import!$S$2:$S$1482,Import!$D$2:$D$1482,'Indicateurs transport'!C6)</f>
        <v>11522.189999999997</v>
      </c>
      <c r="V6" s="25">
        <f t="shared" ref="V6:V17" si="2">IF(U6=0,,U6/T6-1)</f>
        <v>-8.1822952214860689E-2</v>
      </c>
      <c r="W6" s="12"/>
      <c r="X6" s="19" t="s">
        <v>9</v>
      </c>
      <c r="Y6" s="22">
        <f t="shared" ref="Y6:Z6" si="3">IF(T6=0,,T6/E6)</f>
        <v>404.80596774193549</v>
      </c>
      <c r="Z6" s="22">
        <f t="shared" si="3"/>
        <v>360.0684374999999</v>
      </c>
      <c r="AA6" s="26">
        <f t="shared" ref="AA6:AA17" si="4">IF(Z6=0,,Z6/Y6-1)</f>
        <v>-0.1105159849581463</v>
      </c>
      <c r="AB6" s="1"/>
      <c r="AC6" s="1"/>
    </row>
    <row r="7" spans="2:29" ht="15.75" customHeight="1" x14ac:dyDescent="0.15">
      <c r="B7" t="str">
        <f t="shared" ref="B7:B17" si="5">D7&amp;$E$5</f>
        <v>février2021</v>
      </c>
      <c r="C7" s="10" t="str">
        <f t="shared" ref="C7:C17" si="6">D7&amp;$F$5</f>
        <v>février2022</v>
      </c>
      <c r="D7" s="19" t="s">
        <v>10</v>
      </c>
      <c r="E7" s="20">
        <f>COUNTIFS(Import!$D$1:$D$1482,B7)</f>
        <v>42</v>
      </c>
      <c r="F7" s="20">
        <f>COUNTIFS(Import!$D$1:$D$1482,C7)</f>
        <v>69</v>
      </c>
      <c r="G7" s="21">
        <f t="shared" ref="G7:G17" si="7">IF(F7=0,,F7/E7-1)</f>
        <v>0.64285714285714279</v>
      </c>
      <c r="H7" s="10"/>
      <c r="I7" s="19" t="s">
        <v>10</v>
      </c>
      <c r="J7" s="22">
        <f>SUMIFS(Import!F:F,Import!D:D,'Indicateurs transport'!B7)</f>
        <v>12198</v>
      </c>
      <c r="K7" s="22">
        <f>SUMIFS(Import!F:F,Import!D:D,'Indicateurs transport'!C7)</f>
        <v>17805</v>
      </c>
      <c r="L7" s="23">
        <f t="shared" si="0"/>
        <v>0.45966551893753071</v>
      </c>
      <c r="M7" s="12"/>
      <c r="N7" s="19" t="s">
        <v>10</v>
      </c>
      <c r="O7" s="22">
        <f t="shared" ref="O7:O17" si="8">IFERROR(J7/E7, 0)</f>
        <v>290.42857142857144</v>
      </c>
      <c r="P7" s="22">
        <f t="shared" ref="P7:P17" si="9">IFERROR(K7/F7, 0)</f>
        <v>258.04347826086956</v>
      </c>
      <c r="Q7" s="24">
        <f t="shared" si="1"/>
        <v>-0.11150794499454653</v>
      </c>
      <c r="R7" s="10"/>
      <c r="S7" s="19" t="s">
        <v>10</v>
      </c>
      <c r="T7" s="22">
        <f>SUMIFS(Import!$S$2:$S$1482,Import!$D$2:$D$1482,'Indicateurs transport'!B7)</f>
        <v>16191.553000000002</v>
      </c>
      <c r="U7" s="22">
        <f>SUMIFS(Import!$S$2:$S$1482,Import!$D$2:$D$1482,'Indicateurs transport'!C7)</f>
        <v>25546.339</v>
      </c>
      <c r="V7" s="25">
        <f t="shared" si="2"/>
        <v>0.5777571799320298</v>
      </c>
      <c r="W7" s="12"/>
      <c r="X7" s="19" t="s">
        <v>10</v>
      </c>
      <c r="Y7" s="22">
        <f t="shared" ref="Y7:Z7" si="10">IF(T7=0,,T7/E7)</f>
        <v>385.51316666666673</v>
      </c>
      <c r="Z7" s="22">
        <f t="shared" si="10"/>
        <v>370.23679710144927</v>
      </c>
      <c r="AA7" s="26">
        <f t="shared" si="4"/>
        <v>-3.9626064389199356E-2</v>
      </c>
      <c r="AB7" s="1"/>
      <c r="AC7" s="1"/>
    </row>
    <row r="8" spans="2:29" ht="15.75" customHeight="1" x14ac:dyDescent="0.15">
      <c r="B8" t="str">
        <f t="shared" si="5"/>
        <v>mars2021</v>
      </c>
      <c r="C8" s="10" t="str">
        <f t="shared" si="6"/>
        <v>mars2022</v>
      </c>
      <c r="D8" s="19" t="s">
        <v>11</v>
      </c>
      <c r="E8" s="20">
        <f>COUNTIFS(Import!$D$1:$D$1482,B8)</f>
        <v>64</v>
      </c>
      <c r="F8" s="20">
        <f>COUNTIFS(Import!$D$1:$D$1482,C8)</f>
        <v>141</v>
      </c>
      <c r="G8" s="21">
        <f t="shared" si="7"/>
        <v>1.203125</v>
      </c>
      <c r="H8" s="10"/>
      <c r="I8" s="19" t="s">
        <v>11</v>
      </c>
      <c r="J8" s="22">
        <f>SUMIFS(Import!F:F,Import!D:D,'Indicateurs transport'!B8)</f>
        <v>17800</v>
      </c>
      <c r="K8" s="22">
        <f>SUMIFS(Import!F:F,Import!D:D,'Indicateurs transport'!C8)</f>
        <v>39619</v>
      </c>
      <c r="L8" s="23">
        <f t="shared" si="0"/>
        <v>1.2257865168539328</v>
      </c>
      <c r="M8" s="12"/>
      <c r="N8" s="19" t="s">
        <v>11</v>
      </c>
      <c r="O8" s="22">
        <f t="shared" si="8"/>
        <v>278.125</v>
      </c>
      <c r="P8" s="22">
        <f t="shared" si="9"/>
        <v>280.98581560283685</v>
      </c>
      <c r="Q8" s="24">
        <f t="shared" si="1"/>
        <v>1.0286078571997592E-2</v>
      </c>
      <c r="R8" s="10"/>
      <c r="S8" s="19" t="s">
        <v>11</v>
      </c>
      <c r="T8" s="22">
        <f>SUMIFS(Import!$S$2:$S$1482,Import!$D$2:$D$1482,'Indicateurs transport'!B8)</f>
        <v>20002.071</v>
      </c>
      <c r="U8" s="22">
        <f>SUMIFS(Import!$S$2:$S$1482,Import!$D$2:$D$1482,'Indicateurs transport'!C8)</f>
        <v>51154.930000000008</v>
      </c>
      <c r="V8" s="25">
        <f t="shared" si="2"/>
        <v>1.5574816727727847</v>
      </c>
      <c r="W8" s="12"/>
      <c r="X8" s="19" t="s">
        <v>11</v>
      </c>
      <c r="Y8" s="22">
        <f t="shared" ref="Y8:Z8" si="11">IF(T8=0,,T8/E8)</f>
        <v>312.532359375</v>
      </c>
      <c r="Z8" s="22">
        <f t="shared" si="11"/>
        <v>362.80092198581565</v>
      </c>
      <c r="AA8" s="26">
        <f t="shared" si="4"/>
        <v>0.16084274508835628</v>
      </c>
      <c r="AB8" s="1"/>
      <c r="AC8" s="1"/>
    </row>
    <row r="9" spans="2:29" ht="15.75" customHeight="1" x14ac:dyDescent="0.15">
      <c r="B9" t="str">
        <f t="shared" si="5"/>
        <v>avril2021</v>
      </c>
      <c r="C9" s="10" t="str">
        <f t="shared" si="6"/>
        <v>avril2022</v>
      </c>
      <c r="D9" s="19" t="s">
        <v>12</v>
      </c>
      <c r="E9" s="20">
        <f>COUNTIFS(Import!$D$1:$D$1482,B9)</f>
        <v>52</v>
      </c>
      <c r="F9" s="20">
        <f>COUNTIFS(Import!$D$1:$D$1482,C9)</f>
        <v>128</v>
      </c>
      <c r="G9" s="21">
        <f t="shared" si="7"/>
        <v>1.4615384615384617</v>
      </c>
      <c r="H9" s="10"/>
      <c r="I9" s="19" t="s">
        <v>12</v>
      </c>
      <c r="J9" s="22">
        <f>SUMIFS(Import!F:F,Import!D:D,'Indicateurs transport'!B9)</f>
        <v>14855</v>
      </c>
      <c r="K9" s="22">
        <f>SUMIFS(Import!F:F,Import!D:D,'Indicateurs transport'!C9)</f>
        <v>45889</v>
      </c>
      <c r="L9" s="23">
        <f t="shared" si="0"/>
        <v>2.0891282396499493</v>
      </c>
      <c r="M9" s="12"/>
      <c r="N9" s="19" t="s">
        <v>12</v>
      </c>
      <c r="O9" s="22">
        <f t="shared" si="8"/>
        <v>285.67307692307691</v>
      </c>
      <c r="P9" s="22">
        <f t="shared" si="9"/>
        <v>358.5078125</v>
      </c>
      <c r="Q9" s="24">
        <f t="shared" si="1"/>
        <v>0.2549583473577921</v>
      </c>
      <c r="R9" s="10"/>
      <c r="S9" s="19" t="s">
        <v>12</v>
      </c>
      <c r="T9" s="22">
        <f>SUMIFS(Import!$S$2:$S$1482,Import!$D$2:$D$1482,'Indicateurs transport'!B9)</f>
        <v>17638.505000000005</v>
      </c>
      <c r="U9" s="22">
        <f>SUMIFS(Import!$S$2:$S$1482,Import!$D$2:$D$1482,'Indicateurs transport'!C9)</f>
        <v>43743.547999999981</v>
      </c>
      <c r="V9" s="25">
        <f t="shared" si="2"/>
        <v>1.4800031521945862</v>
      </c>
      <c r="W9" s="12"/>
      <c r="X9" s="19" t="s">
        <v>12</v>
      </c>
      <c r="Y9" s="22">
        <f t="shared" ref="Y9:Z9" si="12">IF(T9=0,,T9/E9)</f>
        <v>339.20201923076934</v>
      </c>
      <c r="Z9" s="22">
        <f t="shared" si="12"/>
        <v>341.74646874999985</v>
      </c>
      <c r="AA9" s="26">
        <f t="shared" si="4"/>
        <v>7.5012805790506398E-3</v>
      </c>
      <c r="AB9" s="1"/>
      <c r="AC9" s="1"/>
    </row>
    <row r="10" spans="2:29" ht="15.75" customHeight="1" x14ac:dyDescent="0.15">
      <c r="B10" t="str">
        <f t="shared" si="5"/>
        <v>mai2021</v>
      </c>
      <c r="C10" s="10" t="str">
        <f t="shared" si="6"/>
        <v>mai2022</v>
      </c>
      <c r="D10" s="19" t="s">
        <v>13</v>
      </c>
      <c r="E10" s="20">
        <f>COUNTIFS(Import!$D$1:$D$1482,B10)</f>
        <v>54</v>
      </c>
      <c r="F10" s="20">
        <f>COUNTIFS(Import!$D$1:$D$1482,C10)</f>
        <v>145</v>
      </c>
      <c r="G10" s="21">
        <f t="shared" si="7"/>
        <v>1.6851851851851851</v>
      </c>
      <c r="H10" s="10"/>
      <c r="I10" s="19" t="s">
        <v>13</v>
      </c>
      <c r="J10" s="22">
        <f>SUMIFS(Import!F:F,Import!D:D,'Indicateurs transport'!B10)</f>
        <v>15055</v>
      </c>
      <c r="K10" s="22">
        <f>SUMIFS(Import!F:F,Import!D:D,'Indicateurs transport'!C10)</f>
        <v>47442</v>
      </c>
      <c r="L10" s="23">
        <f t="shared" si="0"/>
        <v>2.1512454334108271</v>
      </c>
      <c r="M10" s="12"/>
      <c r="N10" s="19" t="s">
        <v>13</v>
      </c>
      <c r="O10" s="22">
        <f t="shared" si="8"/>
        <v>278.7962962962963</v>
      </c>
      <c r="P10" s="22">
        <f t="shared" si="9"/>
        <v>327.18620689655171</v>
      </c>
      <c r="Q10" s="24">
        <f t="shared" si="1"/>
        <v>0.17356726485644591</v>
      </c>
      <c r="R10" s="10"/>
      <c r="S10" s="19" t="s">
        <v>13</v>
      </c>
      <c r="T10" s="22">
        <f>SUMIFS(Import!$S$2:$S$1482,Import!$D$2:$D$1482,'Indicateurs transport'!B10)</f>
        <v>16365.548999999999</v>
      </c>
      <c r="U10" s="22">
        <f>SUMIFS(Import!$S$2:$S$1482,Import!$D$2:$D$1482,'Indicateurs transport'!C10)</f>
        <v>50423.278000000013</v>
      </c>
      <c r="V10" s="25">
        <f t="shared" si="2"/>
        <v>2.0810624195986347</v>
      </c>
      <c r="W10" s="12"/>
      <c r="X10" s="19" t="s">
        <v>13</v>
      </c>
      <c r="Y10" s="22">
        <f t="shared" ref="Y10:Z10" si="13">IF(T10=0,,T10/E10)</f>
        <v>303.06572222222218</v>
      </c>
      <c r="Z10" s="22">
        <f t="shared" si="13"/>
        <v>347.74674482758627</v>
      </c>
      <c r="AA10" s="26">
        <f t="shared" si="4"/>
        <v>0.14743014247121566</v>
      </c>
      <c r="AB10" s="1"/>
      <c r="AC10" s="1"/>
    </row>
    <row r="11" spans="2:29" ht="15.75" customHeight="1" x14ac:dyDescent="0.15">
      <c r="B11" t="str">
        <f t="shared" si="5"/>
        <v>juin2021</v>
      </c>
      <c r="C11" s="10" t="str">
        <f t="shared" si="6"/>
        <v>juin2022</v>
      </c>
      <c r="D11" s="19" t="s">
        <v>14</v>
      </c>
      <c r="E11" s="20">
        <f>COUNTIFS(Import!$D$1:$D$1482,B11)</f>
        <v>59</v>
      </c>
      <c r="F11" s="20">
        <f>COUNTIFS(Import!$D$1:$D$1482,C11)</f>
        <v>167</v>
      </c>
      <c r="G11" s="21">
        <f t="shared" si="7"/>
        <v>1.8305084745762712</v>
      </c>
      <c r="H11" s="10"/>
      <c r="I11" s="19" t="s">
        <v>14</v>
      </c>
      <c r="J11" s="22">
        <f>SUMIFS(Import!F:F,Import!D:D,'Indicateurs transport'!B11)</f>
        <v>19180</v>
      </c>
      <c r="K11" s="22">
        <f>SUMIFS(Import!F:F,Import!D:D,'Indicateurs transport'!C11)</f>
        <v>54949</v>
      </c>
      <c r="L11" s="23">
        <f t="shared" si="0"/>
        <v>1.8649113660062566</v>
      </c>
      <c r="M11" s="12"/>
      <c r="N11" s="19" t="s">
        <v>14</v>
      </c>
      <c r="O11" s="22">
        <f t="shared" si="8"/>
        <v>325.08474576271186</v>
      </c>
      <c r="P11" s="22">
        <f t="shared" si="9"/>
        <v>329.03592814371257</v>
      </c>
      <c r="Q11" s="24">
        <f t="shared" si="1"/>
        <v>1.2154314936342114E-2</v>
      </c>
      <c r="R11" s="10"/>
      <c r="S11" s="19" t="s">
        <v>14</v>
      </c>
      <c r="T11" s="22">
        <f>SUMIFS(Import!$S$2:$S$1482,Import!$D$2:$D$1482,'Indicateurs transport'!B11)</f>
        <v>17451.165999999994</v>
      </c>
      <c r="U11" s="22">
        <f>SUMIFS(Import!$S$2:$S$1482,Import!$D$2:$D$1482,'Indicateurs transport'!C11)</f>
        <v>61226.337999999996</v>
      </c>
      <c r="V11" s="25">
        <f t="shared" si="2"/>
        <v>2.5084382327232473</v>
      </c>
      <c r="W11" s="12"/>
      <c r="X11" s="19" t="s">
        <v>14</v>
      </c>
      <c r="Y11" s="22">
        <f t="shared" ref="Y11:Z11" si="14">IF(T11=0,,T11/E11)</f>
        <v>295.78247457627106</v>
      </c>
      <c r="Z11" s="22">
        <f t="shared" si="14"/>
        <v>366.62477844311377</v>
      </c>
      <c r="AA11" s="26">
        <f t="shared" si="4"/>
        <v>0.23950811814773409</v>
      </c>
      <c r="AB11" s="1"/>
      <c r="AC11" s="1"/>
    </row>
    <row r="12" spans="2:29" ht="15.75" customHeight="1" x14ac:dyDescent="0.15">
      <c r="B12" t="str">
        <f t="shared" si="5"/>
        <v>juillet2021</v>
      </c>
      <c r="C12" s="10" t="str">
        <f t="shared" si="6"/>
        <v>juillet2022</v>
      </c>
      <c r="D12" s="19" t="s">
        <v>15</v>
      </c>
      <c r="E12" s="20">
        <f>COUNTIFS(Import!$D$1:$D$1482,B12)</f>
        <v>50</v>
      </c>
      <c r="F12" s="20">
        <f>COUNTIFS(Import!$D$1:$D$1482,C12)</f>
        <v>118</v>
      </c>
      <c r="G12" s="21">
        <f t="shared" si="7"/>
        <v>1.3599999999999999</v>
      </c>
      <c r="H12" s="10"/>
      <c r="I12" s="19" t="s">
        <v>15</v>
      </c>
      <c r="J12" s="22">
        <f>SUMIFS(Import!F:F,Import!D:D,'Indicateurs transport'!B12)</f>
        <v>14840</v>
      </c>
      <c r="K12" s="22">
        <f>SUMIFS(Import!F:F,Import!D:D,'Indicateurs transport'!C12)</f>
        <v>34775</v>
      </c>
      <c r="L12" s="23">
        <f t="shared" si="0"/>
        <v>1.3433288409703503</v>
      </c>
      <c r="M12" s="12"/>
      <c r="N12" s="19" t="s">
        <v>15</v>
      </c>
      <c r="O12" s="22">
        <f t="shared" si="8"/>
        <v>296.8</v>
      </c>
      <c r="P12" s="22">
        <f t="shared" si="9"/>
        <v>294.70338983050846</v>
      </c>
      <c r="Q12" s="24">
        <f t="shared" si="1"/>
        <v>-7.064050436292324E-3</v>
      </c>
      <c r="R12" s="10"/>
      <c r="S12" s="19" t="s">
        <v>15</v>
      </c>
      <c r="T12" s="22">
        <f>SUMIFS(Import!$S$2:$S$1482,Import!$D$2:$D$1482,'Indicateurs transport'!B12)</f>
        <v>17036.29099999999</v>
      </c>
      <c r="U12" s="22">
        <f>SUMIFS(Import!$S$2:$S$1482,Import!$D$2:$D$1482,'Indicateurs transport'!C12)</f>
        <v>45173.560000000012</v>
      </c>
      <c r="V12" s="25">
        <f t="shared" si="2"/>
        <v>1.6516076768118153</v>
      </c>
      <c r="W12" s="12"/>
      <c r="X12" s="19" t="s">
        <v>15</v>
      </c>
      <c r="Y12" s="22">
        <f t="shared" ref="Y12:Z12" si="15">IF(T12=0,,T12/E12)</f>
        <v>340.72581999999983</v>
      </c>
      <c r="Z12" s="22">
        <f t="shared" si="15"/>
        <v>382.82677966101704</v>
      </c>
      <c r="AA12" s="26">
        <f t="shared" si="4"/>
        <v>0.12356257492026068</v>
      </c>
      <c r="AB12" s="1"/>
      <c r="AC12" s="1"/>
    </row>
    <row r="13" spans="2:29" ht="15.75" customHeight="1" x14ac:dyDescent="0.15">
      <c r="B13" t="str">
        <f t="shared" si="5"/>
        <v>août2021</v>
      </c>
      <c r="C13" s="10" t="str">
        <f t="shared" si="6"/>
        <v>août2022</v>
      </c>
      <c r="D13" s="19" t="s">
        <v>1473</v>
      </c>
      <c r="E13" s="20">
        <f>COUNTIFS(Import!$D$1:$D$1482,B13)</f>
        <v>55</v>
      </c>
      <c r="F13" s="20">
        <f>COUNTIFS(Import!$D$1:$D$1482,C13)</f>
        <v>120</v>
      </c>
      <c r="G13" s="21">
        <f t="shared" si="7"/>
        <v>1.1818181818181817</v>
      </c>
      <c r="H13" s="10"/>
      <c r="I13" s="19" t="s">
        <v>16</v>
      </c>
      <c r="J13" s="22">
        <f>SUMIFS(Import!F:F,Import!D:D,'Indicateurs transport'!B13)</f>
        <v>20230</v>
      </c>
      <c r="K13" s="22">
        <f>SUMIFS(Import!F:F,Import!D:D,'Indicateurs transport'!C13)</f>
        <v>43452</v>
      </c>
      <c r="L13" s="23">
        <f t="shared" si="0"/>
        <v>1.1478991596638655</v>
      </c>
      <c r="M13" s="12"/>
      <c r="N13" s="19" t="s">
        <v>16</v>
      </c>
      <c r="O13" s="22">
        <f t="shared" si="8"/>
        <v>367.81818181818181</v>
      </c>
      <c r="P13" s="22">
        <f t="shared" si="9"/>
        <v>362.1</v>
      </c>
      <c r="Q13" s="24">
        <f t="shared" si="1"/>
        <v>-1.5546218487394903E-2</v>
      </c>
      <c r="R13" s="10"/>
      <c r="S13" s="19" t="s">
        <v>16</v>
      </c>
      <c r="T13" s="22">
        <f>SUMIFS(Import!$S$2:$S$1482,Import!$D$2:$D$1482,'Indicateurs transport'!B13)</f>
        <v>18325.828000000001</v>
      </c>
      <c r="U13" s="22">
        <f>SUMIFS(Import!$S$2:$S$1482,Import!$D$2:$D$1482,'Indicateurs transport'!C13)</f>
        <v>45922.89499999999</v>
      </c>
      <c r="V13" s="25">
        <f t="shared" si="2"/>
        <v>1.5059110562425877</v>
      </c>
      <c r="W13" s="12"/>
      <c r="X13" s="19" t="s">
        <v>16</v>
      </c>
      <c r="Y13" s="22">
        <f t="shared" ref="Y13:Z13" si="16">IF(T13=0,,T13/E13)</f>
        <v>333.19687272727276</v>
      </c>
      <c r="Z13" s="22">
        <f t="shared" si="16"/>
        <v>382.6907916666666</v>
      </c>
      <c r="AA13" s="26">
        <f t="shared" si="4"/>
        <v>0.14854256744451932</v>
      </c>
      <c r="AB13" s="1"/>
      <c r="AC13" s="1"/>
    </row>
    <row r="14" spans="2:29" ht="15.75" customHeight="1" x14ac:dyDescent="0.15">
      <c r="B14" t="str">
        <f t="shared" si="5"/>
        <v>septembre2021</v>
      </c>
      <c r="C14" s="10" t="str">
        <f t="shared" si="6"/>
        <v>septembre2022</v>
      </c>
      <c r="D14" s="19" t="s">
        <v>17</v>
      </c>
      <c r="E14" s="20">
        <f>COUNTIFS(Import!$D$1:$D$1482,B14)</f>
        <v>48</v>
      </c>
      <c r="F14" s="20">
        <f>COUNTIFS(Import!$D$1:$D$1482,C14)</f>
        <v>106</v>
      </c>
      <c r="G14" s="21">
        <f t="shared" si="7"/>
        <v>1.2083333333333335</v>
      </c>
      <c r="H14" s="10"/>
      <c r="I14" s="19" t="s">
        <v>17</v>
      </c>
      <c r="J14" s="22">
        <f>SUMIFS(Import!F:F,Import!D:D,'Indicateurs transport'!B14)</f>
        <v>18325</v>
      </c>
      <c r="K14" s="22">
        <f>SUMIFS(Import!F:F,Import!D:D,'Indicateurs transport'!C14)</f>
        <v>39204</v>
      </c>
      <c r="L14" s="23">
        <f t="shared" si="0"/>
        <v>1.1393724420190994</v>
      </c>
      <c r="M14" s="12"/>
      <c r="N14" s="19" t="s">
        <v>17</v>
      </c>
      <c r="O14" s="22">
        <f t="shared" si="8"/>
        <v>381.77083333333331</v>
      </c>
      <c r="P14" s="22">
        <f t="shared" si="9"/>
        <v>369.84905660377359</v>
      </c>
      <c r="Q14" s="24">
        <f t="shared" si="1"/>
        <v>-3.1227573425313349E-2</v>
      </c>
      <c r="R14" s="10"/>
      <c r="S14" s="19" t="s">
        <v>17</v>
      </c>
      <c r="T14" s="22">
        <f>SUMIFS(Import!$S$2:$S$1482,Import!$D$2:$D$1482,'Indicateurs transport'!B14)</f>
        <v>14579.261999999995</v>
      </c>
      <c r="U14" s="22">
        <f>SUMIFS(Import!$S$2:$S$1482,Import!$D$2:$D$1482,'Indicateurs transport'!C14)</f>
        <v>39258.041999999987</v>
      </c>
      <c r="V14" s="25">
        <f t="shared" si="2"/>
        <v>1.6927317720197359</v>
      </c>
      <c r="W14" s="12"/>
      <c r="X14" s="19" t="s">
        <v>17</v>
      </c>
      <c r="Y14" s="22">
        <f t="shared" ref="Y14:Z14" si="17">IF(T14=0,,T14/E14)</f>
        <v>303.73462499999988</v>
      </c>
      <c r="Z14" s="22">
        <f t="shared" si="17"/>
        <v>370.35888679245272</v>
      </c>
      <c r="AA14" s="26">
        <f t="shared" si="4"/>
        <v>0.21935023638629558</v>
      </c>
      <c r="AB14" s="1"/>
      <c r="AC14" s="1"/>
    </row>
    <row r="15" spans="2:29" ht="15.75" customHeight="1" x14ac:dyDescent="0.15">
      <c r="B15" t="str">
        <f t="shared" si="5"/>
        <v>octobre2021</v>
      </c>
      <c r="C15" s="10" t="str">
        <f t="shared" si="6"/>
        <v>octobre2022</v>
      </c>
      <c r="D15" s="19" t="s">
        <v>18</v>
      </c>
      <c r="E15" s="20">
        <f>COUNTIFS(Import!$D$1:$D$1482,B15)</f>
        <v>0</v>
      </c>
      <c r="F15" s="20">
        <f>COUNTIFS(Import!$D$1:$D$1482,C15)</f>
        <v>0</v>
      </c>
      <c r="G15" s="21">
        <f t="shared" si="7"/>
        <v>0</v>
      </c>
      <c r="H15" s="10"/>
      <c r="I15" s="19" t="s">
        <v>18</v>
      </c>
      <c r="J15" s="22">
        <f>SUMIFS(Import!F:F,Import!D:D,'Indicateurs transport'!B15)</f>
        <v>0</v>
      </c>
      <c r="K15" s="22">
        <f>SUMIFS(Import!F:F,Import!D:D,'Indicateurs transport'!C15)</f>
        <v>0</v>
      </c>
      <c r="L15" s="23">
        <f t="shared" si="0"/>
        <v>0</v>
      </c>
      <c r="M15" s="12"/>
      <c r="N15" s="19" t="s">
        <v>18</v>
      </c>
      <c r="O15" s="22">
        <f t="shared" si="8"/>
        <v>0</v>
      </c>
      <c r="P15" s="22">
        <f t="shared" si="9"/>
        <v>0</v>
      </c>
      <c r="Q15" s="24">
        <f t="shared" si="1"/>
        <v>0</v>
      </c>
      <c r="R15" s="10"/>
      <c r="S15" s="19" t="s">
        <v>18</v>
      </c>
      <c r="T15" s="22">
        <f>SUMIFS(Import!$S$2:$S$1482,Import!$D$2:$D$1482,'Indicateurs transport'!B15)</f>
        <v>0</v>
      </c>
      <c r="U15" s="22">
        <f>SUMIFS(Import!$S$2:$S$1482,Import!$D$2:$D$1482,'Indicateurs transport'!C15)</f>
        <v>0</v>
      </c>
      <c r="V15" s="25">
        <f t="shared" si="2"/>
        <v>0</v>
      </c>
      <c r="W15" s="12"/>
      <c r="X15" s="19" t="s">
        <v>18</v>
      </c>
      <c r="Y15" s="22">
        <f t="shared" ref="Y15:Z15" si="18">IF(T15=0,,T15/E15)</f>
        <v>0</v>
      </c>
      <c r="Z15" s="22">
        <f t="shared" si="18"/>
        <v>0</v>
      </c>
      <c r="AA15" s="26">
        <f t="shared" si="4"/>
        <v>0</v>
      </c>
      <c r="AB15" s="1"/>
      <c r="AC15" s="1"/>
    </row>
    <row r="16" spans="2:29" ht="15.75" customHeight="1" x14ac:dyDescent="0.15">
      <c r="B16" t="str">
        <f t="shared" si="5"/>
        <v>novembre2021</v>
      </c>
      <c r="C16" s="10" t="str">
        <f t="shared" si="6"/>
        <v>novembre2022</v>
      </c>
      <c r="D16" s="19" t="s">
        <v>19</v>
      </c>
      <c r="E16" s="20">
        <f>COUNTIFS(Import!$D$1:$D$1482,B16)</f>
        <v>0</v>
      </c>
      <c r="F16" s="20">
        <f>COUNTIFS(Import!$D$1:$D$1482,C16)</f>
        <v>0</v>
      </c>
      <c r="G16" s="21">
        <f t="shared" si="7"/>
        <v>0</v>
      </c>
      <c r="H16" s="10"/>
      <c r="I16" s="19" t="s">
        <v>19</v>
      </c>
      <c r="J16" s="22">
        <f>SUMIFS(Import!F:F,Import!D:D,'Indicateurs transport'!B16)</f>
        <v>0</v>
      </c>
      <c r="K16" s="22">
        <f>SUMIFS(Import!F:F,Import!D:D,'Indicateurs transport'!C16)</f>
        <v>0</v>
      </c>
      <c r="L16" s="23">
        <f t="shared" si="0"/>
        <v>0</v>
      </c>
      <c r="M16" s="12"/>
      <c r="N16" s="19" t="s">
        <v>19</v>
      </c>
      <c r="O16" s="22">
        <f t="shared" si="8"/>
        <v>0</v>
      </c>
      <c r="P16" s="22">
        <f t="shared" si="9"/>
        <v>0</v>
      </c>
      <c r="Q16" s="24">
        <f t="shared" si="1"/>
        <v>0</v>
      </c>
      <c r="R16" s="10"/>
      <c r="S16" s="19" t="s">
        <v>19</v>
      </c>
      <c r="T16" s="22">
        <f>SUMIFS(Import!$S$2:$S$1482,Import!$D$2:$D$1482,'Indicateurs transport'!B16)</f>
        <v>0</v>
      </c>
      <c r="U16" s="22">
        <f>SUMIFS(Import!$S$2:$S$1482,Import!$D$2:$D$1482,'Indicateurs transport'!C16)</f>
        <v>0</v>
      </c>
      <c r="V16" s="25">
        <f t="shared" si="2"/>
        <v>0</v>
      </c>
      <c r="W16" s="12"/>
      <c r="X16" s="19" t="s">
        <v>19</v>
      </c>
      <c r="Y16" s="22">
        <f t="shared" ref="Y16:Z16" si="19">IF(T16=0,,T16/E16)</f>
        <v>0</v>
      </c>
      <c r="Z16" s="22">
        <f t="shared" si="19"/>
        <v>0</v>
      </c>
      <c r="AA16" s="26">
        <f t="shared" si="4"/>
        <v>0</v>
      </c>
      <c r="AB16" s="1"/>
      <c r="AC16" s="1"/>
    </row>
    <row r="17" spans="2:29" ht="15.75" customHeight="1" x14ac:dyDescent="0.15">
      <c r="B17" t="str">
        <f t="shared" si="5"/>
        <v>décembre2021</v>
      </c>
      <c r="C17" s="10" t="str">
        <f t="shared" si="6"/>
        <v>décembre2022</v>
      </c>
      <c r="D17" s="27" t="s">
        <v>20</v>
      </c>
      <c r="E17" s="20">
        <f>COUNTIFS(Import!$D$1:$D$1482,B17)</f>
        <v>0</v>
      </c>
      <c r="F17" s="20">
        <f>COUNTIFS(Import!$D$1:$D$1482,C17)</f>
        <v>0</v>
      </c>
      <c r="G17" s="21">
        <f t="shared" si="7"/>
        <v>0</v>
      </c>
      <c r="H17" s="10"/>
      <c r="I17" s="27" t="s">
        <v>20</v>
      </c>
      <c r="J17" s="22">
        <f>SUMIFS(Import!F:F,Import!D:D,'Indicateurs transport'!B17)</f>
        <v>0</v>
      </c>
      <c r="K17" s="22">
        <f>SUMIFS(Import!F:F,Import!D:D,'Indicateurs transport'!C17)</f>
        <v>0</v>
      </c>
      <c r="L17" s="23">
        <f t="shared" si="0"/>
        <v>0</v>
      </c>
      <c r="M17" s="12"/>
      <c r="N17" s="27" t="s">
        <v>20</v>
      </c>
      <c r="O17" s="22">
        <f t="shared" si="8"/>
        <v>0</v>
      </c>
      <c r="P17" s="22">
        <f t="shared" si="9"/>
        <v>0</v>
      </c>
      <c r="Q17" s="24">
        <f t="shared" si="1"/>
        <v>0</v>
      </c>
      <c r="R17" s="10"/>
      <c r="S17" s="27" t="s">
        <v>20</v>
      </c>
      <c r="T17" s="22">
        <f>SUMIFS(Import!$S$2:$S$1482,Import!$D$2:$D$1482,'Indicateurs transport'!B17)</f>
        <v>0</v>
      </c>
      <c r="U17" s="22">
        <f>SUMIFS(Import!$S$2:$S$1482,Import!$D$2:$D$1482,'Indicateurs transport'!C17)</f>
        <v>0</v>
      </c>
      <c r="V17" s="25">
        <f t="shared" si="2"/>
        <v>0</v>
      </c>
      <c r="W17" s="12"/>
      <c r="X17" s="27" t="s">
        <v>20</v>
      </c>
      <c r="Y17" s="22">
        <f t="shared" ref="Y17:Z17" si="20">IF(T17=0,,T17/E17)</f>
        <v>0</v>
      </c>
      <c r="Z17" s="22">
        <f t="shared" si="20"/>
        <v>0</v>
      </c>
      <c r="AA17" s="26">
        <f t="shared" si="4"/>
        <v>0</v>
      </c>
      <c r="AB17" s="1"/>
      <c r="AC17" s="1"/>
    </row>
    <row r="18" spans="2:29" ht="15.75" customHeight="1" x14ac:dyDescent="0.15">
      <c r="C18" s="28"/>
      <c r="D18" s="29" t="s">
        <v>21</v>
      </c>
      <c r="E18" s="29">
        <f t="shared" ref="E18:F18" si="21">SUM(E6:E14)</f>
        <v>455</v>
      </c>
      <c r="F18" s="29">
        <f t="shared" si="21"/>
        <v>1026</v>
      </c>
      <c r="G18" s="30"/>
      <c r="H18" s="28"/>
      <c r="I18" s="31" t="s">
        <v>21</v>
      </c>
      <c r="J18" s="32">
        <f t="shared" ref="J18:K18" si="22">SUM(J6:J14)</f>
        <v>150536</v>
      </c>
      <c r="K18" s="32">
        <f t="shared" si="22"/>
        <v>333652</v>
      </c>
      <c r="L18" s="30"/>
      <c r="M18" s="12"/>
      <c r="N18" s="31" t="s">
        <v>1498</v>
      </c>
      <c r="O18" s="32">
        <f>AVERAGE(O6:O17)</f>
        <v>257.23762868932079</v>
      </c>
      <c r="P18" s="32">
        <f>AVERAGE(P6:P17)</f>
        <v>242.42232815318769</v>
      </c>
      <c r="Q18" s="33"/>
      <c r="R18" s="28"/>
      <c r="S18" s="34" t="s">
        <v>21</v>
      </c>
      <c r="T18" s="35">
        <f t="shared" ref="T18:U18" si="23">SUM(T6:T14)</f>
        <v>150139.21</v>
      </c>
      <c r="U18" s="35">
        <f t="shared" si="23"/>
        <v>373971.12</v>
      </c>
      <c r="V18" s="30"/>
      <c r="W18" s="12"/>
      <c r="X18" s="34" t="s">
        <v>21</v>
      </c>
      <c r="Y18" s="35">
        <f t="shared" ref="Y18:Z18" si="24">IF(T18=0,,T18/E18)</f>
        <v>329.97628571428572</v>
      </c>
      <c r="Z18" s="35">
        <f t="shared" si="24"/>
        <v>364.49426900584797</v>
      </c>
      <c r="AA18" s="33"/>
      <c r="AB18" s="1"/>
      <c r="AC18" s="1"/>
    </row>
    <row r="19" spans="2:29" ht="15.75" customHeight="1" thickBot="1" x14ac:dyDescent="0.2">
      <c r="C19" s="10"/>
      <c r="D19" s="37" t="s">
        <v>1497</v>
      </c>
      <c r="E19" s="37">
        <f>SUM(E6:E17)</f>
        <v>455</v>
      </c>
      <c r="F19" s="37">
        <f>SUM(F6:F17)</f>
        <v>1026</v>
      </c>
      <c r="G19" s="38"/>
      <c r="H19" s="39"/>
      <c r="I19" s="36" t="s">
        <v>22</v>
      </c>
      <c r="J19" s="40">
        <f t="shared" ref="J19:K19" si="25">SUM(J6:J17)</f>
        <v>150536</v>
      </c>
      <c r="K19" s="40">
        <f t="shared" si="25"/>
        <v>333652</v>
      </c>
      <c r="L19" s="39"/>
      <c r="M19" s="41"/>
      <c r="N19" s="111" t="s">
        <v>1497</v>
      </c>
      <c r="O19" s="112">
        <f>SUM(O6:O17)</f>
        <v>3086.8515442718494</v>
      </c>
      <c r="P19" s="112">
        <f>SUM(P6:P17)</f>
        <v>2909.0679378382524</v>
      </c>
      <c r="Q19" s="43"/>
      <c r="R19" s="39"/>
      <c r="S19" s="37" t="s">
        <v>1497</v>
      </c>
      <c r="T19" s="40">
        <f t="shared" ref="T19:U19" si="26">SUM(T6:T17)</f>
        <v>150139.21</v>
      </c>
      <c r="U19" s="40">
        <f t="shared" si="26"/>
        <v>373971.12</v>
      </c>
      <c r="V19" s="1"/>
      <c r="W19" s="41"/>
      <c r="X19" s="111" t="s">
        <v>1499</v>
      </c>
      <c r="Y19" s="113">
        <f>SUM(Y6:Y17)</f>
        <v>3018.5590275401373</v>
      </c>
      <c r="Z19" s="113">
        <f>SUM(Z6:Z17)</f>
        <v>3285.100606728101</v>
      </c>
      <c r="AA19" s="44"/>
      <c r="AB19" s="1"/>
      <c r="AC19" s="1"/>
    </row>
    <row r="20" spans="2:29" ht="15.75" customHeight="1" thickTop="1" x14ac:dyDescent="0.15">
      <c r="C20" s="10"/>
      <c r="D20" s="10"/>
      <c r="E20" s="10"/>
      <c r="F20" s="10"/>
      <c r="G20" s="10"/>
      <c r="H20" s="10"/>
      <c r="I20" s="10"/>
      <c r="J20" s="10"/>
      <c r="K20" s="10"/>
      <c r="L20" s="10"/>
      <c r="M20" s="10"/>
      <c r="N20" s="10"/>
      <c r="O20" s="10"/>
      <c r="P20" s="10"/>
      <c r="Q20" s="10"/>
      <c r="R20" s="10"/>
      <c r="S20" s="10"/>
      <c r="T20" s="1"/>
      <c r="U20" s="1"/>
      <c r="V20" s="1"/>
      <c r="W20" s="10"/>
      <c r="X20" s="10"/>
      <c r="Y20" s="1"/>
      <c r="Z20" s="1"/>
      <c r="AA20" s="1"/>
      <c r="AB20" s="1"/>
      <c r="AC20" s="1"/>
    </row>
    <row r="21" spans="2:29" ht="16" x14ac:dyDescent="0.2">
      <c r="C21" s="10"/>
      <c r="D21" s="10"/>
      <c r="E21" s="10"/>
      <c r="F21" s="10"/>
      <c r="G21" s="10"/>
      <c r="H21" s="10"/>
      <c r="I21" s="42"/>
      <c r="J21" s="42"/>
      <c r="K21" s="42"/>
      <c r="L21" s="42"/>
      <c r="M21" s="10"/>
      <c r="N21" s="10"/>
      <c r="O21" s="45"/>
      <c r="P21" s="10"/>
      <c r="Q21" s="10"/>
      <c r="R21" s="10"/>
      <c r="S21" s="10"/>
      <c r="T21" s="1"/>
      <c r="U21" s="1"/>
      <c r="V21" s="1"/>
      <c r="W21" s="10"/>
      <c r="X21" s="10"/>
      <c r="Y21" s="1"/>
      <c r="Z21" s="1"/>
      <c r="AA21" s="1"/>
      <c r="AB21" s="1"/>
      <c r="AC21" s="1"/>
    </row>
    <row r="22" spans="2:29" ht="16" x14ac:dyDescent="0.2">
      <c r="C22" s="10"/>
      <c r="D22" s="10"/>
      <c r="E22" s="11" t="s">
        <v>23</v>
      </c>
      <c r="F22" s="10"/>
      <c r="G22" s="10"/>
      <c r="H22" s="12"/>
      <c r="I22" s="10"/>
      <c r="J22" s="11" t="s">
        <v>24</v>
      </c>
      <c r="K22" s="10"/>
      <c r="L22" s="12"/>
      <c r="M22" s="10"/>
      <c r="N22" s="10"/>
      <c r="O22" s="11" t="s">
        <v>25</v>
      </c>
      <c r="P22" s="10"/>
      <c r="Q22" s="10"/>
      <c r="R22" s="10"/>
      <c r="S22" s="10"/>
      <c r="T22" s="1"/>
      <c r="U22" s="1"/>
      <c r="V22" s="1"/>
      <c r="W22" s="10"/>
      <c r="X22" s="10"/>
      <c r="Y22" s="1"/>
      <c r="Z22" s="1"/>
      <c r="AA22" s="1"/>
      <c r="AB22" s="1"/>
      <c r="AC22" s="1"/>
    </row>
    <row r="23" spans="2:29" ht="15.75" customHeight="1" x14ac:dyDescent="0.15">
      <c r="C23" s="10"/>
      <c r="D23" s="10"/>
      <c r="E23" s="13">
        <v>2021</v>
      </c>
      <c r="F23" s="13">
        <v>2022</v>
      </c>
      <c r="G23" s="46" t="s">
        <v>8</v>
      </c>
      <c r="H23" s="12"/>
      <c r="I23" s="10"/>
      <c r="J23" s="13">
        <v>2021</v>
      </c>
      <c r="K23" s="13">
        <v>2022</v>
      </c>
      <c r="L23" s="47" t="s">
        <v>8</v>
      </c>
      <c r="M23" s="10"/>
      <c r="N23" s="10"/>
      <c r="O23" s="13">
        <v>2021</v>
      </c>
      <c r="P23" s="13">
        <v>2022</v>
      </c>
      <c r="Q23" s="48" t="s">
        <v>8</v>
      </c>
      <c r="R23" s="49"/>
      <c r="S23" s="49"/>
      <c r="T23" s="49"/>
      <c r="U23" s="39"/>
      <c r="V23" s="10"/>
      <c r="W23" s="10"/>
      <c r="X23" s="10"/>
      <c r="Y23" s="1"/>
      <c r="Z23" s="1"/>
      <c r="AA23" s="1"/>
      <c r="AB23" s="1"/>
      <c r="AC23" s="1"/>
    </row>
    <row r="24" spans="2:29" ht="15.75" customHeight="1" x14ac:dyDescent="0.15">
      <c r="C24" s="10"/>
      <c r="D24" s="19" t="s">
        <v>9</v>
      </c>
      <c r="E24" s="22">
        <f>SUMIFS(Import!$P$2:$P$1482,Import!$D$2:$D$1482,B6)</f>
        <v>8824</v>
      </c>
      <c r="F24" s="22">
        <f>SUMIFS(Import!$P$2:$P$1482,Import!$D$2:$D$1482,C6)</f>
        <v>5047</v>
      </c>
      <c r="G24" s="50">
        <f t="shared" ref="G24:G35" si="27">IF(F24=0,,F24/E24-1)</f>
        <v>-0.42803717135086128</v>
      </c>
      <c r="H24" s="12"/>
      <c r="I24" s="19" t="s">
        <v>9</v>
      </c>
      <c r="J24" s="22">
        <f t="shared" ref="J24:K24" si="28">IF(E6=0,,E24/E6)</f>
        <v>284.64516129032256</v>
      </c>
      <c r="K24" s="22">
        <f t="shared" si="28"/>
        <v>157.71875</v>
      </c>
      <c r="L24" s="51">
        <f t="shared" ref="L24:L35" si="29">IF(K24=0,,K24/J24-1)</f>
        <v>-0.44591100974614684</v>
      </c>
      <c r="M24" s="10"/>
      <c r="N24" s="19" t="s">
        <v>9</v>
      </c>
      <c r="O24" s="22">
        <f>SUMIFS(Import!$O$2:$O$1482,Import!$D$2:$D$1482,B6)</f>
        <v>596.95981233908003</v>
      </c>
      <c r="P24" s="22">
        <f>SUMIFS(Import!$O$2:$O$1482,Import!$D$2:$D$1482,C6)</f>
        <v>354.97536086162</v>
      </c>
      <c r="Q24" s="52">
        <f t="shared" ref="Q24:Q35" si="30">IF(P24=0,,P24/O24-1)</f>
        <v>-0.40536137688948826</v>
      </c>
      <c r="R24" s="53"/>
      <c r="S24" s="53"/>
      <c r="T24" s="53"/>
      <c r="U24" s="54"/>
      <c r="V24" s="10"/>
      <c r="W24" s="10"/>
      <c r="X24" s="10"/>
      <c r="Y24" s="1"/>
      <c r="Z24" s="1"/>
      <c r="AA24" s="1"/>
      <c r="AB24" s="1"/>
      <c r="AC24" s="1"/>
    </row>
    <row r="25" spans="2:29" ht="15.75" customHeight="1" x14ac:dyDescent="0.15">
      <c r="C25" s="1"/>
      <c r="D25" s="19" t="s">
        <v>10</v>
      </c>
      <c r="E25" s="22">
        <f>SUMIFS(Import!$P$2:$P$1482,Import!$D$2:$D$1482,B7)</f>
        <v>6418.5</v>
      </c>
      <c r="F25" s="22">
        <f>SUMIFS(Import!$P$2:$P$1482,Import!$D$2:$D$1482,C7)</f>
        <v>11257</v>
      </c>
      <c r="G25" s="50">
        <f t="shared" si="27"/>
        <v>0.75383656617589789</v>
      </c>
      <c r="H25" s="55"/>
      <c r="I25" s="19" t="s">
        <v>10</v>
      </c>
      <c r="J25" s="22">
        <f t="shared" ref="J25:K25" si="31">IF(E7=0,,E25/E7)</f>
        <v>152.82142857142858</v>
      </c>
      <c r="K25" s="22">
        <f t="shared" si="31"/>
        <v>163.14492753623188</v>
      </c>
      <c r="L25" s="51">
        <f t="shared" si="29"/>
        <v>6.7552692454894148E-2</v>
      </c>
      <c r="M25" s="1"/>
      <c r="N25" s="19" t="s">
        <v>10</v>
      </c>
      <c r="O25" s="22">
        <f>SUMIFS(Import!$O$2:$O$1482,Import!$D$2:$D$1482,B7)</f>
        <v>528.44576559239999</v>
      </c>
      <c r="P25" s="22">
        <f>SUMIFS(Import!$O$2:$O$1482,Import!$D$2:$D$1482,C7)</f>
        <v>609.08467445730003</v>
      </c>
      <c r="Q25" s="52">
        <f t="shared" si="30"/>
        <v>0.15259637623267164</v>
      </c>
      <c r="R25" s="53"/>
      <c r="S25" s="53"/>
      <c r="T25" s="53"/>
      <c r="U25" s="54"/>
      <c r="V25" s="10"/>
      <c r="W25" s="10"/>
      <c r="X25" s="1"/>
      <c r="Y25" s="1"/>
      <c r="Z25" s="1"/>
      <c r="AA25" s="1"/>
      <c r="AB25" s="1"/>
      <c r="AC25" s="1"/>
    </row>
    <row r="26" spans="2:29" ht="15.75" customHeight="1" x14ac:dyDescent="0.15">
      <c r="C26" s="1"/>
      <c r="D26" s="19" t="s">
        <v>11</v>
      </c>
      <c r="E26" s="22">
        <f>SUMIFS(Import!$P$2:$P$1482,Import!$D$2:$D$1482,B8)</f>
        <v>9392.2099999999991</v>
      </c>
      <c r="F26" s="22">
        <f>SUMIFS(Import!$P$2:$P$1482,Import!$D$2:$D$1482,C8)</f>
        <v>25338.699999999997</v>
      </c>
      <c r="G26" s="50">
        <f t="shared" si="27"/>
        <v>1.6978421479076808</v>
      </c>
      <c r="H26" s="55"/>
      <c r="I26" s="19" t="s">
        <v>11</v>
      </c>
      <c r="J26" s="22">
        <f t="shared" ref="J26:K26" si="32">IF(E8=0,,E26/E8)</f>
        <v>146.75328124999999</v>
      </c>
      <c r="K26" s="22">
        <f t="shared" si="32"/>
        <v>179.70709219858153</v>
      </c>
      <c r="L26" s="51">
        <f t="shared" si="29"/>
        <v>0.22455246429852171</v>
      </c>
      <c r="M26" s="1"/>
      <c r="N26" s="19" t="s">
        <v>11</v>
      </c>
      <c r="O26" s="22">
        <f>SUMIFS(Import!$O$2:$O$1482,Import!$D$2:$D$1482,B8)</f>
        <v>598.28947803459982</v>
      </c>
      <c r="P26" s="22">
        <f>SUMIFS(Import!$O$2:$O$1482,Import!$D$2:$D$1482,C8)</f>
        <v>1281.4500789411404</v>
      </c>
      <c r="Q26" s="52">
        <f t="shared" si="30"/>
        <v>1.1418562852730507</v>
      </c>
      <c r="R26" s="53"/>
      <c r="S26" s="53"/>
      <c r="T26" s="53"/>
      <c r="U26" s="54"/>
      <c r="V26" s="10"/>
      <c r="W26" s="10"/>
      <c r="X26" s="1"/>
      <c r="Y26" s="1"/>
      <c r="Z26" s="1"/>
      <c r="AA26" s="1"/>
      <c r="AB26" s="1"/>
      <c r="AC26" s="1"/>
    </row>
    <row r="27" spans="2:29" ht="15.75" customHeight="1" x14ac:dyDescent="0.15">
      <c r="C27" s="1"/>
      <c r="D27" s="19" t="s">
        <v>12</v>
      </c>
      <c r="E27" s="22">
        <f>SUMIFS(Import!$P$2:$P$1482,Import!$D$2:$D$1482,B9)</f>
        <v>8219.5400000000009</v>
      </c>
      <c r="F27" s="22">
        <f>SUMIFS(Import!$P$2:$P$1482,Import!$D$2:$D$1482,C9)</f>
        <v>23985.599999999999</v>
      </c>
      <c r="G27" s="50">
        <f t="shared" si="27"/>
        <v>1.9181195054711084</v>
      </c>
      <c r="H27" s="55"/>
      <c r="I27" s="19" t="s">
        <v>12</v>
      </c>
      <c r="J27" s="22">
        <f t="shared" ref="J27:K27" si="33">IF(E9=0,,E27/E9)</f>
        <v>158.06807692307694</v>
      </c>
      <c r="K27" s="22">
        <f t="shared" si="33"/>
        <v>187.38749999999999</v>
      </c>
      <c r="L27" s="51">
        <f t="shared" si="29"/>
        <v>0.18548604909763777</v>
      </c>
      <c r="M27" s="1"/>
      <c r="N27" s="19" t="s">
        <v>12</v>
      </c>
      <c r="O27" s="22">
        <f>SUMIFS(Import!$O$2:$O$1482,Import!$D$2:$D$1482,B9)</f>
        <v>422.54825692780003</v>
      </c>
      <c r="P27" s="22">
        <f>SUMIFS(Import!$O$2:$O$1482,Import!$D$2:$D$1482,C9)</f>
        <v>1479.1594002646204</v>
      </c>
      <c r="Q27" s="52">
        <f t="shared" si="30"/>
        <v>2.5005691681680786</v>
      </c>
      <c r="R27" s="53"/>
      <c r="S27" s="53"/>
      <c r="T27" s="53"/>
      <c r="U27" s="54"/>
      <c r="V27" s="10"/>
      <c r="W27" s="10"/>
      <c r="X27" s="1"/>
      <c r="Y27" s="1"/>
      <c r="Z27" s="1"/>
      <c r="AA27" s="1"/>
      <c r="AB27" s="1"/>
      <c r="AC27" s="1"/>
    </row>
    <row r="28" spans="2:29" ht="15.75" customHeight="1" x14ac:dyDescent="0.15">
      <c r="C28" s="1"/>
      <c r="D28" s="19" t="s">
        <v>13</v>
      </c>
      <c r="E28" s="22">
        <f>SUMIFS(Import!$P$2:$P$1482,Import!$D$2:$D$1482,B10)</f>
        <v>8741.369999999999</v>
      </c>
      <c r="F28" s="22">
        <f>SUMIFS(Import!$P$2:$P$1482,Import!$D$2:$D$1482,C10)</f>
        <v>28300.6</v>
      </c>
      <c r="G28" s="50">
        <f t="shared" si="27"/>
        <v>2.2375474324962794</v>
      </c>
      <c r="H28" s="55"/>
      <c r="I28" s="19" t="s">
        <v>13</v>
      </c>
      <c r="J28" s="22">
        <f t="shared" ref="J28:K28" si="34">IF(E10=0,,E28/E10)</f>
        <v>161.8772222222222</v>
      </c>
      <c r="K28" s="22">
        <f t="shared" si="34"/>
        <v>195.17655172413791</v>
      </c>
      <c r="L28" s="51">
        <f t="shared" si="29"/>
        <v>0.2057073196882695</v>
      </c>
      <c r="M28" s="1"/>
      <c r="N28" s="19" t="s">
        <v>13</v>
      </c>
      <c r="O28" s="22">
        <f>SUMIFS(Import!$O$2:$O$1482,Import!$D$2:$D$1482,B10)</f>
        <v>410.64473045370005</v>
      </c>
      <c r="P28" s="22">
        <f>SUMIFS(Import!$O$2:$O$1482,Import!$D$2:$D$1482,C10)</f>
        <v>1432.60325868624</v>
      </c>
      <c r="Q28" s="52">
        <f t="shared" si="30"/>
        <v>2.4886683121525293</v>
      </c>
      <c r="R28" s="53"/>
      <c r="S28" s="53"/>
      <c r="T28" s="53"/>
      <c r="U28" s="54"/>
      <c r="V28" s="10"/>
      <c r="W28" s="10"/>
      <c r="X28" s="1"/>
      <c r="Y28" s="1"/>
      <c r="Z28" s="1"/>
      <c r="AA28" s="1"/>
      <c r="AB28" s="1"/>
      <c r="AC28" s="1"/>
    </row>
    <row r="29" spans="2:29" ht="15.75" customHeight="1" x14ac:dyDescent="0.15">
      <c r="C29" s="1"/>
      <c r="D29" s="19" t="s">
        <v>14</v>
      </c>
      <c r="E29" s="22">
        <f>SUMIFS(Import!$P$2:$P$1482,Import!$D$2:$D$1482,B11)</f>
        <v>10039.619999999999</v>
      </c>
      <c r="F29" s="22">
        <f>SUMIFS(Import!$P$2:$P$1482,Import!$D$2:$D$1482,C11)</f>
        <v>36818.6</v>
      </c>
      <c r="G29" s="50">
        <f t="shared" si="27"/>
        <v>2.6673300383879073</v>
      </c>
      <c r="H29" s="55"/>
      <c r="I29" s="19" t="s">
        <v>14</v>
      </c>
      <c r="J29" s="22">
        <f t="shared" ref="J29:K29" si="35">IF(E11=0,,E29/E11)</f>
        <v>170.16305084745761</v>
      </c>
      <c r="K29" s="22">
        <f t="shared" si="35"/>
        <v>220.47065868263473</v>
      </c>
      <c r="L29" s="51">
        <f t="shared" si="29"/>
        <v>0.29564354649632651</v>
      </c>
      <c r="M29" s="1"/>
      <c r="N29" s="19" t="s">
        <v>14</v>
      </c>
      <c r="O29" s="22">
        <f>SUMIFS(Import!$O$2:$O$1482,Import!$D$2:$D$1482,B11)</f>
        <v>533.07539303400017</v>
      </c>
      <c r="P29" s="22">
        <f>SUMIFS(Import!$O$2:$O$1482,Import!$D$2:$D$1482,C11)</f>
        <v>2077.7310020559398</v>
      </c>
      <c r="Q29" s="52">
        <f t="shared" si="30"/>
        <v>2.8976306713962687</v>
      </c>
      <c r="R29" s="53"/>
      <c r="S29" s="53"/>
      <c r="T29" s="53"/>
      <c r="U29" s="54"/>
      <c r="V29" s="10"/>
      <c r="W29" s="10"/>
      <c r="X29" s="1"/>
      <c r="Y29" s="1"/>
      <c r="Z29" s="1"/>
      <c r="AA29" s="1"/>
      <c r="AB29" s="1"/>
      <c r="AC29" s="1"/>
    </row>
    <row r="30" spans="2:29" ht="15.75" customHeight="1" x14ac:dyDescent="0.15">
      <c r="C30" s="1"/>
      <c r="D30" s="19" t="s">
        <v>15</v>
      </c>
      <c r="E30" s="22">
        <f>SUMIFS(Import!$P$2:$P$1482,Import!$D$2:$D$1482,B12)</f>
        <v>7900</v>
      </c>
      <c r="F30" s="22">
        <f>SUMIFS(Import!$P$2:$P$1482,Import!$D$2:$D$1482,C12)</f>
        <v>26666.899999999998</v>
      </c>
      <c r="G30" s="50">
        <f t="shared" si="27"/>
        <v>2.3755569620253163</v>
      </c>
      <c r="H30" s="55"/>
      <c r="I30" s="19" t="s">
        <v>15</v>
      </c>
      <c r="J30" s="22">
        <f t="shared" ref="J30:K30" si="36">IF(E12=0,,E30/E12)</f>
        <v>158</v>
      </c>
      <c r="K30" s="22">
        <f t="shared" si="36"/>
        <v>225.99067796610169</v>
      </c>
      <c r="L30" s="51">
        <f t="shared" si="29"/>
        <v>0.4303207466208967</v>
      </c>
      <c r="M30" s="1"/>
      <c r="N30" s="19" t="s">
        <v>15</v>
      </c>
      <c r="O30" s="22">
        <f>SUMIFS(Import!$O$2:$O$1482,Import!$D$2:$D$1482,B12)</f>
        <v>491.67252374019989</v>
      </c>
      <c r="P30" s="22">
        <f>SUMIFS(Import!$O$2:$O$1482,Import!$D$2:$D$1482,C12)</f>
        <v>1444.6724350049408</v>
      </c>
      <c r="Q30" s="52">
        <f t="shared" si="30"/>
        <v>1.9382818141131408</v>
      </c>
      <c r="R30" s="53"/>
      <c r="S30" s="53"/>
      <c r="T30" s="53"/>
      <c r="U30" s="54"/>
      <c r="V30" s="10"/>
      <c r="W30" s="10"/>
      <c r="X30" s="1"/>
      <c r="Y30" s="1"/>
      <c r="Z30" s="1"/>
      <c r="AA30" s="1"/>
      <c r="AB30" s="1"/>
      <c r="AC30" s="1"/>
    </row>
    <row r="31" spans="2:29" ht="15.75" customHeight="1" x14ac:dyDescent="0.15">
      <c r="C31" s="1"/>
      <c r="D31" s="19" t="s">
        <v>16</v>
      </c>
      <c r="E31" s="22">
        <f>SUMIFS(Import!$P$2:$P$1482,Import!$D$2:$D$1482,B13)</f>
        <v>8494.7200000000012</v>
      </c>
      <c r="F31" s="22">
        <f>SUMIFS(Import!$P$2:$P$1482,Import!$D$2:$D$1482,C13)</f>
        <v>25942</v>
      </c>
      <c r="G31" s="50">
        <f t="shared" si="27"/>
        <v>2.0538970089655688</v>
      </c>
      <c r="H31" s="55"/>
      <c r="I31" s="19" t="s">
        <v>16</v>
      </c>
      <c r="J31" s="22">
        <f t="shared" ref="J31:K31" si="37">IF(E13=0,,E31/E13)</f>
        <v>154.44945454545456</v>
      </c>
      <c r="K31" s="22">
        <f t="shared" si="37"/>
        <v>216.18333333333334</v>
      </c>
      <c r="L31" s="51">
        <f t="shared" si="29"/>
        <v>0.39970279577588586</v>
      </c>
      <c r="M31" s="1"/>
      <c r="N31" s="19" t="s">
        <v>16</v>
      </c>
      <c r="O31" s="22">
        <f>SUMIFS(Import!$O$2:$O$1482,Import!$D$2:$D$1482,B13)</f>
        <v>648.24622526029998</v>
      </c>
      <c r="P31" s="22">
        <f>SUMIFS(Import!$O$2:$O$1482,Import!$D$2:$D$1482,C13)</f>
        <v>1690.3603862887196</v>
      </c>
      <c r="Q31" s="52">
        <f t="shared" si="30"/>
        <v>1.6075900181446703</v>
      </c>
      <c r="R31" s="53"/>
      <c r="S31" s="53"/>
      <c r="T31" s="53"/>
      <c r="U31" s="54"/>
      <c r="V31" s="10"/>
      <c r="W31" s="10"/>
      <c r="X31" s="1"/>
      <c r="Y31" s="1"/>
      <c r="Z31" s="1"/>
      <c r="AA31" s="1"/>
      <c r="AB31" s="1"/>
      <c r="AC31" s="1"/>
    </row>
    <row r="32" spans="2:29" ht="15.75" customHeight="1" x14ac:dyDescent="0.15">
      <c r="C32" s="1"/>
      <c r="D32" s="19" t="s">
        <v>17</v>
      </c>
      <c r="E32" s="22">
        <f>SUMIFS(Import!$P$2:$P$1482,Import!$D$2:$D$1482,B14)</f>
        <v>7690</v>
      </c>
      <c r="F32" s="22">
        <f>SUMIFS(Import!$P$2:$P$1482,Import!$D$2:$D$1482,C14)</f>
        <v>22470</v>
      </c>
      <c r="G32" s="50">
        <f t="shared" si="27"/>
        <v>1.9219765929778934</v>
      </c>
      <c r="H32" s="55"/>
      <c r="I32" s="19" t="s">
        <v>17</v>
      </c>
      <c r="J32" s="22">
        <f t="shared" ref="J32:K32" si="38">IF(E14=0,,E32/E14)</f>
        <v>160.20833333333334</v>
      </c>
      <c r="K32" s="22">
        <f t="shared" si="38"/>
        <v>211.98113207547169</v>
      </c>
      <c r="L32" s="51">
        <f t="shared" si="29"/>
        <v>0.32315921191451769</v>
      </c>
      <c r="M32" s="1"/>
      <c r="N32" s="19" t="s">
        <v>17</v>
      </c>
      <c r="O32" s="22">
        <f>SUMIFS(Import!$O$2:$O$1482,Import!$D$2:$D$1482,B14)</f>
        <v>511.84676244999991</v>
      </c>
      <c r="P32" s="22">
        <f>SUMIFS(Import!$O$2:$O$1482,Import!$D$2:$D$1482,C14)</f>
        <v>1473.18706455644</v>
      </c>
      <c r="Q32" s="52">
        <f t="shared" si="30"/>
        <v>1.8781799019395953</v>
      </c>
      <c r="R32" s="53"/>
      <c r="S32" s="53"/>
      <c r="T32" s="53"/>
      <c r="U32" s="54"/>
      <c r="V32" s="10"/>
      <c r="W32" s="10"/>
      <c r="X32" s="1"/>
      <c r="Y32" s="1"/>
      <c r="Z32" s="1"/>
      <c r="AA32" s="1"/>
      <c r="AB32" s="1"/>
      <c r="AC32" s="1"/>
    </row>
    <row r="33" spans="3:29" ht="15.75" customHeight="1" x14ac:dyDescent="0.15">
      <c r="C33" s="1"/>
      <c r="D33" s="19" t="s">
        <v>18</v>
      </c>
      <c r="E33" s="22">
        <f>SUMIFS(Import!$P$2:$P$1482,Import!$D$2:$D$1482,B15)</f>
        <v>0</v>
      </c>
      <c r="F33" s="22">
        <f>SUMIFS(Import!$P$2:$P$1482,Import!$D$2:$D$1482,C15)</f>
        <v>0</v>
      </c>
      <c r="G33" s="50">
        <f t="shared" si="27"/>
        <v>0</v>
      </c>
      <c r="H33" s="55"/>
      <c r="I33" s="19" t="s">
        <v>18</v>
      </c>
      <c r="J33" s="22">
        <f t="shared" ref="J33:K33" si="39">IF(E15=0,,E33/E15)</f>
        <v>0</v>
      </c>
      <c r="K33" s="22">
        <f t="shared" si="39"/>
        <v>0</v>
      </c>
      <c r="L33" s="51">
        <f t="shared" si="29"/>
        <v>0</v>
      </c>
      <c r="M33" s="1"/>
      <c r="N33" s="19" t="s">
        <v>18</v>
      </c>
      <c r="O33" s="22">
        <f>SUMIFS(Import!$O$2:$O$1482,Import!$D$2:$D$1482,B15)</f>
        <v>0</v>
      </c>
      <c r="P33" s="22">
        <f>SUMIFS(Import!$O$2:$O$1482,Import!$D$2:$D$1482,C15)</f>
        <v>0</v>
      </c>
      <c r="Q33" s="52">
        <f t="shared" si="30"/>
        <v>0</v>
      </c>
      <c r="R33" s="53"/>
      <c r="S33" s="53"/>
      <c r="T33" s="53"/>
      <c r="U33" s="54"/>
      <c r="V33" s="10"/>
      <c r="W33" s="10"/>
      <c r="X33" s="1"/>
      <c r="Y33" s="1"/>
      <c r="Z33" s="1"/>
      <c r="AA33" s="1"/>
      <c r="AB33" s="1"/>
      <c r="AC33" s="1"/>
    </row>
    <row r="34" spans="3:29" ht="15.75" customHeight="1" x14ac:dyDescent="0.15">
      <c r="C34" s="1"/>
      <c r="D34" s="19" t="s">
        <v>19</v>
      </c>
      <c r="E34" s="22">
        <f>SUMIFS(Import!$P$2:$P$1482,Import!$D$2:$D$1482,B16)</f>
        <v>0</v>
      </c>
      <c r="F34" s="22">
        <f>SUMIFS(Import!$P$2:$P$1482,Import!$D$2:$D$1482,C16)</f>
        <v>0</v>
      </c>
      <c r="G34" s="50">
        <f t="shared" si="27"/>
        <v>0</v>
      </c>
      <c r="H34" s="55"/>
      <c r="I34" s="19" t="s">
        <v>19</v>
      </c>
      <c r="J34" s="22">
        <f t="shared" ref="J34:K34" si="40">IF(E16=0,,E34/E16)</f>
        <v>0</v>
      </c>
      <c r="K34" s="22">
        <f t="shared" si="40"/>
        <v>0</v>
      </c>
      <c r="L34" s="51">
        <f t="shared" si="29"/>
        <v>0</v>
      </c>
      <c r="M34" s="1"/>
      <c r="N34" s="19" t="s">
        <v>19</v>
      </c>
      <c r="O34" s="22">
        <f>SUMIFS(Import!$O$2:$O$1482,Import!$D$2:$D$1482,B16)</f>
        <v>0</v>
      </c>
      <c r="P34" s="22">
        <f>SUMIFS(Import!$O$2:$O$1482,Import!$D$2:$D$1482,C16)</f>
        <v>0</v>
      </c>
      <c r="Q34" s="52">
        <f t="shared" si="30"/>
        <v>0</v>
      </c>
      <c r="R34" s="53"/>
      <c r="S34" s="53"/>
      <c r="T34" s="53"/>
      <c r="U34" s="54"/>
      <c r="V34" s="10"/>
      <c r="W34" s="10"/>
      <c r="X34" s="1"/>
      <c r="Y34" s="1"/>
      <c r="Z34" s="1"/>
      <c r="AA34" s="1"/>
      <c r="AB34" s="1"/>
      <c r="AC34" s="1"/>
    </row>
    <row r="35" spans="3:29" ht="15.75" customHeight="1" x14ac:dyDescent="0.15">
      <c r="C35" s="1"/>
      <c r="D35" s="19" t="s">
        <v>20</v>
      </c>
      <c r="E35" s="114">
        <f>SUMIFS(Import!$P$2:$P$1482,Import!$D$2:$D$1482,B17)</f>
        <v>0</v>
      </c>
      <c r="F35" s="114">
        <f>SUMIFS(Import!$P$2:$P$1482,Import!$D$2:$D$1482,C17)</f>
        <v>0</v>
      </c>
      <c r="G35" s="50">
        <f t="shared" si="27"/>
        <v>0</v>
      </c>
      <c r="H35" s="55"/>
      <c r="I35" s="27" t="s">
        <v>20</v>
      </c>
      <c r="J35" s="22">
        <f t="shared" ref="J35:K35" si="41">IF(E17=0,,E35/E17)</f>
        <v>0</v>
      </c>
      <c r="K35" s="22">
        <f t="shared" si="41"/>
        <v>0</v>
      </c>
      <c r="L35" s="51">
        <f t="shared" si="29"/>
        <v>0</v>
      </c>
      <c r="M35" s="1"/>
      <c r="N35" s="27" t="s">
        <v>20</v>
      </c>
      <c r="O35" s="22">
        <f>SUMIFS(Import!$O$2:$O$1482,Import!$D$2:$D$1482,B17)</f>
        <v>0</v>
      </c>
      <c r="P35" s="22">
        <f>SUMIFS(Import!$O$2:$O$1482,Import!$D$2:$D$1482,C17)</f>
        <v>0</v>
      </c>
      <c r="Q35" s="52">
        <f t="shared" si="30"/>
        <v>0</v>
      </c>
      <c r="R35" s="53"/>
      <c r="S35" s="53"/>
      <c r="T35" s="53"/>
      <c r="U35" s="54"/>
      <c r="V35" s="10"/>
      <c r="W35" s="10"/>
      <c r="X35" s="1"/>
      <c r="Y35" s="1"/>
      <c r="Z35" s="1"/>
      <c r="AA35" s="1"/>
      <c r="AB35" s="1"/>
      <c r="AC35" s="1"/>
    </row>
    <row r="36" spans="3:29" ht="15.75" customHeight="1" x14ac:dyDescent="0.15">
      <c r="C36" s="1"/>
      <c r="D36" s="115" t="s">
        <v>21</v>
      </c>
      <c r="E36" s="116">
        <f t="shared" ref="E36:F36" si="42">SUM(E24:E32)</f>
        <v>75719.959999999992</v>
      </c>
      <c r="F36" s="116">
        <f t="shared" si="42"/>
        <v>205826.4</v>
      </c>
      <c r="G36" s="30"/>
      <c r="H36" s="55"/>
      <c r="I36" s="57" t="s">
        <v>21</v>
      </c>
      <c r="J36" s="58">
        <f t="shared" ref="J36:K36" si="43">IF(E18=0,,E36/E18)</f>
        <v>166.41749450549449</v>
      </c>
      <c r="K36" s="58">
        <f t="shared" si="43"/>
        <v>200.61052631578946</v>
      </c>
      <c r="L36" s="33"/>
      <c r="M36" s="56"/>
      <c r="N36" s="59" t="s">
        <v>21</v>
      </c>
      <c r="O36" s="60">
        <f t="shared" ref="O36:P36" si="44">SUM(O24:O32)</f>
        <v>4741.728947832079</v>
      </c>
      <c r="P36" s="60">
        <f t="shared" si="44"/>
        <v>11843.223661116961</v>
      </c>
      <c r="Q36" s="30"/>
      <c r="R36" s="61"/>
      <c r="S36" s="61"/>
      <c r="T36" s="53"/>
      <c r="U36" s="62"/>
      <c r="V36" s="10"/>
      <c r="W36" s="10"/>
      <c r="X36" s="1"/>
      <c r="Y36" s="1"/>
      <c r="Z36" s="1"/>
      <c r="AA36" s="1"/>
      <c r="AB36" s="1"/>
      <c r="AC36" s="1"/>
    </row>
    <row r="37" spans="3:29" ht="15.75" customHeight="1" thickBot="1" x14ac:dyDescent="0.2">
      <c r="C37" s="1"/>
      <c r="D37" s="117" t="s">
        <v>1497</v>
      </c>
      <c r="E37" s="118">
        <f>SUM(E24:E35)</f>
        <v>75719.959999999992</v>
      </c>
      <c r="F37" s="118">
        <f>SUM(F24:F35)</f>
        <v>205826.4</v>
      </c>
      <c r="G37" s="1"/>
      <c r="H37" s="55"/>
      <c r="I37" s="111" t="s">
        <v>1497</v>
      </c>
      <c r="J37" s="112">
        <f>SUM(J24:J35)</f>
        <v>1546.9860089832957</v>
      </c>
      <c r="K37" s="113">
        <f>SUM(K24:K35)</f>
        <v>1757.7606235164931</v>
      </c>
      <c r="L37" s="44"/>
      <c r="M37" s="1"/>
      <c r="N37" s="117" t="s">
        <v>1497</v>
      </c>
      <c r="O37" s="118">
        <f>SUM(O24:O35)</f>
        <v>4741.728947832079</v>
      </c>
      <c r="P37" s="118">
        <f>SUM(P24:P35)</f>
        <v>11843.223661116961</v>
      </c>
      <c r="Q37" s="1"/>
      <c r="R37" s="10"/>
      <c r="S37" s="10"/>
      <c r="T37" s="63"/>
      <c r="U37" s="10"/>
      <c r="V37" s="10"/>
      <c r="W37" s="10"/>
      <c r="X37" s="1"/>
      <c r="Y37" s="1"/>
      <c r="Z37" s="1"/>
      <c r="AA37" s="1"/>
      <c r="AB37" s="1"/>
      <c r="AC37" s="1"/>
    </row>
    <row r="38" spans="3:29" ht="15.75" customHeight="1" thickTop="1" x14ac:dyDescent="0.15">
      <c r="C38" s="1"/>
      <c r="D38" s="1"/>
      <c r="E38" s="1"/>
      <c r="F38" s="1"/>
      <c r="G38" s="1"/>
      <c r="H38" s="1"/>
      <c r="I38" s="1"/>
      <c r="J38" s="1"/>
      <c r="K38" s="1"/>
      <c r="L38" s="1"/>
      <c r="M38" s="1"/>
      <c r="N38" s="1"/>
      <c r="O38" s="1"/>
      <c r="P38" s="1"/>
      <c r="Q38" s="1"/>
      <c r="R38" s="10"/>
      <c r="S38" s="10"/>
      <c r="T38" s="10"/>
      <c r="U38" s="10"/>
      <c r="V38" s="10"/>
      <c r="W38" s="10"/>
      <c r="X38" s="1"/>
      <c r="Y38" s="1"/>
      <c r="Z38" s="1"/>
      <c r="AA38" s="1"/>
      <c r="AB38" s="1"/>
      <c r="AC38" s="1"/>
    </row>
    <row r="39" spans="3:29" ht="15.75" customHeight="1" x14ac:dyDescent="0.15">
      <c r="C39" s="1"/>
      <c r="D39" s="1"/>
      <c r="E39" s="1"/>
      <c r="F39" s="1"/>
      <c r="G39" s="1"/>
      <c r="H39" s="1"/>
      <c r="I39" s="1"/>
      <c r="J39" s="1"/>
      <c r="K39" s="1"/>
      <c r="L39" s="1"/>
      <c r="M39" s="1"/>
      <c r="N39" s="1"/>
      <c r="O39" s="1"/>
      <c r="P39" s="1"/>
      <c r="Q39" s="1"/>
      <c r="R39" s="10"/>
      <c r="S39" s="10"/>
      <c r="T39" s="10"/>
      <c r="U39" s="10"/>
      <c r="V39" s="10"/>
      <c r="W39" s="10"/>
      <c r="X39" s="1"/>
      <c r="Y39" s="1"/>
      <c r="Z39" s="1"/>
      <c r="AA39" s="1"/>
      <c r="AB39" s="1"/>
      <c r="AC39" s="1"/>
    </row>
    <row r="40" spans="3:29" ht="15.75" customHeight="1" x14ac:dyDescent="0.15">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3:29" ht="15.75" customHeight="1" x14ac:dyDescent="0.15">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3:29" ht="15.75" customHeight="1" x14ac:dyDescent="0.15">
      <c r="C42" s="1"/>
      <c r="D42" s="121" t="s">
        <v>26</v>
      </c>
      <c r="E42" s="122"/>
      <c r="F42" s="122"/>
      <c r="G42" s="122"/>
      <c r="H42" s="122"/>
      <c r="I42" s="122"/>
      <c r="J42" s="122"/>
      <c r="K42" s="122"/>
      <c r="L42" s="123"/>
      <c r="M42" s="1"/>
      <c r="N42" s="1"/>
      <c r="O42" s="1"/>
      <c r="P42" s="1"/>
      <c r="Q42" s="1"/>
      <c r="R42" s="1"/>
      <c r="S42" s="1"/>
      <c r="T42" s="1"/>
      <c r="U42" s="1"/>
      <c r="V42" s="1"/>
      <c r="W42" s="1"/>
      <c r="X42" s="1"/>
      <c r="Y42" s="1"/>
      <c r="Z42" s="1"/>
      <c r="AA42" s="1"/>
      <c r="AB42" s="1"/>
      <c r="AC42" s="1"/>
    </row>
    <row r="43" spans="3:29" ht="15.75" customHeight="1" x14ac:dyDescent="0.15">
      <c r="C43" s="1"/>
      <c r="D43" s="124"/>
      <c r="E43" s="125"/>
      <c r="F43" s="125"/>
      <c r="G43" s="125"/>
      <c r="H43" s="125"/>
      <c r="I43" s="125"/>
      <c r="J43" s="125"/>
      <c r="K43" s="125"/>
      <c r="L43" s="126"/>
      <c r="M43" s="1"/>
      <c r="N43" s="1"/>
      <c r="O43" s="1"/>
      <c r="P43" s="1"/>
      <c r="Q43" s="1"/>
      <c r="R43" s="1"/>
      <c r="S43" s="1"/>
      <c r="T43" s="1"/>
      <c r="U43" s="1"/>
      <c r="V43" s="1"/>
      <c r="W43" s="1"/>
      <c r="X43" s="1"/>
      <c r="Y43" s="1"/>
      <c r="Z43" s="1"/>
      <c r="AA43" s="1"/>
      <c r="AB43" s="1"/>
      <c r="AC43" s="1"/>
    </row>
    <row r="44" spans="3:29" ht="15.75" customHeight="1" x14ac:dyDescent="0.15">
      <c r="C44" s="1"/>
      <c r="D44" s="124"/>
      <c r="E44" s="125"/>
      <c r="F44" s="125"/>
      <c r="G44" s="125"/>
      <c r="H44" s="125"/>
      <c r="I44" s="125"/>
      <c r="J44" s="125"/>
      <c r="K44" s="125"/>
      <c r="L44" s="126"/>
      <c r="M44" s="1"/>
      <c r="N44" s="1"/>
      <c r="O44" s="1"/>
      <c r="P44" s="1"/>
      <c r="Q44" s="1"/>
      <c r="R44" s="1"/>
      <c r="S44" s="1"/>
      <c r="T44" s="1"/>
      <c r="U44" s="1"/>
      <c r="V44" s="1"/>
      <c r="W44" s="1"/>
      <c r="X44" s="1"/>
      <c r="Y44" s="1"/>
      <c r="Z44" s="1"/>
      <c r="AA44" s="1"/>
      <c r="AB44" s="1"/>
      <c r="AC44" s="1"/>
    </row>
    <row r="45" spans="3:29" ht="15.75" customHeight="1" x14ac:dyDescent="0.15">
      <c r="C45" s="1"/>
      <c r="D45" s="124"/>
      <c r="E45" s="125"/>
      <c r="F45" s="125"/>
      <c r="G45" s="125"/>
      <c r="H45" s="125"/>
      <c r="I45" s="125"/>
      <c r="J45" s="125"/>
      <c r="K45" s="125"/>
      <c r="L45" s="126"/>
      <c r="M45" s="1"/>
      <c r="N45" s="1"/>
      <c r="O45" s="1"/>
      <c r="P45" s="1"/>
      <c r="Q45" s="1"/>
      <c r="R45" s="1"/>
      <c r="S45" s="1"/>
      <c r="T45" s="1"/>
      <c r="U45" s="1"/>
      <c r="V45" s="1"/>
      <c r="W45" s="1"/>
      <c r="X45" s="1"/>
      <c r="Y45" s="1"/>
      <c r="Z45" s="1"/>
      <c r="AA45" s="1"/>
      <c r="AB45" s="1"/>
      <c r="AC45" s="1"/>
    </row>
    <row r="46" spans="3:29" ht="15.75" customHeight="1" x14ac:dyDescent="0.15">
      <c r="C46" s="1"/>
      <c r="D46" s="124"/>
      <c r="E46" s="125"/>
      <c r="F46" s="125"/>
      <c r="G46" s="125"/>
      <c r="H46" s="125"/>
      <c r="I46" s="125"/>
      <c r="J46" s="125"/>
      <c r="K46" s="125"/>
      <c r="L46" s="126"/>
      <c r="M46" s="1"/>
      <c r="N46" s="1"/>
      <c r="O46" s="1"/>
      <c r="P46" s="1"/>
      <c r="Q46" s="1"/>
      <c r="R46" s="1"/>
      <c r="S46" s="1"/>
      <c r="T46" s="1"/>
      <c r="U46" s="1"/>
      <c r="V46" s="1"/>
      <c r="W46" s="1"/>
      <c r="X46" s="1"/>
      <c r="Y46" s="1"/>
      <c r="Z46" s="1"/>
      <c r="AA46" s="1"/>
      <c r="AB46" s="1"/>
      <c r="AC46" s="1"/>
    </row>
    <row r="47" spans="3:29" ht="15.75" customHeight="1" x14ac:dyDescent="0.15">
      <c r="C47" s="1"/>
      <c r="D47" s="127"/>
      <c r="E47" s="128"/>
      <c r="F47" s="128"/>
      <c r="G47" s="128"/>
      <c r="H47" s="128"/>
      <c r="I47" s="128"/>
      <c r="J47" s="128"/>
      <c r="K47" s="128"/>
      <c r="L47" s="129"/>
      <c r="M47" s="1"/>
      <c r="N47" s="1"/>
      <c r="O47" s="1"/>
      <c r="P47" s="1"/>
      <c r="Q47" s="1"/>
      <c r="R47" s="1"/>
      <c r="S47" s="1"/>
      <c r="T47" s="1"/>
      <c r="U47" s="1"/>
      <c r="V47" s="1"/>
      <c r="W47" s="1"/>
      <c r="X47" s="1"/>
      <c r="Y47" s="1"/>
      <c r="Z47" s="1"/>
      <c r="AA47" s="1"/>
      <c r="AB47" s="1"/>
      <c r="AC47" s="1"/>
    </row>
    <row r="48" spans="3:29" ht="15.75" customHeight="1" x14ac:dyDescent="0.15">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3:29" ht="15.75" customHeight="1" x14ac:dyDescent="0.15">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3:29" ht="15.75" customHeight="1" x14ac:dyDescent="0.15">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3:29" ht="13" x14ac:dyDescent="0.15">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3:29" ht="13" x14ac:dyDescent="0.15">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3:29" ht="13" x14ac:dyDescent="0.15">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3:29" ht="13" x14ac:dyDescent="0.15">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3:29" ht="13" x14ac:dyDescent="0.15">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3:29" ht="13" x14ac:dyDescent="0.15">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3:29" ht="13" x14ac:dyDescent="0.15">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3:29" ht="13" x14ac:dyDescent="0.15">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3:29" ht="13" x14ac:dyDescent="0.15">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3:29" ht="13" x14ac:dyDescent="0.15">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3:29" ht="13" x14ac:dyDescent="0.15">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3:29" ht="13" x14ac:dyDescent="0.15">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3:29" ht="13" x14ac:dyDescent="0.15">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3:29" ht="13" x14ac:dyDescent="0.15">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3:29" ht="13" x14ac:dyDescent="0.15">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3:29" ht="13" x14ac:dyDescent="0.15">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3:29" ht="13" x14ac:dyDescent="0.15">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3:29" ht="13" x14ac:dyDescent="0.15">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3:29" ht="13" x14ac:dyDescent="0.15">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3:29" ht="13" x14ac:dyDescent="0.15">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3:29" ht="13" x14ac:dyDescent="0.15">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3:29" ht="13" x14ac:dyDescent="0.15">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3:29" ht="13" x14ac:dyDescent="0.15">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3:29" ht="13" x14ac:dyDescent="0.15">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3:29" ht="13" x14ac:dyDescent="0.15">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3:29" ht="13" x14ac:dyDescent="0.15">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3:29" ht="13" x14ac:dyDescent="0.15">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3:29" ht="13" x14ac:dyDescent="0.15">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3:29" ht="13" x14ac:dyDescent="0.15">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3:29" ht="13" x14ac:dyDescent="0.15">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3:29" ht="13" x14ac:dyDescent="0.15">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3:29" ht="13" x14ac:dyDescent="0.15">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3:29" ht="13" x14ac:dyDescent="0.15">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3:29" ht="13" x14ac:dyDescent="0.15">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3:29" ht="13" x14ac:dyDescent="0.15">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3:29" ht="13" x14ac:dyDescent="0.15">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3:29" ht="13" x14ac:dyDescent="0.15">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3:29" ht="13" x14ac:dyDescent="0.15">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3:29" ht="13" x14ac:dyDescent="0.15">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3:29" ht="13" x14ac:dyDescent="0.15">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3:29" ht="13" x14ac:dyDescent="0.15">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3:29" ht="13" x14ac:dyDescent="0.15">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3:29" ht="13" x14ac:dyDescent="0.15">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3:29" ht="13" x14ac:dyDescent="0.15">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3:29" ht="13" x14ac:dyDescent="0.15">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3:29" ht="13" x14ac:dyDescent="0.15">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3:29" ht="13" x14ac:dyDescent="0.15">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3:29" ht="13" x14ac:dyDescent="0.15">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3:29" ht="13" x14ac:dyDescent="0.15">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3:29" ht="13" x14ac:dyDescent="0.15">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3:29" ht="13" x14ac:dyDescent="0.15">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3:29" ht="13" x14ac:dyDescent="0.15">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3:29" ht="13" x14ac:dyDescent="0.15">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3:29" ht="13" x14ac:dyDescent="0.15">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3:29" ht="13" x14ac:dyDescent="0.15">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3:29" ht="13" x14ac:dyDescent="0.15">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3:29" ht="13" x14ac:dyDescent="0.15">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3:29" ht="13" x14ac:dyDescent="0.15">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3:29" ht="13" x14ac:dyDescent="0.15">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3:29" ht="13" x14ac:dyDescent="0.15">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3:29" ht="13" x14ac:dyDescent="0.15">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3:29" ht="13" x14ac:dyDescent="0.15">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3:29" ht="13" x14ac:dyDescent="0.15">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3:29" ht="13" x14ac:dyDescent="0.15">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3:29" ht="13" x14ac:dyDescent="0.1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3:29" ht="13" x14ac:dyDescent="0.15">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3:29" ht="13" x14ac:dyDescent="0.15">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3:29" ht="13" x14ac:dyDescent="0.1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3:29" ht="13" x14ac:dyDescent="0.15">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3:29" ht="13" x14ac:dyDescent="0.15">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3:29" ht="13" x14ac:dyDescent="0.15">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3:29" ht="13" x14ac:dyDescent="0.15">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3:29" ht="13" x14ac:dyDescent="0.15">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3:29" ht="13" x14ac:dyDescent="0.15">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3:29" ht="13" x14ac:dyDescent="0.15">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3:29" ht="13" x14ac:dyDescent="0.15">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3:29" ht="13" x14ac:dyDescent="0.15">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3:29" ht="13" x14ac:dyDescent="0.15">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3:29" ht="13" x14ac:dyDescent="0.15">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3:29" ht="13" x14ac:dyDescent="0.15">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3:29" ht="13" x14ac:dyDescent="0.15">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3:29" ht="13" x14ac:dyDescent="0.15">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3:29" ht="13" x14ac:dyDescent="0.15">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3:29" ht="13" x14ac:dyDescent="0.15">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3:29" ht="13" x14ac:dyDescent="0.15">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3:29" ht="13" x14ac:dyDescent="0.15">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3:29" ht="13" x14ac:dyDescent="0.15">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3:29" ht="13" x14ac:dyDescent="0.15">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3:29" ht="13" x14ac:dyDescent="0.15">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3:29" ht="13" x14ac:dyDescent="0.15">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3:29" ht="13" x14ac:dyDescent="0.15">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3:29" ht="13" x14ac:dyDescent="0.15">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3:29" ht="13" x14ac:dyDescent="0.15">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3:29" ht="13" x14ac:dyDescent="0.15">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3:29" ht="13" x14ac:dyDescent="0.15">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3:29" ht="13" x14ac:dyDescent="0.15">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3:29" ht="13" x14ac:dyDescent="0.15">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3:29" ht="13" x14ac:dyDescent="0.15">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3:29" ht="13" x14ac:dyDescent="0.15">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3:29" ht="13" x14ac:dyDescent="0.15">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3:29" ht="13" x14ac:dyDescent="0.15">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3:29" ht="13" x14ac:dyDescent="0.15">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3:29" ht="13" x14ac:dyDescent="0.15">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3:29" ht="13" x14ac:dyDescent="0.15">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3:29" ht="13" x14ac:dyDescent="0.15">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3:29" ht="13" x14ac:dyDescent="0.15">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3:29" ht="13" x14ac:dyDescent="0.15">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3:29" ht="13" x14ac:dyDescent="0.15">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3:29" ht="13" x14ac:dyDescent="0.15">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3:29" ht="13" x14ac:dyDescent="0.15">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3:29" ht="13" x14ac:dyDescent="0.15">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3:29" ht="13" x14ac:dyDescent="0.15">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3:29" ht="13" x14ac:dyDescent="0.15">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3:29" ht="13" x14ac:dyDescent="0.15">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3:29" ht="13" x14ac:dyDescent="0.15">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3:29" ht="13" x14ac:dyDescent="0.15">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3:29" ht="13" x14ac:dyDescent="0.15">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3:29" ht="13" x14ac:dyDescent="0.15">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3:29" ht="13" x14ac:dyDescent="0.15">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3:29" ht="13" x14ac:dyDescent="0.15">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3:29" ht="13" x14ac:dyDescent="0.15">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3:29" ht="13" x14ac:dyDescent="0.15">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3:29" ht="13" x14ac:dyDescent="0.15">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3:29" ht="13" x14ac:dyDescent="0.15">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3:29" ht="13" x14ac:dyDescent="0.15">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3:29" ht="13" x14ac:dyDescent="0.15">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3:29" ht="13" x14ac:dyDescent="0.15">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3:29" ht="13" x14ac:dyDescent="0.15">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3:29" ht="13" x14ac:dyDescent="0.15">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3:29" ht="13" x14ac:dyDescent="0.15">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3:29" ht="13" x14ac:dyDescent="0.15">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3:29" ht="13" x14ac:dyDescent="0.15">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3:29" ht="13" x14ac:dyDescent="0.15">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3:29" ht="13" x14ac:dyDescent="0.15">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3:29" ht="13" x14ac:dyDescent="0.15">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3:29" ht="13" x14ac:dyDescent="0.15">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3:29" ht="13" x14ac:dyDescent="0.15">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3:29" ht="13" x14ac:dyDescent="0.15">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3:29" ht="13" x14ac:dyDescent="0.15">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3:29" ht="13" x14ac:dyDescent="0.15">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3:29" ht="13" x14ac:dyDescent="0.15">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3:29" ht="13" x14ac:dyDescent="0.15">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3:29" ht="13" x14ac:dyDescent="0.15">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3:29" ht="13" x14ac:dyDescent="0.15">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3:29" ht="13" x14ac:dyDescent="0.15">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3:29" ht="13" x14ac:dyDescent="0.15">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3:29" ht="13" x14ac:dyDescent="0.15">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3:29" ht="13" x14ac:dyDescent="0.15">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3:29" ht="13" x14ac:dyDescent="0.15">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3:29" ht="13" x14ac:dyDescent="0.15">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3:29" ht="13" x14ac:dyDescent="0.15">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3:29" ht="13" x14ac:dyDescent="0.15">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3:29" ht="13" x14ac:dyDescent="0.15">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3:29" ht="13" x14ac:dyDescent="0.15">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3:29" ht="13" x14ac:dyDescent="0.15">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3:29" ht="13" x14ac:dyDescent="0.15">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3:29" ht="13" x14ac:dyDescent="0.15">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3:29" ht="13" x14ac:dyDescent="0.15">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3:29" ht="13" x14ac:dyDescent="0.15">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3:29" ht="13" x14ac:dyDescent="0.15">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3:29" ht="13" x14ac:dyDescent="0.15">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3:29" ht="13" x14ac:dyDescent="0.15">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3:29" ht="13" x14ac:dyDescent="0.15">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3:29" ht="13" x14ac:dyDescent="0.15">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3:29" ht="13" x14ac:dyDescent="0.15">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3:29" ht="13" x14ac:dyDescent="0.15">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3:29" ht="13" x14ac:dyDescent="0.15">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3:29" ht="13" x14ac:dyDescent="0.15">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3:29" ht="13" x14ac:dyDescent="0.15">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3:29" ht="13" x14ac:dyDescent="0.15">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3:29" ht="13" x14ac:dyDescent="0.15">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3:29" ht="13" x14ac:dyDescent="0.15">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3:29" ht="13" x14ac:dyDescent="0.15">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3:29" ht="13" x14ac:dyDescent="0.15">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3:29" ht="13" x14ac:dyDescent="0.15">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3:29" ht="13" x14ac:dyDescent="0.15">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3:29" ht="13" x14ac:dyDescent="0.15">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3:29" ht="13" x14ac:dyDescent="0.15">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3:29" ht="13" x14ac:dyDescent="0.15">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3:29" ht="13" x14ac:dyDescent="0.15">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3:29" ht="13" x14ac:dyDescent="0.15">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3:29" ht="13" x14ac:dyDescent="0.15">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3:29" ht="13" x14ac:dyDescent="0.15">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3:29" ht="13" x14ac:dyDescent="0.15">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3:29" ht="13" x14ac:dyDescent="0.15">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3:29" ht="13" x14ac:dyDescent="0.15">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3:29" ht="13" x14ac:dyDescent="0.15">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3:29" ht="13" x14ac:dyDescent="0.15">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3:29" ht="13" x14ac:dyDescent="0.15">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3:29" ht="13" x14ac:dyDescent="0.15">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3:29" ht="13" x14ac:dyDescent="0.15">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3:29" ht="13" x14ac:dyDescent="0.15">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3:29" ht="13" x14ac:dyDescent="0.15">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3:29" ht="13" x14ac:dyDescent="0.15">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3:29" ht="13" x14ac:dyDescent="0.15">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3:29" ht="13" x14ac:dyDescent="0.15">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3:29" ht="13" x14ac:dyDescent="0.15">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3:29" ht="13" x14ac:dyDescent="0.15">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3:29" ht="13" x14ac:dyDescent="0.15">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3:29" ht="13" x14ac:dyDescent="0.15">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3:29" ht="13" x14ac:dyDescent="0.15">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3:29" ht="13" x14ac:dyDescent="0.15">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3:29" ht="13" x14ac:dyDescent="0.15">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3:29" ht="13" x14ac:dyDescent="0.15">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3:29" ht="13" x14ac:dyDescent="0.15">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3:29" ht="13" x14ac:dyDescent="0.15">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3:29" ht="13" x14ac:dyDescent="0.15">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3:29" ht="13" x14ac:dyDescent="0.15">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3:29" ht="13" x14ac:dyDescent="0.15">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3:29" ht="13" x14ac:dyDescent="0.15">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3:29" ht="13" x14ac:dyDescent="0.15">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3:29" ht="13" x14ac:dyDescent="0.15">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3:29" ht="13" x14ac:dyDescent="0.15">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3:29" ht="13" x14ac:dyDescent="0.15">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3:29" ht="13" x14ac:dyDescent="0.15">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3:29" ht="13" x14ac:dyDescent="0.15">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3:29" ht="13" x14ac:dyDescent="0.15">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3:29" ht="13" x14ac:dyDescent="0.15">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3:29" ht="13" x14ac:dyDescent="0.15">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3:29" ht="13" x14ac:dyDescent="0.15">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3:29" ht="13" x14ac:dyDescent="0.15">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3:29" ht="13" x14ac:dyDescent="0.15">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3:29" ht="13" x14ac:dyDescent="0.15">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3:29" ht="13" x14ac:dyDescent="0.15">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3:29" ht="13" x14ac:dyDescent="0.15">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3:29" ht="13" x14ac:dyDescent="0.15">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3:29" ht="13" x14ac:dyDescent="0.15">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3:29" ht="13" x14ac:dyDescent="0.15">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3:29" ht="13" x14ac:dyDescent="0.15">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3:29" ht="13" x14ac:dyDescent="0.15">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3:29" ht="13" x14ac:dyDescent="0.15">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3:29" ht="13" x14ac:dyDescent="0.15">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3:29" ht="13" x14ac:dyDescent="0.15">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3:29" ht="13" x14ac:dyDescent="0.15">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3:29" ht="13" x14ac:dyDescent="0.15">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3:29" ht="13" x14ac:dyDescent="0.15">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3:29" ht="13" x14ac:dyDescent="0.15">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3:29" ht="13" x14ac:dyDescent="0.15">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3:29" ht="13" x14ac:dyDescent="0.15">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3:29" ht="13" x14ac:dyDescent="0.15">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3:29" ht="13" x14ac:dyDescent="0.15">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3:29" ht="13" x14ac:dyDescent="0.15">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3:29" ht="13" x14ac:dyDescent="0.15">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3:29" ht="13" x14ac:dyDescent="0.15">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3:29" ht="13" x14ac:dyDescent="0.15">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3:29" ht="13" x14ac:dyDescent="0.15">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3:29" ht="13" x14ac:dyDescent="0.15">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3:29" ht="13" x14ac:dyDescent="0.15">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3:29" ht="13" x14ac:dyDescent="0.15">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3:29" ht="13" x14ac:dyDescent="0.15">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3:29" ht="13" x14ac:dyDescent="0.15">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3:29" ht="13" x14ac:dyDescent="0.15">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3:29" ht="13" x14ac:dyDescent="0.15">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3:29" ht="13" x14ac:dyDescent="0.15">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3:29" ht="13" x14ac:dyDescent="0.15">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3:29" ht="13" x14ac:dyDescent="0.15">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3:29" ht="13" x14ac:dyDescent="0.15">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3:29" ht="13" x14ac:dyDescent="0.15">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3:29" ht="13" x14ac:dyDescent="0.15">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3:29" ht="13" x14ac:dyDescent="0.15">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3:29" ht="13" x14ac:dyDescent="0.15">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3:29" ht="13" x14ac:dyDescent="0.15">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3:29" ht="13" x14ac:dyDescent="0.15">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3:29" ht="13" x14ac:dyDescent="0.15">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3:29" ht="13" x14ac:dyDescent="0.15">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3:29" ht="13" x14ac:dyDescent="0.15">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3:29" ht="13" x14ac:dyDescent="0.15">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3:29" ht="13" x14ac:dyDescent="0.15">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3:29" ht="13" x14ac:dyDescent="0.15">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3:29" ht="13" x14ac:dyDescent="0.15">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3:29" ht="13" x14ac:dyDescent="0.15">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3:29" ht="13" x14ac:dyDescent="0.15">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3:29" ht="13" x14ac:dyDescent="0.15">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3:29" ht="13" x14ac:dyDescent="0.15">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3:29" ht="13" x14ac:dyDescent="0.15">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3:29" ht="13" x14ac:dyDescent="0.15">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3:29" ht="13" x14ac:dyDescent="0.15">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3:29" ht="13" x14ac:dyDescent="0.15">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3:29" ht="13" x14ac:dyDescent="0.15">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3:29" ht="13" x14ac:dyDescent="0.15">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3:29" ht="13" x14ac:dyDescent="0.15">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3:29" ht="13" x14ac:dyDescent="0.15">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3:29" ht="13" x14ac:dyDescent="0.15">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3:29" ht="13" x14ac:dyDescent="0.15">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3:29" ht="13" x14ac:dyDescent="0.15">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3:29" ht="13" x14ac:dyDescent="0.15">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3:29" ht="13" x14ac:dyDescent="0.15">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3:29" ht="13" x14ac:dyDescent="0.15">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3:29" ht="13" x14ac:dyDescent="0.15">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3:29" ht="13" x14ac:dyDescent="0.15">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3:29" ht="13" x14ac:dyDescent="0.15">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3:29" ht="13" x14ac:dyDescent="0.15">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3:29" ht="13" x14ac:dyDescent="0.15">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3:29" ht="13" x14ac:dyDescent="0.15">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3:29" ht="13" x14ac:dyDescent="0.15">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3:29" ht="13" x14ac:dyDescent="0.15">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3:29" ht="13" x14ac:dyDescent="0.15">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3:29" ht="13" x14ac:dyDescent="0.15">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3:29" ht="13" x14ac:dyDescent="0.15">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3:29" ht="13" x14ac:dyDescent="0.15">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3:29" ht="13" x14ac:dyDescent="0.15">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3:29" ht="13" x14ac:dyDescent="0.15">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3:29" ht="13" x14ac:dyDescent="0.15">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3:29" ht="13" x14ac:dyDescent="0.15">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3:29" ht="13" x14ac:dyDescent="0.15">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3:29" ht="13" x14ac:dyDescent="0.15">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3:29" ht="13" x14ac:dyDescent="0.15">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3:29" ht="13" x14ac:dyDescent="0.15">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3:29" ht="13" x14ac:dyDescent="0.15">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3:29" ht="13" x14ac:dyDescent="0.15">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3:29" ht="13" x14ac:dyDescent="0.15">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3:29" ht="13" x14ac:dyDescent="0.15">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3:29" ht="13" x14ac:dyDescent="0.15">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3:29" ht="13" x14ac:dyDescent="0.15">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3:29" ht="13" x14ac:dyDescent="0.15">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3:29" ht="13" x14ac:dyDescent="0.15">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3:29" ht="13" x14ac:dyDescent="0.15">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3:29" ht="13" x14ac:dyDescent="0.15">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3:29" ht="13" x14ac:dyDescent="0.15">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3:29" ht="13" x14ac:dyDescent="0.15">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3:29" ht="13" x14ac:dyDescent="0.15">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3:29" ht="13" x14ac:dyDescent="0.15">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3:29" ht="13" x14ac:dyDescent="0.15">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3:29" ht="13" x14ac:dyDescent="0.15">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3:29" ht="13" x14ac:dyDescent="0.15">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3:29" ht="13" x14ac:dyDescent="0.15">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3:29" ht="13" x14ac:dyDescent="0.15">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3:29" ht="13" x14ac:dyDescent="0.15">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3:29" ht="13" x14ac:dyDescent="0.15">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3:29" ht="13" x14ac:dyDescent="0.15">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3:29" ht="13" x14ac:dyDescent="0.15">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3:29" ht="13" x14ac:dyDescent="0.15">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3:29" ht="13" x14ac:dyDescent="0.15">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3:29" ht="13" x14ac:dyDescent="0.15">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3:29" ht="13" x14ac:dyDescent="0.15">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3:29" ht="13" x14ac:dyDescent="0.15">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3:29" ht="13" x14ac:dyDescent="0.15">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3:29" ht="13" x14ac:dyDescent="0.15">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3:29" ht="13" x14ac:dyDescent="0.15">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3:29" ht="13" x14ac:dyDescent="0.15">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3:29" ht="13" x14ac:dyDescent="0.15">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3:29" ht="13" x14ac:dyDescent="0.15">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3:29" ht="13" x14ac:dyDescent="0.15">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3:29" ht="13" x14ac:dyDescent="0.15">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3:29" ht="13" x14ac:dyDescent="0.15">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3:29" ht="13" x14ac:dyDescent="0.15">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3:29" ht="13" x14ac:dyDescent="0.15">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3:29" ht="13" x14ac:dyDescent="0.15">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3:29" ht="13" x14ac:dyDescent="0.15">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3:29" ht="13" x14ac:dyDescent="0.15">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3:29" ht="13" x14ac:dyDescent="0.15">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3:29" ht="13" x14ac:dyDescent="0.15">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3:29" ht="13" x14ac:dyDescent="0.15">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3:29" ht="13" x14ac:dyDescent="0.15">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3:29" ht="13" x14ac:dyDescent="0.15">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3:29" ht="13" x14ac:dyDescent="0.15">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3:29" ht="13" x14ac:dyDescent="0.15">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3:29" ht="13" x14ac:dyDescent="0.15">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3:29" ht="13" x14ac:dyDescent="0.15">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3:29" ht="13" x14ac:dyDescent="0.15">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3:29" ht="13" x14ac:dyDescent="0.15">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3:29" ht="13" x14ac:dyDescent="0.15">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3:29" ht="13" x14ac:dyDescent="0.15">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3:29" ht="13" x14ac:dyDescent="0.15">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3:29" ht="13" x14ac:dyDescent="0.15">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3:29" ht="13" x14ac:dyDescent="0.15">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3:29" ht="13" x14ac:dyDescent="0.15">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3:29" ht="13" x14ac:dyDescent="0.15">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3:29" ht="13" x14ac:dyDescent="0.15">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3:29" ht="13" x14ac:dyDescent="0.15">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3:29" ht="13" x14ac:dyDescent="0.15">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3:29" ht="13" x14ac:dyDescent="0.15">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3:29" ht="13" x14ac:dyDescent="0.15">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3:29" ht="13" x14ac:dyDescent="0.15">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3:29" ht="13" x14ac:dyDescent="0.15">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3:29" ht="13" x14ac:dyDescent="0.15">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3:29" ht="13" x14ac:dyDescent="0.15">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3:29" ht="13" x14ac:dyDescent="0.15">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3:29" ht="13" x14ac:dyDescent="0.15">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3:29" ht="13" x14ac:dyDescent="0.15">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3:29" ht="13" x14ac:dyDescent="0.15">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3:29" ht="13" x14ac:dyDescent="0.15">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3:29" ht="13" x14ac:dyDescent="0.15">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3:29" ht="13" x14ac:dyDescent="0.15">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3:29" ht="13" x14ac:dyDescent="0.15">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3:29" ht="13" x14ac:dyDescent="0.15">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3:29" ht="13" x14ac:dyDescent="0.15">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3:29" ht="13" x14ac:dyDescent="0.15">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3:29" ht="13" x14ac:dyDescent="0.15">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3:29" ht="13" x14ac:dyDescent="0.15">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3:29" ht="13" x14ac:dyDescent="0.15">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3:29" ht="13" x14ac:dyDescent="0.15">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3:29" ht="13" x14ac:dyDescent="0.15">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3:29" ht="13" x14ac:dyDescent="0.15">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3:29" ht="13" x14ac:dyDescent="0.15">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3:29" ht="13" x14ac:dyDescent="0.15">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3:29" ht="13" x14ac:dyDescent="0.15">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3:29" ht="13" x14ac:dyDescent="0.15">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3:29" ht="13" x14ac:dyDescent="0.15">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3:29" ht="13" x14ac:dyDescent="0.15">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3:29" ht="13" x14ac:dyDescent="0.15">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3:29" ht="13" x14ac:dyDescent="0.15">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3:29" ht="13" x14ac:dyDescent="0.15">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3:29" ht="13" x14ac:dyDescent="0.15">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3:29" ht="13" x14ac:dyDescent="0.15">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3:29" ht="13" x14ac:dyDescent="0.15">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3:29" ht="13" x14ac:dyDescent="0.15">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3:29" ht="13" x14ac:dyDescent="0.15">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3:29" ht="13" x14ac:dyDescent="0.15">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3:29" ht="13" x14ac:dyDescent="0.15">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3:29" ht="13" x14ac:dyDescent="0.15">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3:29" ht="13" x14ac:dyDescent="0.15">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3:29" ht="13" x14ac:dyDescent="0.15">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3:29" ht="13" x14ac:dyDescent="0.15">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3:29" ht="13" x14ac:dyDescent="0.15">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3:29" ht="13" x14ac:dyDescent="0.15">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3:29" ht="13" x14ac:dyDescent="0.15">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3:29" ht="13" x14ac:dyDescent="0.15">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3:29" ht="13" x14ac:dyDescent="0.15">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3:29" ht="13" x14ac:dyDescent="0.15">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3:29" ht="13" x14ac:dyDescent="0.15">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3:29" ht="13" x14ac:dyDescent="0.15">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3:29" ht="13" x14ac:dyDescent="0.15">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3:29" ht="13" x14ac:dyDescent="0.15">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3:29" ht="13" x14ac:dyDescent="0.15">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3:29" ht="13" x14ac:dyDescent="0.15">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3:29" ht="13" x14ac:dyDescent="0.15">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3:29" ht="13" x14ac:dyDescent="0.15">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3:29" ht="13" x14ac:dyDescent="0.15">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3:29" ht="13" x14ac:dyDescent="0.15">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3:29" ht="13" x14ac:dyDescent="0.15">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3:29" ht="13" x14ac:dyDescent="0.15">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3:29" ht="13" x14ac:dyDescent="0.15">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3:29" ht="13" x14ac:dyDescent="0.15">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3:29" ht="13" x14ac:dyDescent="0.15">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3:29" ht="13" x14ac:dyDescent="0.15">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3:29" ht="13" x14ac:dyDescent="0.15">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3:29" ht="13" x14ac:dyDescent="0.15">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3:29" ht="13" x14ac:dyDescent="0.15">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3:29" ht="13" x14ac:dyDescent="0.15">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3:29" ht="13" x14ac:dyDescent="0.15">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3:29" ht="13" x14ac:dyDescent="0.15">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3:29" ht="13" x14ac:dyDescent="0.15">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3:29" ht="13" x14ac:dyDescent="0.15">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3:29" ht="13" x14ac:dyDescent="0.15">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3:29" ht="13" x14ac:dyDescent="0.15">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3:29" ht="13" x14ac:dyDescent="0.15">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3:29" ht="13" x14ac:dyDescent="0.15">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3:29" ht="13" x14ac:dyDescent="0.15">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3:29" ht="13" x14ac:dyDescent="0.15">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3:29" ht="13" x14ac:dyDescent="0.15">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3:29" ht="13" x14ac:dyDescent="0.15">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3:29" ht="13" x14ac:dyDescent="0.15">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3:29" ht="13" x14ac:dyDescent="0.15">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3:29" ht="13" x14ac:dyDescent="0.15">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3:29" ht="13" x14ac:dyDescent="0.15">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3:29" ht="13" x14ac:dyDescent="0.15">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3:29" ht="13" x14ac:dyDescent="0.15">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3:29" ht="13" x14ac:dyDescent="0.15">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3:29" ht="13" x14ac:dyDescent="0.15">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3:29" ht="13" x14ac:dyDescent="0.15">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3:29" ht="13" x14ac:dyDescent="0.15">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3:29" ht="13" x14ac:dyDescent="0.15">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3:29" ht="13" x14ac:dyDescent="0.15">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3:29" ht="13" x14ac:dyDescent="0.15">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3:29" ht="13" x14ac:dyDescent="0.15">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3:29" ht="13" x14ac:dyDescent="0.15">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3:29" ht="13" x14ac:dyDescent="0.15">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3:29" ht="13" x14ac:dyDescent="0.15">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3:29" ht="13" x14ac:dyDescent="0.15">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3:29" ht="13" x14ac:dyDescent="0.15">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3:29" ht="13" x14ac:dyDescent="0.15">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3:29" ht="13" x14ac:dyDescent="0.15">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3:29" ht="13" x14ac:dyDescent="0.15">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3:29" ht="13" x14ac:dyDescent="0.15">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3:29" ht="13" x14ac:dyDescent="0.15">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3:29" ht="13" x14ac:dyDescent="0.15">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3:29" ht="13" x14ac:dyDescent="0.15">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3:29" ht="13" x14ac:dyDescent="0.15">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3:29" ht="13" x14ac:dyDescent="0.15">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3:29" ht="13" x14ac:dyDescent="0.15">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3:29" ht="13" x14ac:dyDescent="0.15">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3:29" ht="13" x14ac:dyDescent="0.15">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3:29" ht="13" x14ac:dyDescent="0.15">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3:29" ht="13" x14ac:dyDescent="0.15">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3:29" ht="13" x14ac:dyDescent="0.15">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3:29" ht="13" x14ac:dyDescent="0.15">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3:29" ht="13" x14ac:dyDescent="0.15">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3:29" ht="13" x14ac:dyDescent="0.15">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3:29" ht="13" x14ac:dyDescent="0.15">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3:29" ht="13" x14ac:dyDescent="0.15">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3:29" ht="13" x14ac:dyDescent="0.15">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3:29" ht="13" x14ac:dyDescent="0.15">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3:29" ht="13" x14ac:dyDescent="0.15">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3:29" ht="13" x14ac:dyDescent="0.15">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3:29" ht="13" x14ac:dyDescent="0.15">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3:29" ht="13" x14ac:dyDescent="0.15">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3:29" ht="13" x14ac:dyDescent="0.15">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3:29" ht="13" x14ac:dyDescent="0.15">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3:29" ht="13" x14ac:dyDescent="0.15">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3:29" ht="13" x14ac:dyDescent="0.15">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3:29" ht="13" x14ac:dyDescent="0.15">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3:29" ht="13" x14ac:dyDescent="0.15">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3:29" ht="13" x14ac:dyDescent="0.15">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3:29" ht="13" x14ac:dyDescent="0.15">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3:29" ht="13" x14ac:dyDescent="0.15">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3:29" ht="13" x14ac:dyDescent="0.15">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3:29" ht="13" x14ac:dyDescent="0.15">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3:29" ht="13" x14ac:dyDescent="0.15">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3:29" ht="13" x14ac:dyDescent="0.15">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3:29" ht="13" x14ac:dyDescent="0.15">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3:29" ht="13" x14ac:dyDescent="0.15">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3:29" ht="13" x14ac:dyDescent="0.15">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3:29" ht="13" x14ac:dyDescent="0.15">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3:29" ht="13" x14ac:dyDescent="0.15">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3:29" ht="13" x14ac:dyDescent="0.15">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3:29" ht="13" x14ac:dyDescent="0.15">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3:29" ht="13" x14ac:dyDescent="0.15">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3:29" ht="13" x14ac:dyDescent="0.15">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3:29" ht="13" x14ac:dyDescent="0.15">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3:29" ht="13" x14ac:dyDescent="0.15">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3:29" ht="13" x14ac:dyDescent="0.15">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3:29" ht="13" x14ac:dyDescent="0.15">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3:29" ht="13" x14ac:dyDescent="0.15">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3:29" ht="13" x14ac:dyDescent="0.15">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3:29" ht="13" x14ac:dyDescent="0.15">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3:29" ht="13" x14ac:dyDescent="0.15">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3:29" ht="13" x14ac:dyDescent="0.15">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3:29" ht="13" x14ac:dyDescent="0.15">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3:29" ht="13" x14ac:dyDescent="0.15">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3:29" ht="13" x14ac:dyDescent="0.15">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3:29" ht="13" x14ac:dyDescent="0.15">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3:29" ht="13" x14ac:dyDescent="0.15">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3:29" ht="13" x14ac:dyDescent="0.15">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3:29" ht="13" x14ac:dyDescent="0.15">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3:29" ht="13" x14ac:dyDescent="0.15">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3:29" ht="13" x14ac:dyDescent="0.15">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3:29" ht="13" x14ac:dyDescent="0.15">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3:29" ht="13" x14ac:dyDescent="0.15">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3:29" ht="13" x14ac:dyDescent="0.15">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3:29" ht="13" x14ac:dyDescent="0.15">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3:29" ht="13" x14ac:dyDescent="0.15">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3:29" ht="13" x14ac:dyDescent="0.15">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3:29" ht="13" x14ac:dyDescent="0.15">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3:29" ht="13" x14ac:dyDescent="0.15">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3:29" ht="13" x14ac:dyDescent="0.15">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3:29" ht="13" x14ac:dyDescent="0.15">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3:29" ht="13" x14ac:dyDescent="0.15">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3:29" ht="13" x14ac:dyDescent="0.15">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3:29" ht="13" x14ac:dyDescent="0.15">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3:29" ht="13" x14ac:dyDescent="0.15">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3:29" ht="13" x14ac:dyDescent="0.15">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3:29" ht="13" x14ac:dyDescent="0.15">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3:29" ht="13" x14ac:dyDescent="0.15">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3:29" ht="13" x14ac:dyDescent="0.15">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3:29" ht="13" x14ac:dyDescent="0.15">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3:29" ht="13" x14ac:dyDescent="0.15">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3:29" ht="13" x14ac:dyDescent="0.15">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3:29" ht="13" x14ac:dyDescent="0.15">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3:29" ht="13" x14ac:dyDescent="0.15">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3:29" ht="13" x14ac:dyDescent="0.15">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3:29" ht="13" x14ac:dyDescent="0.15">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3:29" ht="13" x14ac:dyDescent="0.15">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3:29" ht="13" x14ac:dyDescent="0.15">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3:29" ht="13" x14ac:dyDescent="0.15">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3:29" ht="13" x14ac:dyDescent="0.15">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3:29" ht="13" x14ac:dyDescent="0.15">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3:29" ht="13" x14ac:dyDescent="0.15">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3:29" ht="13" x14ac:dyDescent="0.15">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3:29" ht="13" x14ac:dyDescent="0.15">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3:29" ht="13" x14ac:dyDescent="0.15">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3:29" ht="13" x14ac:dyDescent="0.15">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3:29" ht="13" x14ac:dyDescent="0.15">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3:29" ht="13" x14ac:dyDescent="0.15">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3:29" ht="13" x14ac:dyDescent="0.15">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3:29" ht="13" x14ac:dyDescent="0.15">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3:29" ht="13" x14ac:dyDescent="0.15">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3:29" ht="13" x14ac:dyDescent="0.15">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3:29" ht="13" x14ac:dyDescent="0.15">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3:29" ht="13" x14ac:dyDescent="0.15">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3:29" ht="13" x14ac:dyDescent="0.15">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3:29" ht="13" x14ac:dyDescent="0.15">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3:29" ht="13" x14ac:dyDescent="0.15">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3:29" ht="13" x14ac:dyDescent="0.15">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3:29" ht="13" x14ac:dyDescent="0.15">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3:29" ht="13" x14ac:dyDescent="0.15">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3:29" ht="13" x14ac:dyDescent="0.15">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3:29" ht="13" x14ac:dyDescent="0.15">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3:29" ht="13" x14ac:dyDescent="0.15">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3:29" ht="13" x14ac:dyDescent="0.15">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3:29" ht="13" x14ac:dyDescent="0.15">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3:29" ht="13" x14ac:dyDescent="0.15">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3:29" ht="13" x14ac:dyDescent="0.15">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3:29" ht="13" x14ac:dyDescent="0.15">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3:29" ht="13" x14ac:dyDescent="0.15">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3:29" ht="13" x14ac:dyDescent="0.15">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3:29" ht="13" x14ac:dyDescent="0.15">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3:29" ht="13" x14ac:dyDescent="0.15">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3:29" ht="13" x14ac:dyDescent="0.15">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3:29" ht="13" x14ac:dyDescent="0.15">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3:29" ht="13" x14ac:dyDescent="0.15">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3:29" ht="13" x14ac:dyDescent="0.15">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3:29" ht="13" x14ac:dyDescent="0.15">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3:29" ht="13" x14ac:dyDescent="0.15">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3:29" ht="13" x14ac:dyDescent="0.15">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3:29" ht="13" x14ac:dyDescent="0.15">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3:29" ht="13" x14ac:dyDescent="0.15">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3:29" ht="13" x14ac:dyDescent="0.15">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3:29" ht="13" x14ac:dyDescent="0.15">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3:29" ht="13" x14ac:dyDescent="0.15">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3:29" ht="13" x14ac:dyDescent="0.15">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3:29" ht="13" x14ac:dyDescent="0.15">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3:29" ht="13" x14ac:dyDescent="0.15">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3:29" ht="13" x14ac:dyDescent="0.15">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3:29" ht="13" x14ac:dyDescent="0.15">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3:29" ht="13" x14ac:dyDescent="0.15">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3:29" ht="13" x14ac:dyDescent="0.15">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3:29" ht="13" x14ac:dyDescent="0.15">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3:29" ht="13" x14ac:dyDescent="0.15">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3:29" ht="13" x14ac:dyDescent="0.15">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3:29" ht="13" x14ac:dyDescent="0.15">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3:29" ht="13" x14ac:dyDescent="0.15">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3:29" ht="13" x14ac:dyDescent="0.15">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3:29" ht="13" x14ac:dyDescent="0.15">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3:29" ht="13" x14ac:dyDescent="0.15">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3:29" ht="13" x14ac:dyDescent="0.15">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3:29" ht="13" x14ac:dyDescent="0.15">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3:29" ht="13" x14ac:dyDescent="0.15">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3:29" ht="13" x14ac:dyDescent="0.15">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3:29" ht="13" x14ac:dyDescent="0.15">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3:29" ht="13" x14ac:dyDescent="0.15">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3:29" ht="13" x14ac:dyDescent="0.15">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3:29" ht="13" x14ac:dyDescent="0.15">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3:29" ht="13" x14ac:dyDescent="0.15">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3:29" ht="13" x14ac:dyDescent="0.15">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3:29" ht="13" x14ac:dyDescent="0.15">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3:29" ht="13" x14ac:dyDescent="0.15">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3:29" ht="13" x14ac:dyDescent="0.15">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3:29" ht="13" x14ac:dyDescent="0.15">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3:29" ht="13" x14ac:dyDescent="0.15">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3:29" ht="13" x14ac:dyDescent="0.15">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3:29" ht="13" x14ac:dyDescent="0.15">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3:29" ht="13" x14ac:dyDescent="0.15">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3:29" ht="13" x14ac:dyDescent="0.15">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3:29" ht="13" x14ac:dyDescent="0.15">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3:29" ht="13" x14ac:dyDescent="0.15">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3:29" ht="13" x14ac:dyDescent="0.15">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3:29" ht="13" x14ac:dyDescent="0.15">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3:29" ht="13" x14ac:dyDescent="0.15">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3:29" ht="13" x14ac:dyDescent="0.15">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3:29" ht="13" x14ac:dyDescent="0.15">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3:29" ht="13" x14ac:dyDescent="0.15">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3:29" ht="13" x14ac:dyDescent="0.15">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3:29" ht="13" x14ac:dyDescent="0.15">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3:29" ht="13" x14ac:dyDescent="0.15">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3:29" ht="13" x14ac:dyDescent="0.15">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3:29" ht="13" x14ac:dyDescent="0.15">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3:29" ht="13" x14ac:dyDescent="0.15">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3:29" ht="13" x14ac:dyDescent="0.15">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3:29" ht="13" x14ac:dyDescent="0.15">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3:29" ht="13" x14ac:dyDescent="0.15">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3:29" ht="13" x14ac:dyDescent="0.15">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3:29" ht="13" x14ac:dyDescent="0.15">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3:29" ht="13" x14ac:dyDescent="0.15">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3:29" ht="13" x14ac:dyDescent="0.15">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3:29" ht="13" x14ac:dyDescent="0.15">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3:29" ht="13" x14ac:dyDescent="0.15">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3:29" ht="13" x14ac:dyDescent="0.15">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3:29" ht="13" x14ac:dyDescent="0.15">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3:29" ht="13" x14ac:dyDescent="0.15">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3:29" ht="13" x14ac:dyDescent="0.15">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3:29" ht="13" x14ac:dyDescent="0.15">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3:29" ht="13" x14ac:dyDescent="0.15">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3:29" ht="13" x14ac:dyDescent="0.15">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3:29" ht="13" x14ac:dyDescent="0.15">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3:29" ht="13" x14ac:dyDescent="0.15">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3:29" ht="13" x14ac:dyDescent="0.15">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3:29" ht="13" x14ac:dyDescent="0.15">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3:29" ht="13" x14ac:dyDescent="0.15">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3:29" ht="13" x14ac:dyDescent="0.15">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3:29" ht="13" x14ac:dyDescent="0.15">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3:29" ht="13" x14ac:dyDescent="0.15">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3:29" ht="13" x14ac:dyDescent="0.15">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3:29" ht="13" x14ac:dyDescent="0.15">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3:29" ht="13" x14ac:dyDescent="0.15">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3:29" ht="13" x14ac:dyDescent="0.15">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3:29" ht="13" x14ac:dyDescent="0.15">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3:29" ht="13" x14ac:dyDescent="0.15">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3:29" ht="13" x14ac:dyDescent="0.15">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3:29" ht="13" x14ac:dyDescent="0.15">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3:29" ht="13" x14ac:dyDescent="0.15">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3:29" ht="13" x14ac:dyDescent="0.15">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3:29" ht="13" x14ac:dyDescent="0.15">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3:29" ht="13" x14ac:dyDescent="0.15">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3:29" ht="13" x14ac:dyDescent="0.15">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3:29" ht="13" x14ac:dyDescent="0.15">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3:29" ht="13" x14ac:dyDescent="0.15">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3:29" ht="13" x14ac:dyDescent="0.15">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3:29" ht="13" x14ac:dyDescent="0.15">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3:29" ht="13" x14ac:dyDescent="0.15">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3:29" ht="13" x14ac:dyDescent="0.15">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3:29" ht="13" x14ac:dyDescent="0.15">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3:29" ht="13" x14ac:dyDescent="0.15">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3:29" ht="13" x14ac:dyDescent="0.15">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3:29" ht="13" x14ac:dyDescent="0.15">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3:29" ht="13" x14ac:dyDescent="0.15">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3:29" ht="13" x14ac:dyDescent="0.15">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3:29" ht="13" x14ac:dyDescent="0.15">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3:29" ht="13" x14ac:dyDescent="0.15">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3:29" ht="13" x14ac:dyDescent="0.15">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3:29" ht="13" x14ac:dyDescent="0.15">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3:29" ht="13" x14ac:dyDescent="0.15">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3:29" ht="13" x14ac:dyDescent="0.15">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3:29" ht="13" x14ac:dyDescent="0.15">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3:29" ht="13" x14ac:dyDescent="0.15">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3:29" ht="13" x14ac:dyDescent="0.15">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3:29" ht="13" x14ac:dyDescent="0.15">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3:29" ht="13" x14ac:dyDescent="0.15">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3:29" ht="13" x14ac:dyDescent="0.15">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3:29" ht="13" x14ac:dyDescent="0.15">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3:29" ht="13" x14ac:dyDescent="0.15">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3:29" ht="13" x14ac:dyDescent="0.15">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3:29" ht="13" x14ac:dyDescent="0.15">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3:29" ht="13" x14ac:dyDescent="0.15">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3:29" ht="13" x14ac:dyDescent="0.15">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3:29" ht="13" x14ac:dyDescent="0.15">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3:29" ht="13" x14ac:dyDescent="0.15">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3:29" ht="13" x14ac:dyDescent="0.15">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3:29" ht="13" x14ac:dyDescent="0.15">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3:29" ht="13" x14ac:dyDescent="0.15">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3:29" ht="13" x14ac:dyDescent="0.15">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3:29" ht="13" x14ac:dyDescent="0.15">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3:29" ht="13" x14ac:dyDescent="0.15">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3:29" ht="13" x14ac:dyDescent="0.15">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3:29" ht="13" x14ac:dyDescent="0.15">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3:29" ht="13" x14ac:dyDescent="0.15">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3:29" ht="13" x14ac:dyDescent="0.15">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3:29" ht="13" x14ac:dyDescent="0.15">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3:29" ht="13" x14ac:dyDescent="0.15">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3:29" ht="13" x14ac:dyDescent="0.15">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3:29" ht="13" x14ac:dyDescent="0.15">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3:29" ht="13" x14ac:dyDescent="0.15">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3:29" ht="13" x14ac:dyDescent="0.15">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3:29" ht="13" x14ac:dyDescent="0.15">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3:29" ht="13" x14ac:dyDescent="0.15">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3:29" ht="13" x14ac:dyDescent="0.15">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3:29" ht="13" x14ac:dyDescent="0.15">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3:29" ht="13" x14ac:dyDescent="0.15">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3:29" ht="13" x14ac:dyDescent="0.15">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3:29" ht="13" x14ac:dyDescent="0.15">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3:29" ht="13" x14ac:dyDescent="0.15">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3:29" ht="13" x14ac:dyDescent="0.15">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3:29" ht="13" x14ac:dyDescent="0.15">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3:29" ht="13" x14ac:dyDescent="0.15">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3:29" ht="13" x14ac:dyDescent="0.15">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3:29" ht="13" x14ac:dyDescent="0.15">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3:29" ht="13" x14ac:dyDescent="0.15">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3:29" ht="13" x14ac:dyDescent="0.15">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3:29" ht="13" x14ac:dyDescent="0.15">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3:29" ht="13" x14ac:dyDescent="0.15">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3:29" ht="13" x14ac:dyDescent="0.15">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3:29" ht="13" x14ac:dyDescent="0.15">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3:29" ht="13" x14ac:dyDescent="0.15">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3:29" ht="13" x14ac:dyDescent="0.15">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3:29" ht="13" x14ac:dyDescent="0.15">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3:29" ht="13" x14ac:dyDescent="0.15">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3:29" ht="13" x14ac:dyDescent="0.15">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3:29" ht="13" x14ac:dyDescent="0.15">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3:29" ht="13" x14ac:dyDescent="0.15">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3:29" ht="13" x14ac:dyDescent="0.15">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3:29" ht="13" x14ac:dyDescent="0.15">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3:29" ht="13" x14ac:dyDescent="0.15">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3:29" ht="13" x14ac:dyDescent="0.15">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3:29" ht="13" x14ac:dyDescent="0.15">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3:29" ht="13" x14ac:dyDescent="0.15">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3:29" ht="13" x14ac:dyDescent="0.15">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3:29" ht="13" x14ac:dyDescent="0.15">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3:29" ht="13" x14ac:dyDescent="0.15">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3:29" ht="13" x14ac:dyDescent="0.15">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3:29" ht="13" x14ac:dyDescent="0.15">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3:29" ht="13" x14ac:dyDescent="0.15">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3:29" ht="13" x14ac:dyDescent="0.15">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3:29" ht="13" x14ac:dyDescent="0.15">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3:29" ht="13" x14ac:dyDescent="0.15">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3:29" ht="13" x14ac:dyDescent="0.15">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3:29" ht="13" x14ac:dyDescent="0.15">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3:29" ht="13" x14ac:dyDescent="0.15">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3:29" ht="13" x14ac:dyDescent="0.15">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3:29" ht="13" x14ac:dyDescent="0.15">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3:29" ht="13" x14ac:dyDescent="0.15">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3:29" ht="13" x14ac:dyDescent="0.15">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3:29" ht="13" x14ac:dyDescent="0.15">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3:29" ht="13" x14ac:dyDescent="0.15">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3:29" ht="13" x14ac:dyDescent="0.15">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3:29" ht="13" x14ac:dyDescent="0.15">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3:29" ht="13" x14ac:dyDescent="0.15">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3:29" ht="13" x14ac:dyDescent="0.15">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3:29" ht="13" x14ac:dyDescent="0.15">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3:29" ht="13" x14ac:dyDescent="0.15">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3:29" ht="13" x14ac:dyDescent="0.15">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3:29" ht="13" x14ac:dyDescent="0.15">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3:29" ht="13" x14ac:dyDescent="0.15">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3:29" ht="13" x14ac:dyDescent="0.15">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3:29" ht="13" x14ac:dyDescent="0.15">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3:29" ht="13" x14ac:dyDescent="0.15">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3:29" ht="13" x14ac:dyDescent="0.15">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3:29" ht="13" x14ac:dyDescent="0.15">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3:29" ht="13" x14ac:dyDescent="0.15">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3:29" ht="13" x14ac:dyDescent="0.15">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3:29" ht="13" x14ac:dyDescent="0.15">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3:29" ht="13" x14ac:dyDescent="0.15">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3:29" ht="13" x14ac:dyDescent="0.15">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3:29" ht="13" x14ac:dyDescent="0.15">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3:29" ht="13" x14ac:dyDescent="0.15">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3:29" ht="13" x14ac:dyDescent="0.15">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3:29" ht="13" x14ac:dyDescent="0.15">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3:29" ht="13" x14ac:dyDescent="0.15">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3:29" ht="13" x14ac:dyDescent="0.15">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3:29" ht="13" x14ac:dyDescent="0.15">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3:29" ht="13" x14ac:dyDescent="0.15">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3:29" ht="13" x14ac:dyDescent="0.15">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3:29" ht="13" x14ac:dyDescent="0.15">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3:29" ht="13" x14ac:dyDescent="0.15">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3:29" ht="13" x14ac:dyDescent="0.15">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3:29" ht="13" x14ac:dyDescent="0.15">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3:29" ht="13" x14ac:dyDescent="0.15">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3:29" ht="13" x14ac:dyDescent="0.15">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3:29" ht="13" x14ac:dyDescent="0.15">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3:29" ht="13" x14ac:dyDescent="0.15">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3:29" ht="13" x14ac:dyDescent="0.15">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3:29" ht="13" x14ac:dyDescent="0.15">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3:29" ht="13" x14ac:dyDescent="0.15">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3:29" ht="13" x14ac:dyDescent="0.15">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3:29" ht="13" x14ac:dyDescent="0.15">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3:29" ht="13" x14ac:dyDescent="0.15">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3:29" ht="13" x14ac:dyDescent="0.15">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3:29" ht="13" x14ac:dyDescent="0.15">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3:29" ht="13" x14ac:dyDescent="0.15">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3:29" ht="13" x14ac:dyDescent="0.15">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3:29" ht="13" x14ac:dyDescent="0.15">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3:29" ht="13" x14ac:dyDescent="0.15">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3:29" ht="13" x14ac:dyDescent="0.15">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3:29" ht="13" x14ac:dyDescent="0.15">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3:29" ht="13" x14ac:dyDescent="0.15">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3:29" ht="13" x14ac:dyDescent="0.15">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3:29" ht="13" x14ac:dyDescent="0.15">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3:29" ht="13" x14ac:dyDescent="0.15">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3:29" ht="13" x14ac:dyDescent="0.15">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3:29" ht="13" x14ac:dyDescent="0.15">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3:29" ht="13" x14ac:dyDescent="0.15">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3:29" ht="13" x14ac:dyDescent="0.15">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3:29" ht="13" x14ac:dyDescent="0.15">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3:29" ht="13" x14ac:dyDescent="0.15">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3:29" ht="13" x14ac:dyDescent="0.15">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3:29" ht="13" x14ac:dyDescent="0.15">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3:29" ht="13" x14ac:dyDescent="0.15">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3:29" ht="13" x14ac:dyDescent="0.15">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3:29" ht="13" x14ac:dyDescent="0.15">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3:29" ht="13" x14ac:dyDescent="0.15">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3:29" ht="13" x14ac:dyDescent="0.15">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3:29" ht="13" x14ac:dyDescent="0.15">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3:29" ht="13" x14ac:dyDescent="0.15">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3:29" ht="13" x14ac:dyDescent="0.15">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3:29" ht="13" x14ac:dyDescent="0.15">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3:29" ht="13" x14ac:dyDescent="0.15">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3:29" ht="13" x14ac:dyDescent="0.15">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3:29" ht="13" x14ac:dyDescent="0.15">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3:29" ht="13" x14ac:dyDescent="0.15">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3:29" ht="13" x14ac:dyDescent="0.15">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3:29" ht="13" x14ac:dyDescent="0.15">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3:29" ht="13" x14ac:dyDescent="0.15">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3:29" ht="13" x14ac:dyDescent="0.15">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3:29" ht="13" x14ac:dyDescent="0.15">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3:29" ht="13" x14ac:dyDescent="0.15">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3:29" ht="13" x14ac:dyDescent="0.15">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3:29" ht="13" x14ac:dyDescent="0.15">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3:29" ht="13" x14ac:dyDescent="0.15">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3:29" ht="13" x14ac:dyDescent="0.15">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3:29" ht="13" x14ac:dyDescent="0.15">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3:29" ht="13" x14ac:dyDescent="0.15">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3:29" ht="13" x14ac:dyDescent="0.15">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3:29" ht="13" x14ac:dyDescent="0.15">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3:29" ht="13" x14ac:dyDescent="0.15">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3:29" ht="13" x14ac:dyDescent="0.15">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3:29" ht="13" x14ac:dyDescent="0.15">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3:29" ht="13" x14ac:dyDescent="0.15">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3:29" ht="13" x14ac:dyDescent="0.15">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3:29" ht="13" x14ac:dyDescent="0.15">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3:29" ht="13" x14ac:dyDescent="0.15">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3:29" ht="13" x14ac:dyDescent="0.15">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3:29" ht="13" x14ac:dyDescent="0.15">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3:29" ht="13" x14ac:dyDescent="0.15">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3:29" ht="13" x14ac:dyDescent="0.15">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3:29" ht="13" x14ac:dyDescent="0.15">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3:29" ht="13" x14ac:dyDescent="0.15">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3:29" ht="13" x14ac:dyDescent="0.15">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3:29" ht="13" x14ac:dyDescent="0.15">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3:29" ht="13" x14ac:dyDescent="0.15">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3:29" ht="13" x14ac:dyDescent="0.15">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3:29" ht="13" x14ac:dyDescent="0.15">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3:29" ht="13" x14ac:dyDescent="0.15">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3:29" ht="13" x14ac:dyDescent="0.15">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3:29" ht="13" x14ac:dyDescent="0.15">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3:29" ht="13" x14ac:dyDescent="0.15">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3:29" ht="13" x14ac:dyDescent="0.15">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3:29" ht="13" x14ac:dyDescent="0.15">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3:29" ht="13" x14ac:dyDescent="0.15">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3:29" ht="13" x14ac:dyDescent="0.15">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3:29" ht="13" x14ac:dyDescent="0.15">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3:29" ht="13" x14ac:dyDescent="0.15">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3:29" ht="13" x14ac:dyDescent="0.15">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3:29" ht="13" x14ac:dyDescent="0.15">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3:29" ht="13" x14ac:dyDescent="0.15">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3:29" ht="13" x14ac:dyDescent="0.15">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3:29" ht="13" x14ac:dyDescent="0.15">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3:29" ht="13" x14ac:dyDescent="0.15">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3:29" ht="13" x14ac:dyDescent="0.15">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3:29" ht="13" x14ac:dyDescent="0.15">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3:29" ht="13" x14ac:dyDescent="0.15">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3:29" ht="13" x14ac:dyDescent="0.15">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3:29" ht="13" x14ac:dyDescent="0.15">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3:29" ht="13" x14ac:dyDescent="0.15">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3:29" ht="13" x14ac:dyDescent="0.15">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3:29" ht="13" x14ac:dyDescent="0.15">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3:29" ht="13" x14ac:dyDescent="0.15">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3:29" ht="13" x14ac:dyDescent="0.15">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3:29" ht="13" x14ac:dyDescent="0.15">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3:29" ht="13" x14ac:dyDescent="0.15">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3:29" ht="13" x14ac:dyDescent="0.15">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3:29" ht="13" x14ac:dyDescent="0.15">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3:29" ht="13" x14ac:dyDescent="0.15">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3:29" ht="13" x14ac:dyDescent="0.15">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3:29" ht="13" x14ac:dyDescent="0.15">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3:29" ht="13" x14ac:dyDescent="0.15">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3:29" ht="13" x14ac:dyDescent="0.15">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3:29" ht="13" x14ac:dyDescent="0.15">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3:29" ht="13" x14ac:dyDescent="0.15">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3:29" ht="13" x14ac:dyDescent="0.15">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3:29" ht="13" x14ac:dyDescent="0.15">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3:29" ht="13" x14ac:dyDescent="0.15">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3:29" ht="13" x14ac:dyDescent="0.15">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3:29" ht="13" x14ac:dyDescent="0.15">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3:29" ht="13" x14ac:dyDescent="0.15">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3:29" ht="13" x14ac:dyDescent="0.15">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3:29" ht="13" x14ac:dyDescent="0.15">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3:29" ht="13" x14ac:dyDescent="0.15">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3:29" ht="13" x14ac:dyDescent="0.15">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3:29" ht="13" x14ac:dyDescent="0.15">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3:29" ht="13" x14ac:dyDescent="0.15">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3:29" ht="13" x14ac:dyDescent="0.1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3:29" ht="13" x14ac:dyDescent="0.15">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3:29" ht="13" x14ac:dyDescent="0.15">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spans="3:29" ht="13" x14ac:dyDescent="0.15">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spans="3:29" ht="13" x14ac:dyDescent="0.15">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spans="3:29" ht="13" x14ac:dyDescent="0.15">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sheetData>
  <mergeCells count="2">
    <mergeCell ref="Y1:Y2"/>
    <mergeCell ref="D42:L47"/>
  </mergeCells>
  <pageMargins left="0.7" right="0.7" top="0.75" bottom="0.75" header="0.3" footer="0.3"/>
  <ignoredErrors>
    <ignoredError sqref="J6:J7" emptyCellReferenc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2"/>
  <sheetViews>
    <sheetView showGridLines="0" workbookViewId="0">
      <selection activeCell="D23" sqref="D23"/>
    </sheetView>
  </sheetViews>
  <sheetFormatPr baseColWidth="10" defaultColWidth="12.6640625" defaultRowHeight="15.75" customHeight="1" x14ac:dyDescent="0.15"/>
  <cols>
    <col min="2" max="2" width="25.1640625" customWidth="1"/>
    <col min="3" max="3" width="70.1640625" customWidth="1"/>
    <col min="4" max="4" width="44.6640625" customWidth="1"/>
    <col min="5" max="5" width="27.1640625" customWidth="1"/>
  </cols>
  <sheetData>
    <row r="1" spans="1:26" ht="17" x14ac:dyDescent="0.2">
      <c r="A1" s="64" t="s">
        <v>27</v>
      </c>
      <c r="B1" s="65"/>
      <c r="C1" s="66"/>
      <c r="D1" s="65"/>
      <c r="E1" s="67"/>
      <c r="F1" s="67"/>
      <c r="G1" s="67"/>
      <c r="H1" s="67"/>
      <c r="I1" s="67"/>
      <c r="J1" s="67"/>
      <c r="K1" s="67"/>
      <c r="L1" s="67"/>
      <c r="M1" s="67"/>
      <c r="N1" s="67"/>
      <c r="O1" s="67"/>
      <c r="P1" s="67"/>
      <c r="Q1" s="67"/>
      <c r="R1" s="67"/>
      <c r="S1" s="67"/>
      <c r="T1" s="67"/>
      <c r="U1" s="67"/>
      <c r="V1" s="67"/>
      <c r="W1" s="67"/>
      <c r="X1" s="67"/>
      <c r="Y1" s="67"/>
      <c r="Z1" s="67"/>
    </row>
    <row r="2" spans="1:26" ht="15.75" customHeight="1" x14ac:dyDescent="0.15">
      <c r="A2" s="68"/>
      <c r="B2" s="65"/>
      <c r="C2" s="66"/>
      <c r="D2" s="65"/>
      <c r="E2" s="67"/>
      <c r="F2" s="67"/>
      <c r="G2" s="67"/>
      <c r="H2" s="67"/>
      <c r="I2" s="67"/>
      <c r="J2" s="67"/>
      <c r="K2" s="67"/>
      <c r="L2" s="67"/>
      <c r="M2" s="67"/>
      <c r="N2" s="67"/>
      <c r="O2" s="67"/>
      <c r="P2" s="67"/>
      <c r="Q2" s="67"/>
      <c r="R2" s="67"/>
      <c r="S2" s="67"/>
      <c r="T2" s="67"/>
      <c r="U2" s="67"/>
      <c r="V2" s="67"/>
      <c r="W2" s="67"/>
      <c r="X2" s="67"/>
      <c r="Y2" s="67"/>
      <c r="Z2" s="67"/>
    </row>
    <row r="3" spans="1:26" ht="15.75" customHeight="1" x14ac:dyDescent="0.15">
      <c r="A3" s="68"/>
      <c r="B3" s="65"/>
      <c r="C3" s="69"/>
      <c r="D3" s="65"/>
      <c r="E3" s="67"/>
      <c r="F3" s="67"/>
      <c r="G3" s="67"/>
      <c r="H3" s="67"/>
      <c r="I3" s="67"/>
      <c r="J3" s="67"/>
      <c r="K3" s="67"/>
      <c r="L3" s="67"/>
      <c r="M3" s="67"/>
      <c r="N3" s="67"/>
      <c r="O3" s="67"/>
      <c r="P3" s="67"/>
      <c r="Q3" s="67"/>
      <c r="R3" s="67"/>
      <c r="S3" s="67"/>
      <c r="T3" s="67"/>
      <c r="U3" s="67"/>
      <c r="V3" s="67"/>
      <c r="W3" s="67"/>
      <c r="X3" s="67"/>
      <c r="Y3" s="67"/>
      <c r="Z3" s="67"/>
    </row>
    <row r="4" spans="1:26" ht="15.75" customHeight="1" x14ac:dyDescent="0.15">
      <c r="A4" s="70" t="s">
        <v>28</v>
      </c>
      <c r="B4" s="70"/>
      <c r="C4" s="70"/>
      <c r="D4" s="70"/>
      <c r="E4" s="67"/>
      <c r="F4" s="67"/>
      <c r="G4" s="67"/>
      <c r="H4" s="67"/>
      <c r="I4" s="67"/>
      <c r="J4" s="67"/>
      <c r="K4" s="67"/>
      <c r="L4" s="67"/>
      <c r="M4" s="67"/>
      <c r="N4" s="67"/>
      <c r="O4" s="67"/>
      <c r="P4" s="67"/>
      <c r="Q4" s="67"/>
      <c r="R4" s="67"/>
      <c r="S4" s="67"/>
      <c r="T4" s="67"/>
      <c r="U4" s="67"/>
      <c r="V4" s="67"/>
      <c r="W4" s="67"/>
      <c r="X4" s="67"/>
      <c r="Y4" s="67"/>
      <c r="Z4" s="67"/>
    </row>
    <row r="5" spans="1:26" ht="26" x14ac:dyDescent="0.15">
      <c r="A5" s="71" t="s">
        <v>29</v>
      </c>
      <c r="B5" s="103" t="s">
        <v>30</v>
      </c>
      <c r="C5" s="103" t="s">
        <v>28</v>
      </c>
      <c r="D5" s="72" t="s">
        <v>31</v>
      </c>
      <c r="E5" s="67"/>
      <c r="F5" s="67"/>
      <c r="G5" s="67"/>
      <c r="H5" s="67"/>
      <c r="I5" s="67"/>
      <c r="J5" s="67"/>
      <c r="K5" s="67"/>
      <c r="L5" s="67"/>
      <c r="M5" s="67"/>
      <c r="N5" s="67"/>
      <c r="O5" s="67"/>
      <c r="P5" s="67"/>
      <c r="Q5" s="67"/>
      <c r="R5" s="67"/>
      <c r="S5" s="67"/>
      <c r="T5" s="67"/>
      <c r="U5" s="67"/>
      <c r="V5" s="67"/>
      <c r="W5" s="67"/>
      <c r="X5" s="67"/>
      <c r="Y5" s="67"/>
      <c r="Z5" s="67"/>
    </row>
    <row r="6" spans="1:26" ht="15.75" customHeight="1" x14ac:dyDescent="0.15">
      <c r="A6" s="73" t="s">
        <v>32</v>
      </c>
      <c r="B6" s="74">
        <v>1</v>
      </c>
      <c r="C6" s="75" t="s">
        <v>33</v>
      </c>
      <c r="D6" s="76">
        <v>6.7400000000000002E-2</v>
      </c>
      <c r="E6" s="67"/>
      <c r="F6" s="67"/>
      <c r="G6" s="77"/>
      <c r="H6" s="67"/>
      <c r="I6" s="67"/>
      <c r="J6" s="67"/>
      <c r="K6" s="67"/>
      <c r="L6" s="67"/>
      <c r="M6" s="67"/>
      <c r="N6" s="67"/>
      <c r="O6" s="67"/>
      <c r="P6" s="67"/>
      <c r="Q6" s="67"/>
      <c r="R6" s="67"/>
      <c r="S6" s="67"/>
      <c r="T6" s="67"/>
      <c r="U6" s="67"/>
      <c r="V6" s="67"/>
      <c r="W6" s="67"/>
      <c r="X6" s="67"/>
      <c r="Y6" s="67"/>
      <c r="Z6" s="67"/>
    </row>
    <row r="7" spans="1:26" ht="15.75" customHeight="1" x14ac:dyDescent="0.15">
      <c r="A7" s="78" t="s">
        <v>34</v>
      </c>
      <c r="B7" s="79">
        <v>1</v>
      </c>
      <c r="C7" s="80" t="s">
        <v>35</v>
      </c>
      <c r="D7" s="76">
        <v>1.1599999999999999</v>
      </c>
      <c r="E7" s="67"/>
      <c r="F7" s="67"/>
      <c r="G7" s="77"/>
      <c r="H7" s="67"/>
      <c r="I7" s="67"/>
      <c r="J7" s="67"/>
      <c r="K7" s="67"/>
      <c r="L7" s="67"/>
      <c r="M7" s="67"/>
      <c r="N7" s="67"/>
      <c r="O7" s="67"/>
      <c r="P7" s="67"/>
      <c r="Q7" s="67"/>
      <c r="R7" s="67"/>
      <c r="S7" s="67"/>
      <c r="T7" s="67"/>
      <c r="U7" s="67"/>
      <c r="V7" s="67"/>
      <c r="W7" s="67"/>
      <c r="X7" s="67"/>
      <c r="Y7" s="67"/>
      <c r="Z7" s="67"/>
    </row>
    <row r="8" spans="1:26" ht="15.75" customHeight="1" x14ac:dyDescent="0.15">
      <c r="A8" s="78" t="s">
        <v>36</v>
      </c>
      <c r="B8" s="79">
        <v>1</v>
      </c>
      <c r="C8" s="80" t="s">
        <v>37</v>
      </c>
      <c r="D8" s="76">
        <v>0.378</v>
      </c>
      <c r="E8" s="67"/>
      <c r="F8" s="67"/>
      <c r="G8" s="77"/>
      <c r="H8" s="67"/>
      <c r="I8" s="67"/>
      <c r="J8" s="67"/>
      <c r="K8" s="67"/>
      <c r="L8" s="67"/>
      <c r="M8" s="67"/>
      <c r="N8" s="67"/>
      <c r="O8" s="67"/>
      <c r="P8" s="67"/>
      <c r="Q8" s="67"/>
      <c r="R8" s="67"/>
      <c r="S8" s="67"/>
      <c r="T8" s="67"/>
      <c r="U8" s="67"/>
      <c r="V8" s="67"/>
      <c r="W8" s="67"/>
      <c r="X8" s="67"/>
      <c r="Y8" s="67"/>
      <c r="Z8" s="67"/>
    </row>
    <row r="9" spans="1:26" ht="15.75" customHeight="1" x14ac:dyDescent="0.15">
      <c r="A9" s="78" t="s">
        <v>38</v>
      </c>
      <c r="B9" s="79">
        <v>1</v>
      </c>
      <c r="C9" s="80" t="s">
        <v>39</v>
      </c>
      <c r="D9" s="76">
        <v>0.24099999999999999</v>
      </c>
      <c r="E9" s="67"/>
      <c r="F9" s="67"/>
      <c r="G9" s="77"/>
      <c r="H9" s="67"/>
      <c r="I9" s="67"/>
      <c r="J9" s="67"/>
      <c r="K9" s="67"/>
      <c r="L9" s="67"/>
      <c r="M9" s="67"/>
      <c r="N9" s="67"/>
      <c r="O9" s="67"/>
      <c r="P9" s="67"/>
      <c r="Q9" s="67"/>
      <c r="R9" s="67"/>
      <c r="S9" s="67"/>
      <c r="T9" s="67"/>
      <c r="U9" s="67"/>
      <c r="V9" s="67"/>
      <c r="W9" s="67"/>
      <c r="X9" s="67"/>
      <c r="Y9" s="67"/>
      <c r="Z9" s="67"/>
    </row>
    <row r="10" spans="1:26" ht="15.75" customHeight="1" x14ac:dyDescent="0.15">
      <c r="A10" s="78" t="s">
        <v>40</v>
      </c>
      <c r="B10" s="79">
        <v>1</v>
      </c>
      <c r="C10" s="80" t="s">
        <v>35</v>
      </c>
      <c r="D10" s="76">
        <v>1.1599999999999999</v>
      </c>
      <c r="E10" s="67"/>
      <c r="F10" s="67"/>
      <c r="G10" s="77"/>
      <c r="H10" s="67"/>
      <c r="I10" s="67"/>
      <c r="J10" s="67"/>
      <c r="K10" s="67"/>
      <c r="L10" s="67"/>
      <c r="M10" s="67"/>
      <c r="N10" s="67"/>
      <c r="O10" s="67"/>
      <c r="P10" s="67"/>
      <c r="Q10" s="67"/>
      <c r="R10" s="67"/>
      <c r="S10" s="67"/>
      <c r="T10" s="67"/>
      <c r="U10" s="67"/>
      <c r="V10" s="67"/>
      <c r="W10" s="67"/>
      <c r="X10" s="67"/>
      <c r="Y10" s="67"/>
      <c r="Z10" s="67"/>
    </row>
    <row r="11" spans="1:26" ht="15.75" customHeight="1" x14ac:dyDescent="0.15">
      <c r="A11" s="78" t="s">
        <v>41</v>
      </c>
      <c r="B11" s="79">
        <v>1</v>
      </c>
      <c r="C11" s="80" t="s">
        <v>42</v>
      </c>
      <c r="D11" s="76">
        <v>0.16</v>
      </c>
      <c r="E11" s="67"/>
      <c r="F11" s="67"/>
      <c r="G11" s="77"/>
      <c r="H11" s="67"/>
      <c r="I11" s="67"/>
      <c r="J11" s="67"/>
      <c r="K11" s="67"/>
      <c r="L11" s="67"/>
      <c r="M11" s="67"/>
      <c r="N11" s="67"/>
      <c r="O11" s="67"/>
      <c r="P11" s="67"/>
      <c r="Q11" s="67"/>
      <c r="R11" s="67"/>
      <c r="S11" s="67"/>
      <c r="T11" s="67"/>
      <c r="U11" s="67"/>
      <c r="V11" s="67"/>
      <c r="W11" s="67"/>
      <c r="X11" s="67"/>
      <c r="Y11" s="67"/>
      <c r="Z11" s="67"/>
    </row>
    <row r="12" spans="1:26" ht="15.75" customHeight="1" x14ac:dyDescent="0.15">
      <c r="A12" s="78" t="s">
        <v>43</v>
      </c>
      <c r="B12" s="79">
        <v>1</v>
      </c>
      <c r="C12" s="80" t="s">
        <v>42</v>
      </c>
      <c r="D12" s="76">
        <v>0.16</v>
      </c>
      <c r="E12" s="67"/>
      <c r="F12" s="67"/>
      <c r="G12" s="77"/>
      <c r="H12" s="67"/>
      <c r="I12" s="67"/>
      <c r="J12" s="67"/>
      <c r="K12" s="67"/>
      <c r="L12" s="67"/>
      <c r="M12" s="67"/>
      <c r="N12" s="67"/>
      <c r="O12" s="67"/>
      <c r="P12" s="67"/>
      <c r="Q12" s="67"/>
      <c r="R12" s="67"/>
      <c r="S12" s="67"/>
      <c r="T12" s="67"/>
      <c r="U12" s="67"/>
      <c r="V12" s="67"/>
      <c r="W12" s="67"/>
      <c r="X12" s="67"/>
      <c r="Y12" s="67"/>
      <c r="Z12" s="67"/>
    </row>
    <row r="13" spans="1:26" ht="15.75" customHeight="1" x14ac:dyDescent="0.15">
      <c r="A13" s="78" t="s">
        <v>44</v>
      </c>
      <c r="B13" s="81">
        <v>0.3</v>
      </c>
      <c r="C13" s="80" t="s">
        <v>42</v>
      </c>
      <c r="D13" s="76">
        <v>0.16</v>
      </c>
      <c r="E13" s="67"/>
      <c r="F13" s="67"/>
      <c r="G13" s="77"/>
      <c r="H13" s="67"/>
      <c r="I13" s="67"/>
      <c r="J13" s="67"/>
      <c r="K13" s="67"/>
      <c r="L13" s="67"/>
      <c r="M13" s="67"/>
      <c r="N13" s="67"/>
      <c r="O13" s="67"/>
      <c r="P13" s="67"/>
      <c r="Q13" s="67"/>
      <c r="R13" s="67"/>
      <c r="S13" s="67"/>
      <c r="T13" s="67"/>
      <c r="U13" s="67"/>
      <c r="V13" s="67"/>
      <c r="W13" s="67"/>
      <c r="X13" s="67"/>
      <c r="Y13" s="67"/>
      <c r="Z13" s="67"/>
    </row>
    <row r="14" spans="1:26" ht="15.75" customHeight="1" x14ac:dyDescent="0.15">
      <c r="A14" s="78" t="s">
        <v>45</v>
      </c>
      <c r="B14" s="81">
        <v>0.3</v>
      </c>
      <c r="C14" s="80" t="s">
        <v>42</v>
      </c>
      <c r="D14" s="76">
        <v>0.16</v>
      </c>
      <c r="E14" s="67"/>
      <c r="F14" s="67"/>
      <c r="G14" s="77"/>
      <c r="H14" s="67"/>
      <c r="I14" s="67"/>
      <c r="J14" s="67"/>
      <c r="K14" s="67"/>
      <c r="L14" s="67"/>
      <c r="M14" s="67"/>
      <c r="N14" s="67"/>
      <c r="O14" s="67"/>
      <c r="P14" s="67"/>
      <c r="Q14" s="67"/>
      <c r="R14" s="67"/>
      <c r="S14" s="67"/>
      <c r="T14" s="67"/>
      <c r="U14" s="67"/>
      <c r="V14" s="67"/>
      <c r="W14" s="67"/>
      <c r="X14" s="67"/>
      <c r="Y14" s="67"/>
      <c r="Z14" s="67"/>
    </row>
    <row r="15" spans="1:26" ht="15.75" customHeight="1" x14ac:dyDescent="0.15">
      <c r="A15" s="78" t="s">
        <v>46</v>
      </c>
      <c r="B15" s="81">
        <v>0.3</v>
      </c>
      <c r="C15" s="80" t="s">
        <v>42</v>
      </c>
      <c r="D15" s="76">
        <v>0.16</v>
      </c>
      <c r="E15" s="67"/>
      <c r="F15" s="67"/>
      <c r="G15" s="77"/>
      <c r="H15" s="67"/>
      <c r="I15" s="67"/>
      <c r="J15" s="67"/>
      <c r="K15" s="67"/>
      <c r="L15" s="67"/>
      <c r="M15" s="67"/>
      <c r="N15" s="67"/>
      <c r="O15" s="67"/>
      <c r="P15" s="67"/>
      <c r="Q15" s="67"/>
      <c r="R15" s="67"/>
      <c r="S15" s="67"/>
      <c r="T15" s="67"/>
      <c r="U15" s="67"/>
      <c r="V15" s="67"/>
      <c r="W15" s="67"/>
      <c r="X15" s="67"/>
      <c r="Y15" s="67"/>
      <c r="Z15" s="67"/>
    </row>
    <row r="16" spans="1:26" ht="15.75" customHeight="1" x14ac:dyDescent="0.15">
      <c r="A16" s="78" t="s">
        <v>47</v>
      </c>
      <c r="B16" s="81">
        <v>0.3</v>
      </c>
      <c r="C16" s="80" t="s">
        <v>42</v>
      </c>
      <c r="D16" s="76">
        <v>0.16</v>
      </c>
      <c r="E16" s="67"/>
      <c r="F16" s="67"/>
      <c r="G16" s="77"/>
      <c r="H16" s="67"/>
      <c r="I16" s="67"/>
      <c r="J16" s="67"/>
      <c r="K16" s="67"/>
      <c r="L16" s="67"/>
      <c r="M16" s="67"/>
      <c r="N16" s="67"/>
      <c r="O16" s="67"/>
      <c r="P16" s="67"/>
      <c r="Q16" s="67"/>
      <c r="R16" s="67"/>
      <c r="S16" s="67"/>
      <c r="T16" s="67"/>
      <c r="U16" s="67"/>
      <c r="V16" s="67"/>
      <c r="W16" s="67"/>
      <c r="X16" s="67"/>
      <c r="Y16" s="67"/>
      <c r="Z16" s="67"/>
    </row>
    <row r="17" spans="1:26" ht="15.75" customHeight="1" x14ac:dyDescent="0.15">
      <c r="A17" s="67"/>
      <c r="B17" s="65"/>
      <c r="C17" s="66"/>
      <c r="D17" s="65"/>
      <c r="E17" s="67"/>
      <c r="F17" s="67"/>
      <c r="G17" s="67"/>
      <c r="H17" s="67"/>
      <c r="I17" s="67"/>
      <c r="J17" s="67"/>
      <c r="K17" s="67"/>
      <c r="L17" s="67"/>
      <c r="M17" s="67"/>
      <c r="N17" s="67"/>
      <c r="O17" s="67"/>
      <c r="P17" s="67"/>
      <c r="Q17" s="67"/>
      <c r="R17" s="67"/>
      <c r="S17" s="67"/>
      <c r="T17" s="67"/>
      <c r="U17" s="67"/>
      <c r="V17" s="67"/>
      <c r="W17" s="67"/>
      <c r="X17" s="67"/>
      <c r="Y17" s="67"/>
      <c r="Z17" s="67"/>
    </row>
    <row r="18" spans="1:26" ht="15.75" customHeight="1" x14ac:dyDescent="0.15">
      <c r="A18" s="67"/>
      <c r="B18" s="65"/>
      <c r="C18" s="66"/>
      <c r="D18" s="65"/>
      <c r="E18" s="67"/>
      <c r="F18" s="67"/>
      <c r="G18" s="67"/>
      <c r="H18" s="67"/>
      <c r="I18" s="67"/>
      <c r="J18" s="67"/>
      <c r="K18" s="67"/>
      <c r="L18" s="67"/>
      <c r="M18" s="67"/>
      <c r="N18" s="67"/>
      <c r="O18" s="67"/>
      <c r="P18" s="67"/>
      <c r="Q18" s="67"/>
      <c r="R18" s="67"/>
      <c r="S18" s="67"/>
      <c r="T18" s="67"/>
      <c r="U18" s="67"/>
      <c r="V18" s="67"/>
      <c r="W18" s="67"/>
      <c r="X18" s="67"/>
      <c r="Y18" s="67"/>
      <c r="Z18" s="67"/>
    </row>
    <row r="19" spans="1:26" ht="15.75" customHeight="1" x14ac:dyDescent="0.15">
      <c r="A19" s="70" t="s">
        <v>48</v>
      </c>
      <c r="B19" s="70"/>
      <c r="C19" s="70" t="s">
        <v>49</v>
      </c>
      <c r="D19" s="70"/>
      <c r="E19" s="67"/>
      <c r="F19" s="67"/>
      <c r="G19" s="67"/>
      <c r="H19" s="67"/>
      <c r="I19" s="67"/>
      <c r="J19" s="67"/>
      <c r="K19" s="67"/>
      <c r="L19" s="67"/>
      <c r="M19" s="67"/>
      <c r="N19" s="67"/>
      <c r="O19" s="67"/>
      <c r="P19" s="67"/>
      <c r="Q19" s="67"/>
      <c r="R19" s="67"/>
      <c r="S19" s="67"/>
      <c r="T19" s="67"/>
      <c r="U19" s="67"/>
      <c r="V19" s="67"/>
      <c r="W19" s="67"/>
      <c r="X19" s="67"/>
      <c r="Y19" s="67"/>
      <c r="Z19" s="67"/>
    </row>
    <row r="20" spans="1:26" ht="26" x14ac:dyDescent="0.15">
      <c r="A20" s="71" t="s">
        <v>29</v>
      </c>
      <c r="B20" s="104" t="s">
        <v>50</v>
      </c>
      <c r="C20" s="104" t="s">
        <v>48</v>
      </c>
      <c r="D20" s="72" t="s">
        <v>31</v>
      </c>
      <c r="E20" s="67"/>
      <c r="F20" s="67"/>
      <c r="G20" s="67"/>
      <c r="H20" s="67"/>
      <c r="I20" s="67"/>
      <c r="J20" s="67"/>
      <c r="K20" s="67"/>
      <c r="L20" s="67"/>
      <c r="M20" s="67"/>
      <c r="N20" s="67"/>
      <c r="O20" s="67"/>
      <c r="P20" s="67"/>
      <c r="Q20" s="67"/>
      <c r="R20" s="67"/>
      <c r="S20" s="67"/>
      <c r="T20" s="67"/>
      <c r="U20" s="67"/>
      <c r="V20" s="67"/>
      <c r="W20" s="67"/>
      <c r="X20" s="67"/>
      <c r="Y20" s="67"/>
      <c r="Z20" s="67"/>
    </row>
    <row r="21" spans="1:26" ht="15.75" customHeight="1" x14ac:dyDescent="0.15">
      <c r="A21" s="73" t="s">
        <v>32</v>
      </c>
      <c r="B21" s="74">
        <v>0</v>
      </c>
      <c r="C21" s="75"/>
      <c r="D21" s="82">
        <v>0</v>
      </c>
      <c r="E21" s="67"/>
      <c r="F21" s="67"/>
      <c r="G21" s="67"/>
      <c r="H21" s="67"/>
      <c r="I21" s="67"/>
      <c r="J21" s="67"/>
      <c r="K21" s="67"/>
      <c r="L21" s="67"/>
      <c r="M21" s="67"/>
      <c r="N21" s="67"/>
      <c r="O21" s="67"/>
      <c r="P21" s="67"/>
      <c r="Q21" s="67"/>
      <c r="R21" s="67"/>
      <c r="S21" s="67"/>
      <c r="T21" s="67"/>
      <c r="U21" s="67"/>
      <c r="V21" s="67"/>
      <c r="W21" s="67"/>
      <c r="X21" s="67"/>
      <c r="Y21" s="67"/>
      <c r="Z21" s="67"/>
    </row>
    <row r="22" spans="1:26" ht="15.75" customHeight="1" x14ac:dyDescent="0.15">
      <c r="A22" s="78" t="s">
        <v>34</v>
      </c>
      <c r="B22" s="79">
        <v>0</v>
      </c>
      <c r="C22" s="80"/>
      <c r="D22" s="83">
        <v>0</v>
      </c>
      <c r="E22" s="67"/>
      <c r="F22" s="67"/>
      <c r="G22" s="67"/>
      <c r="H22" s="67"/>
      <c r="I22" s="67"/>
      <c r="J22" s="67"/>
      <c r="K22" s="67"/>
      <c r="L22" s="67"/>
      <c r="M22" s="67"/>
      <c r="N22" s="67"/>
      <c r="O22" s="67"/>
      <c r="P22" s="67"/>
      <c r="Q22" s="67"/>
      <c r="R22" s="67"/>
      <c r="S22" s="67"/>
      <c r="T22" s="67"/>
      <c r="U22" s="67"/>
      <c r="V22" s="67"/>
      <c r="W22" s="67"/>
      <c r="X22" s="67"/>
      <c r="Y22" s="67"/>
      <c r="Z22" s="67"/>
    </row>
    <row r="23" spans="1:26" ht="15.75" customHeight="1" x14ac:dyDescent="0.15">
      <c r="A23" s="78" t="s">
        <v>36</v>
      </c>
      <c r="B23" s="79">
        <v>0</v>
      </c>
      <c r="C23" s="80"/>
      <c r="D23" s="83">
        <v>0</v>
      </c>
      <c r="E23" s="67"/>
      <c r="F23" s="67"/>
      <c r="G23" s="67"/>
      <c r="H23" s="67"/>
      <c r="I23" s="67"/>
      <c r="J23" s="67"/>
      <c r="K23" s="67"/>
      <c r="L23" s="67"/>
      <c r="M23" s="67"/>
      <c r="N23" s="67"/>
      <c r="O23" s="67"/>
      <c r="P23" s="67"/>
      <c r="Q23" s="67"/>
      <c r="R23" s="67"/>
      <c r="S23" s="67"/>
      <c r="T23" s="67"/>
      <c r="U23" s="67"/>
      <c r="V23" s="67"/>
      <c r="W23" s="67"/>
      <c r="X23" s="67"/>
      <c r="Y23" s="67"/>
      <c r="Z23" s="67"/>
    </row>
    <row r="24" spans="1:26" ht="15.75" customHeight="1" x14ac:dyDescent="0.15">
      <c r="A24" s="78" t="s">
        <v>38</v>
      </c>
      <c r="B24" s="79">
        <v>0</v>
      </c>
      <c r="C24" s="80"/>
      <c r="D24" s="83">
        <v>0</v>
      </c>
      <c r="E24" s="67"/>
      <c r="F24" s="67"/>
      <c r="G24" s="67"/>
      <c r="H24" s="67"/>
      <c r="I24" s="67"/>
      <c r="J24" s="67"/>
      <c r="K24" s="67"/>
      <c r="L24" s="67"/>
      <c r="M24" s="67"/>
      <c r="N24" s="67"/>
      <c r="O24" s="67"/>
      <c r="P24" s="67"/>
      <c r="Q24" s="67"/>
      <c r="R24" s="67"/>
      <c r="S24" s="67"/>
      <c r="T24" s="67"/>
      <c r="U24" s="67"/>
      <c r="V24" s="67"/>
      <c r="W24" s="67"/>
      <c r="X24" s="67"/>
      <c r="Y24" s="67"/>
      <c r="Z24" s="67"/>
    </row>
    <row r="25" spans="1:26" ht="15.75" customHeight="1" x14ac:dyDescent="0.15">
      <c r="A25" s="78" t="s">
        <v>40</v>
      </c>
      <c r="B25" s="79">
        <v>0</v>
      </c>
      <c r="C25" s="80"/>
      <c r="D25" s="83">
        <v>0</v>
      </c>
      <c r="E25" s="67"/>
      <c r="F25" s="67"/>
      <c r="G25" s="67"/>
      <c r="H25" s="67"/>
      <c r="I25" s="67"/>
      <c r="J25" s="67"/>
      <c r="K25" s="67"/>
      <c r="L25" s="67"/>
      <c r="M25" s="67"/>
      <c r="N25" s="67"/>
      <c r="O25" s="67"/>
      <c r="P25" s="67"/>
      <c r="Q25" s="67"/>
      <c r="R25" s="67"/>
      <c r="S25" s="67"/>
      <c r="T25" s="67"/>
      <c r="U25" s="67"/>
      <c r="V25" s="67"/>
      <c r="W25" s="67"/>
      <c r="X25" s="67"/>
      <c r="Y25" s="67"/>
      <c r="Z25" s="67"/>
    </row>
    <row r="26" spans="1:26" ht="15.75" customHeight="1" x14ac:dyDescent="0.15">
      <c r="A26" s="78" t="s">
        <v>41</v>
      </c>
      <c r="B26" s="79">
        <v>0</v>
      </c>
      <c r="C26" s="80"/>
      <c r="D26" s="83">
        <v>0</v>
      </c>
      <c r="E26" s="67"/>
      <c r="F26" s="67"/>
      <c r="G26" s="67"/>
      <c r="H26" s="67"/>
      <c r="I26" s="67"/>
      <c r="J26" s="67"/>
      <c r="K26" s="67"/>
      <c r="L26" s="67"/>
      <c r="M26" s="67"/>
      <c r="N26" s="67"/>
      <c r="O26" s="67"/>
      <c r="P26" s="67"/>
      <c r="Q26" s="67"/>
      <c r="R26" s="67"/>
      <c r="S26" s="67"/>
      <c r="T26" s="67"/>
      <c r="U26" s="67"/>
      <c r="V26" s="67"/>
      <c r="W26" s="67"/>
      <c r="X26" s="67"/>
      <c r="Y26" s="67"/>
      <c r="Z26" s="67"/>
    </row>
    <row r="27" spans="1:26" ht="15.75" customHeight="1" x14ac:dyDescent="0.15">
      <c r="A27" s="78" t="s">
        <v>43</v>
      </c>
      <c r="B27" s="79">
        <v>0</v>
      </c>
      <c r="C27" s="80"/>
      <c r="D27" s="83">
        <v>0</v>
      </c>
      <c r="E27" s="67"/>
      <c r="F27" s="67"/>
      <c r="G27" s="67"/>
      <c r="H27" s="67"/>
      <c r="I27" s="67"/>
      <c r="J27" s="67"/>
      <c r="K27" s="67"/>
      <c r="L27" s="67"/>
      <c r="M27" s="67"/>
      <c r="N27" s="67"/>
      <c r="O27" s="67"/>
      <c r="P27" s="67"/>
      <c r="Q27" s="67"/>
      <c r="R27" s="67"/>
      <c r="S27" s="67"/>
      <c r="T27" s="67"/>
      <c r="U27" s="67"/>
      <c r="V27" s="67"/>
      <c r="W27" s="67"/>
      <c r="X27" s="67"/>
      <c r="Y27" s="67"/>
      <c r="Z27" s="67"/>
    </row>
    <row r="28" spans="1:26" ht="15.75" customHeight="1" x14ac:dyDescent="0.15">
      <c r="A28" s="78" t="s">
        <v>44</v>
      </c>
      <c r="B28" s="81">
        <v>0.7</v>
      </c>
      <c r="C28" s="80" t="s">
        <v>33</v>
      </c>
      <c r="D28" s="84">
        <f>D6</f>
        <v>6.7400000000000002E-2</v>
      </c>
      <c r="E28" s="67"/>
      <c r="F28" s="67"/>
      <c r="G28" s="67"/>
      <c r="H28" s="67"/>
      <c r="I28" s="67"/>
      <c r="J28" s="67"/>
      <c r="K28" s="67"/>
      <c r="L28" s="67"/>
      <c r="M28" s="67"/>
      <c r="N28" s="67"/>
      <c r="O28" s="67"/>
      <c r="P28" s="67"/>
      <c r="Q28" s="67"/>
      <c r="R28" s="67"/>
      <c r="S28" s="67"/>
      <c r="T28" s="67"/>
      <c r="U28" s="67"/>
      <c r="V28" s="67"/>
      <c r="W28" s="67"/>
      <c r="X28" s="67"/>
      <c r="Y28" s="67"/>
      <c r="Z28" s="67"/>
    </row>
    <row r="29" spans="1:26" ht="15.75" customHeight="1" x14ac:dyDescent="0.15">
      <c r="A29" s="78" t="s">
        <v>45</v>
      </c>
      <c r="B29" s="81">
        <v>0.7</v>
      </c>
      <c r="C29" s="80" t="s">
        <v>33</v>
      </c>
      <c r="D29" s="84">
        <f t="shared" ref="D29:D31" si="0">D28</f>
        <v>6.7400000000000002E-2</v>
      </c>
      <c r="E29" s="67"/>
      <c r="F29" s="67"/>
      <c r="G29" s="67"/>
      <c r="H29" s="67"/>
      <c r="I29" s="67"/>
      <c r="J29" s="67"/>
      <c r="K29" s="67"/>
      <c r="L29" s="67"/>
      <c r="M29" s="67"/>
      <c r="N29" s="67"/>
      <c r="O29" s="67"/>
      <c r="P29" s="67"/>
      <c r="Q29" s="67"/>
      <c r="R29" s="67"/>
      <c r="S29" s="67"/>
      <c r="T29" s="67"/>
      <c r="U29" s="67"/>
      <c r="V29" s="67"/>
      <c r="W29" s="67"/>
      <c r="X29" s="67"/>
      <c r="Y29" s="67"/>
      <c r="Z29" s="67"/>
    </row>
    <row r="30" spans="1:26" ht="15.75" customHeight="1" x14ac:dyDescent="0.15">
      <c r="A30" s="78" t="s">
        <v>46</v>
      </c>
      <c r="B30" s="81">
        <v>0.7</v>
      </c>
      <c r="C30" s="80" t="s">
        <v>33</v>
      </c>
      <c r="D30" s="84">
        <f t="shared" si="0"/>
        <v>6.7400000000000002E-2</v>
      </c>
      <c r="E30" s="67"/>
      <c r="F30" s="67"/>
      <c r="G30" s="67"/>
      <c r="H30" s="67"/>
      <c r="I30" s="67"/>
      <c r="J30" s="67"/>
      <c r="K30" s="67"/>
      <c r="L30" s="67"/>
      <c r="M30" s="67"/>
      <c r="N30" s="67"/>
      <c r="O30" s="67"/>
      <c r="P30" s="67"/>
      <c r="Q30" s="67"/>
      <c r="R30" s="67"/>
      <c r="S30" s="67"/>
      <c r="T30" s="67"/>
      <c r="U30" s="67"/>
      <c r="V30" s="67"/>
      <c r="W30" s="67"/>
      <c r="X30" s="67"/>
      <c r="Y30" s="67"/>
      <c r="Z30" s="67"/>
    </row>
    <row r="31" spans="1:26" ht="15.75" customHeight="1" x14ac:dyDescent="0.15">
      <c r="A31" s="78" t="s">
        <v>47</v>
      </c>
      <c r="B31" s="81">
        <v>0.7</v>
      </c>
      <c r="C31" s="80" t="s">
        <v>33</v>
      </c>
      <c r="D31" s="84">
        <f t="shared" si="0"/>
        <v>6.7400000000000002E-2</v>
      </c>
      <c r="E31" s="67"/>
      <c r="F31" s="67"/>
      <c r="G31" s="67"/>
      <c r="H31" s="67"/>
      <c r="I31" s="67"/>
      <c r="J31" s="67"/>
      <c r="K31" s="67"/>
      <c r="L31" s="67"/>
      <c r="M31" s="67"/>
      <c r="N31" s="67"/>
      <c r="O31" s="67"/>
      <c r="P31" s="67"/>
      <c r="Q31" s="67"/>
      <c r="R31" s="67"/>
      <c r="S31" s="67"/>
      <c r="T31" s="67"/>
      <c r="U31" s="67"/>
      <c r="V31" s="67"/>
      <c r="W31" s="67"/>
      <c r="X31" s="67"/>
      <c r="Y31" s="67"/>
      <c r="Z31" s="67"/>
    </row>
    <row r="32" spans="1:26" ht="15.75" customHeight="1" x14ac:dyDescent="0.15">
      <c r="A32" s="67"/>
      <c r="B32" s="65"/>
      <c r="C32" s="66"/>
      <c r="D32" s="65"/>
      <c r="E32" s="67"/>
      <c r="F32" s="67"/>
      <c r="G32" s="67"/>
      <c r="H32" s="67"/>
      <c r="I32" s="67"/>
      <c r="J32" s="67"/>
      <c r="K32" s="67"/>
      <c r="L32" s="67"/>
      <c r="M32" s="67"/>
      <c r="N32" s="67"/>
      <c r="O32" s="67"/>
      <c r="P32" s="67"/>
      <c r="Q32" s="67"/>
      <c r="R32" s="67"/>
      <c r="S32" s="67"/>
      <c r="T32" s="67"/>
      <c r="U32" s="67"/>
      <c r="V32" s="67"/>
      <c r="W32" s="67"/>
      <c r="X32" s="67"/>
      <c r="Y32" s="67"/>
      <c r="Z32" s="67"/>
    </row>
    <row r="33" spans="2:4" ht="15.75" customHeight="1" x14ac:dyDescent="0.15">
      <c r="B33" s="85"/>
      <c r="C33" s="86"/>
      <c r="D33" s="85"/>
    </row>
    <row r="34" spans="2:4" ht="15.75" customHeight="1" x14ac:dyDescent="0.15">
      <c r="B34" s="85"/>
      <c r="C34" s="86"/>
      <c r="D34" s="85"/>
    </row>
    <row r="35" spans="2:4" ht="15.75" customHeight="1" x14ac:dyDescent="0.15">
      <c r="B35" s="85"/>
      <c r="C35" s="86"/>
      <c r="D35" s="85"/>
    </row>
    <row r="36" spans="2:4" ht="15.75" customHeight="1" x14ac:dyDescent="0.15">
      <c r="B36" s="85"/>
      <c r="C36" s="86"/>
      <c r="D36" s="85"/>
    </row>
    <row r="37" spans="2:4" ht="15.75" customHeight="1" x14ac:dyDescent="0.15">
      <c r="B37" s="85"/>
      <c r="C37" s="86"/>
      <c r="D37" s="85"/>
    </row>
    <row r="38" spans="2:4" ht="15.75" customHeight="1" x14ac:dyDescent="0.15">
      <c r="B38" s="85"/>
      <c r="C38" s="86"/>
      <c r="D38" s="85"/>
    </row>
    <row r="39" spans="2:4" ht="15.75" customHeight="1" x14ac:dyDescent="0.15">
      <c r="B39" s="85"/>
      <c r="C39" s="86"/>
      <c r="D39" s="85"/>
    </row>
    <row r="40" spans="2:4" ht="15.75" customHeight="1" x14ac:dyDescent="0.15">
      <c r="B40" s="85"/>
      <c r="C40" s="86"/>
      <c r="D40" s="85"/>
    </row>
    <row r="41" spans="2:4" ht="15.75" customHeight="1" x14ac:dyDescent="0.15">
      <c r="B41" s="85"/>
      <c r="C41" s="86"/>
      <c r="D41" s="85"/>
    </row>
    <row r="42" spans="2:4" ht="15.75" customHeight="1" x14ac:dyDescent="0.15">
      <c r="B42" s="85"/>
      <c r="C42" s="86"/>
      <c r="D42" s="85"/>
    </row>
    <row r="43" spans="2:4" ht="15.75" customHeight="1" x14ac:dyDescent="0.15">
      <c r="B43" s="85"/>
      <c r="C43" s="86"/>
      <c r="D43" s="85"/>
    </row>
    <row r="44" spans="2:4" ht="15.75" customHeight="1" x14ac:dyDescent="0.15">
      <c r="B44" s="85"/>
      <c r="C44" s="86"/>
      <c r="D44" s="85"/>
    </row>
    <row r="45" spans="2:4" ht="15.75" customHeight="1" x14ac:dyDescent="0.15">
      <c r="B45" s="85"/>
      <c r="C45" s="86"/>
      <c r="D45" s="85"/>
    </row>
    <row r="46" spans="2:4" ht="15.75" customHeight="1" x14ac:dyDescent="0.15">
      <c r="B46" s="85"/>
      <c r="C46" s="86"/>
      <c r="D46" s="85"/>
    </row>
    <row r="47" spans="2:4" ht="15.75" customHeight="1" x14ac:dyDescent="0.15">
      <c r="B47" s="85"/>
      <c r="C47" s="86"/>
      <c r="D47" s="85"/>
    </row>
    <row r="48" spans="2:4" ht="15.75" customHeight="1" x14ac:dyDescent="0.15">
      <c r="B48" s="85"/>
      <c r="C48" s="86"/>
      <c r="D48" s="85"/>
    </row>
    <row r="49" spans="2:4" ht="15.75" customHeight="1" x14ac:dyDescent="0.15">
      <c r="B49" s="85"/>
      <c r="C49" s="86"/>
      <c r="D49" s="85"/>
    </row>
    <row r="50" spans="2:4" ht="15.75" customHeight="1" x14ac:dyDescent="0.15">
      <c r="B50" s="85"/>
      <c r="C50" s="86"/>
      <c r="D50" s="85"/>
    </row>
    <row r="51" spans="2:4" ht="13" x14ac:dyDescent="0.15">
      <c r="B51" s="85"/>
      <c r="C51" s="86"/>
      <c r="D51" s="85"/>
    </row>
    <row r="52" spans="2:4" ht="13" x14ac:dyDescent="0.15">
      <c r="B52" s="85"/>
      <c r="C52" s="86"/>
      <c r="D52" s="85"/>
    </row>
    <row r="53" spans="2:4" ht="13" x14ac:dyDescent="0.15">
      <c r="B53" s="85"/>
      <c r="C53" s="86"/>
      <c r="D53" s="85"/>
    </row>
    <row r="54" spans="2:4" ht="13" x14ac:dyDescent="0.15">
      <c r="B54" s="85"/>
      <c r="C54" s="86"/>
      <c r="D54" s="85"/>
    </row>
    <row r="55" spans="2:4" ht="13" x14ac:dyDescent="0.15">
      <c r="B55" s="85"/>
      <c r="C55" s="86"/>
      <c r="D55" s="85"/>
    </row>
    <row r="56" spans="2:4" ht="13" x14ac:dyDescent="0.15">
      <c r="B56" s="85"/>
      <c r="C56" s="86"/>
      <c r="D56" s="85"/>
    </row>
    <row r="57" spans="2:4" ht="13" x14ac:dyDescent="0.15">
      <c r="B57" s="85"/>
      <c r="C57" s="86"/>
      <c r="D57" s="85"/>
    </row>
    <row r="58" spans="2:4" ht="13" x14ac:dyDescent="0.15">
      <c r="B58" s="85"/>
      <c r="C58" s="86"/>
      <c r="D58" s="85"/>
    </row>
    <row r="59" spans="2:4" ht="13" x14ac:dyDescent="0.15">
      <c r="B59" s="85"/>
      <c r="C59" s="86"/>
      <c r="D59" s="85"/>
    </row>
    <row r="60" spans="2:4" ht="13" x14ac:dyDescent="0.15">
      <c r="B60" s="85"/>
      <c r="C60" s="86"/>
      <c r="D60" s="85"/>
    </row>
    <row r="61" spans="2:4" ht="13" x14ac:dyDescent="0.15">
      <c r="B61" s="85"/>
      <c r="C61" s="86"/>
      <c r="D61" s="85"/>
    </row>
    <row r="62" spans="2:4" ht="13" x14ac:dyDescent="0.15">
      <c r="B62" s="85"/>
      <c r="C62" s="86"/>
      <c r="D62" s="85"/>
    </row>
    <row r="63" spans="2:4" ht="13" x14ac:dyDescent="0.15">
      <c r="B63" s="85"/>
      <c r="C63" s="86"/>
      <c r="D63" s="85"/>
    </row>
    <row r="64" spans="2:4" ht="13" x14ac:dyDescent="0.15">
      <c r="B64" s="85"/>
      <c r="C64" s="86"/>
      <c r="D64" s="85"/>
    </row>
    <row r="65" spans="2:4" ht="13" x14ac:dyDescent="0.15">
      <c r="B65" s="85"/>
      <c r="C65" s="86"/>
      <c r="D65" s="85"/>
    </row>
    <row r="66" spans="2:4" ht="13" x14ac:dyDescent="0.15">
      <c r="B66" s="85"/>
      <c r="C66" s="86"/>
      <c r="D66" s="85"/>
    </row>
    <row r="67" spans="2:4" ht="13" x14ac:dyDescent="0.15">
      <c r="B67" s="85"/>
      <c r="C67" s="86"/>
      <c r="D67" s="85"/>
    </row>
    <row r="68" spans="2:4" ht="13" x14ac:dyDescent="0.15">
      <c r="B68" s="85"/>
      <c r="C68" s="86"/>
      <c r="D68" s="85"/>
    </row>
    <row r="69" spans="2:4" ht="13" x14ac:dyDescent="0.15">
      <c r="B69" s="85"/>
      <c r="C69" s="86"/>
      <c r="D69" s="85"/>
    </row>
    <row r="70" spans="2:4" ht="13" x14ac:dyDescent="0.15">
      <c r="B70" s="85"/>
      <c r="C70" s="86"/>
      <c r="D70" s="85"/>
    </row>
    <row r="71" spans="2:4" ht="13" x14ac:dyDescent="0.15">
      <c r="B71" s="85"/>
      <c r="C71" s="86"/>
      <c r="D71" s="85"/>
    </row>
    <row r="72" spans="2:4" ht="13" x14ac:dyDescent="0.15">
      <c r="B72" s="85"/>
      <c r="C72" s="86"/>
      <c r="D72" s="85"/>
    </row>
    <row r="73" spans="2:4" ht="13" x14ac:dyDescent="0.15">
      <c r="B73" s="85"/>
      <c r="C73" s="86"/>
      <c r="D73" s="85"/>
    </row>
    <row r="74" spans="2:4" ht="13" x14ac:dyDescent="0.15">
      <c r="B74" s="85"/>
      <c r="C74" s="86"/>
      <c r="D74" s="85"/>
    </row>
    <row r="75" spans="2:4" ht="13" x14ac:dyDescent="0.15">
      <c r="B75" s="85"/>
      <c r="C75" s="86"/>
      <c r="D75" s="85"/>
    </row>
    <row r="76" spans="2:4" ht="13" x14ac:dyDescent="0.15">
      <c r="B76" s="85"/>
      <c r="C76" s="86"/>
      <c r="D76" s="85"/>
    </row>
    <row r="77" spans="2:4" ht="13" x14ac:dyDescent="0.15">
      <c r="B77" s="85"/>
      <c r="C77" s="86"/>
      <c r="D77" s="85"/>
    </row>
    <row r="78" spans="2:4" ht="13" x14ac:dyDescent="0.15">
      <c r="B78" s="85"/>
      <c r="C78" s="86"/>
      <c r="D78" s="85"/>
    </row>
    <row r="79" spans="2:4" ht="13" x14ac:dyDescent="0.15">
      <c r="B79" s="85"/>
      <c r="C79" s="86"/>
      <c r="D79" s="85"/>
    </row>
    <row r="80" spans="2:4" ht="13" x14ac:dyDescent="0.15">
      <c r="B80" s="85"/>
      <c r="C80" s="86"/>
      <c r="D80" s="85"/>
    </row>
    <row r="81" spans="2:4" ht="13" x14ac:dyDescent="0.15">
      <c r="B81" s="85"/>
      <c r="C81" s="86"/>
      <c r="D81" s="85"/>
    </row>
    <row r="82" spans="2:4" ht="13" x14ac:dyDescent="0.15">
      <c r="B82" s="85"/>
      <c r="C82" s="86"/>
      <c r="D82" s="85"/>
    </row>
    <row r="83" spans="2:4" ht="13" x14ac:dyDescent="0.15">
      <c r="B83" s="85"/>
      <c r="C83" s="86"/>
      <c r="D83" s="85"/>
    </row>
    <row r="84" spans="2:4" ht="13" x14ac:dyDescent="0.15">
      <c r="B84" s="85"/>
      <c r="C84" s="86"/>
      <c r="D84" s="85"/>
    </row>
    <row r="85" spans="2:4" ht="13" x14ac:dyDescent="0.15">
      <c r="B85" s="85"/>
      <c r="C85" s="86"/>
      <c r="D85" s="85"/>
    </row>
    <row r="86" spans="2:4" ht="13" x14ac:dyDescent="0.15">
      <c r="B86" s="85"/>
      <c r="C86" s="86"/>
      <c r="D86" s="85"/>
    </row>
    <row r="87" spans="2:4" ht="13" x14ac:dyDescent="0.15">
      <c r="B87" s="85"/>
      <c r="C87" s="86"/>
      <c r="D87" s="85"/>
    </row>
    <row r="88" spans="2:4" ht="13" x14ac:dyDescent="0.15">
      <c r="B88" s="85"/>
      <c r="C88" s="86"/>
      <c r="D88" s="85"/>
    </row>
    <row r="89" spans="2:4" ht="13" x14ac:dyDescent="0.15">
      <c r="B89" s="85"/>
      <c r="C89" s="86"/>
      <c r="D89" s="85"/>
    </row>
    <row r="90" spans="2:4" ht="13" x14ac:dyDescent="0.15">
      <c r="B90" s="85"/>
      <c r="C90" s="86"/>
      <c r="D90" s="85"/>
    </row>
    <row r="91" spans="2:4" ht="13" x14ac:dyDescent="0.15">
      <c r="B91" s="85"/>
      <c r="C91" s="86"/>
      <c r="D91" s="85"/>
    </row>
    <row r="92" spans="2:4" ht="13" x14ac:dyDescent="0.15">
      <c r="B92" s="85"/>
      <c r="C92" s="86"/>
      <c r="D92" s="85"/>
    </row>
    <row r="93" spans="2:4" ht="13" x14ac:dyDescent="0.15">
      <c r="B93" s="85"/>
      <c r="C93" s="86"/>
      <c r="D93" s="85"/>
    </row>
    <row r="94" spans="2:4" ht="13" x14ac:dyDescent="0.15">
      <c r="B94" s="85"/>
      <c r="C94" s="86"/>
      <c r="D94" s="85"/>
    </row>
    <row r="95" spans="2:4" ht="13" x14ac:dyDescent="0.15">
      <c r="B95" s="85"/>
      <c r="C95" s="86"/>
      <c r="D95" s="85"/>
    </row>
    <row r="96" spans="2:4" ht="13" x14ac:dyDescent="0.15">
      <c r="B96" s="85"/>
      <c r="C96" s="86"/>
      <c r="D96" s="85"/>
    </row>
    <row r="97" spans="2:4" ht="13" x14ac:dyDescent="0.15">
      <c r="B97" s="85"/>
      <c r="C97" s="86"/>
      <c r="D97" s="85"/>
    </row>
    <row r="98" spans="2:4" ht="13" x14ac:dyDescent="0.15">
      <c r="B98" s="85"/>
      <c r="C98" s="86"/>
      <c r="D98" s="85"/>
    </row>
    <row r="99" spans="2:4" ht="13" x14ac:dyDescent="0.15">
      <c r="B99" s="85"/>
      <c r="C99" s="86"/>
      <c r="D99" s="85"/>
    </row>
    <row r="100" spans="2:4" ht="13" x14ac:dyDescent="0.15">
      <c r="B100" s="85"/>
      <c r="C100" s="86"/>
      <c r="D100" s="85"/>
    </row>
    <row r="101" spans="2:4" ht="13" x14ac:dyDescent="0.15">
      <c r="B101" s="85"/>
      <c r="C101" s="86"/>
      <c r="D101" s="85"/>
    </row>
    <row r="102" spans="2:4" ht="13" x14ac:dyDescent="0.15">
      <c r="B102" s="85"/>
      <c r="C102" s="86"/>
      <c r="D102" s="85"/>
    </row>
    <row r="103" spans="2:4" ht="13" x14ac:dyDescent="0.15">
      <c r="B103" s="85"/>
      <c r="C103" s="86"/>
      <c r="D103" s="85"/>
    </row>
    <row r="104" spans="2:4" ht="13" x14ac:dyDescent="0.15">
      <c r="B104" s="85"/>
      <c r="C104" s="86"/>
      <c r="D104" s="85"/>
    </row>
    <row r="105" spans="2:4" ht="13" x14ac:dyDescent="0.15">
      <c r="B105" s="85"/>
      <c r="C105" s="86"/>
      <c r="D105" s="85"/>
    </row>
    <row r="106" spans="2:4" ht="13" x14ac:dyDescent="0.15">
      <c r="B106" s="85"/>
      <c r="C106" s="86"/>
      <c r="D106" s="85"/>
    </row>
    <row r="107" spans="2:4" ht="13" x14ac:dyDescent="0.15">
      <c r="B107" s="85"/>
      <c r="C107" s="86"/>
      <c r="D107" s="85"/>
    </row>
    <row r="108" spans="2:4" ht="13" x14ac:dyDescent="0.15">
      <c r="B108" s="85"/>
      <c r="C108" s="86"/>
      <c r="D108" s="85"/>
    </row>
    <row r="109" spans="2:4" ht="13" x14ac:dyDescent="0.15">
      <c r="B109" s="85"/>
      <c r="C109" s="86"/>
      <c r="D109" s="85"/>
    </row>
    <row r="110" spans="2:4" ht="13" x14ac:dyDescent="0.15">
      <c r="B110" s="85"/>
      <c r="C110" s="86"/>
      <c r="D110" s="85"/>
    </row>
    <row r="111" spans="2:4" ht="13" x14ac:dyDescent="0.15">
      <c r="B111" s="85"/>
      <c r="C111" s="86"/>
      <c r="D111" s="85"/>
    </row>
    <row r="112" spans="2:4" ht="13" x14ac:dyDescent="0.15">
      <c r="B112" s="85"/>
      <c r="C112" s="86"/>
      <c r="D112" s="85"/>
    </row>
    <row r="113" spans="2:4" ht="13" x14ac:dyDescent="0.15">
      <c r="B113" s="85"/>
      <c r="C113" s="86"/>
      <c r="D113" s="85"/>
    </row>
    <row r="114" spans="2:4" ht="13" x14ac:dyDescent="0.15">
      <c r="B114" s="85"/>
      <c r="C114" s="86"/>
      <c r="D114" s="85"/>
    </row>
    <row r="115" spans="2:4" ht="13" x14ac:dyDescent="0.15">
      <c r="B115" s="85"/>
      <c r="C115" s="86"/>
      <c r="D115" s="85"/>
    </row>
    <row r="116" spans="2:4" ht="13" x14ac:dyDescent="0.15">
      <c r="B116" s="85"/>
      <c r="C116" s="86"/>
      <c r="D116" s="85"/>
    </row>
    <row r="117" spans="2:4" ht="13" x14ac:dyDescent="0.15">
      <c r="B117" s="85"/>
      <c r="C117" s="86"/>
      <c r="D117" s="85"/>
    </row>
    <row r="118" spans="2:4" ht="13" x14ac:dyDescent="0.15">
      <c r="B118" s="85"/>
      <c r="C118" s="86"/>
      <c r="D118" s="85"/>
    </row>
    <row r="119" spans="2:4" ht="13" x14ac:dyDescent="0.15">
      <c r="B119" s="85"/>
      <c r="C119" s="86"/>
      <c r="D119" s="85"/>
    </row>
    <row r="120" spans="2:4" ht="13" x14ac:dyDescent="0.15">
      <c r="B120" s="85"/>
      <c r="C120" s="86"/>
      <c r="D120" s="85"/>
    </row>
    <row r="121" spans="2:4" ht="13" x14ac:dyDescent="0.15">
      <c r="B121" s="85"/>
      <c r="C121" s="86"/>
      <c r="D121" s="85"/>
    </row>
    <row r="122" spans="2:4" ht="13" x14ac:dyDescent="0.15">
      <c r="B122" s="85"/>
      <c r="C122" s="86"/>
      <c r="D122" s="85"/>
    </row>
    <row r="123" spans="2:4" ht="13" x14ac:dyDescent="0.15">
      <c r="B123" s="85"/>
      <c r="C123" s="86"/>
      <c r="D123" s="85"/>
    </row>
    <row r="124" spans="2:4" ht="13" x14ac:dyDescent="0.15">
      <c r="B124" s="85"/>
      <c r="C124" s="86"/>
      <c r="D124" s="85"/>
    </row>
    <row r="125" spans="2:4" ht="13" x14ac:dyDescent="0.15">
      <c r="B125" s="85"/>
      <c r="C125" s="86"/>
      <c r="D125" s="85"/>
    </row>
    <row r="126" spans="2:4" ht="13" x14ac:dyDescent="0.15">
      <c r="B126" s="85"/>
      <c r="C126" s="86"/>
      <c r="D126" s="85"/>
    </row>
    <row r="127" spans="2:4" ht="13" x14ac:dyDescent="0.15">
      <c r="B127" s="85"/>
      <c r="C127" s="86"/>
      <c r="D127" s="85"/>
    </row>
    <row r="128" spans="2:4" ht="13" x14ac:dyDescent="0.15">
      <c r="B128" s="85"/>
      <c r="C128" s="86"/>
      <c r="D128" s="85"/>
    </row>
    <row r="129" spans="2:4" ht="13" x14ac:dyDescent="0.15">
      <c r="B129" s="85"/>
      <c r="C129" s="86"/>
      <c r="D129" s="85"/>
    </row>
    <row r="130" spans="2:4" ht="13" x14ac:dyDescent="0.15">
      <c r="B130" s="85"/>
      <c r="C130" s="86"/>
      <c r="D130" s="85"/>
    </row>
    <row r="131" spans="2:4" ht="13" x14ac:dyDescent="0.15">
      <c r="B131" s="85"/>
      <c r="C131" s="86"/>
      <c r="D131" s="85"/>
    </row>
    <row r="132" spans="2:4" ht="13" x14ac:dyDescent="0.15">
      <c r="B132" s="85"/>
      <c r="C132" s="86"/>
      <c r="D132" s="85"/>
    </row>
    <row r="133" spans="2:4" ht="13" x14ac:dyDescent="0.15">
      <c r="B133" s="85"/>
      <c r="C133" s="86"/>
      <c r="D133" s="85"/>
    </row>
    <row r="134" spans="2:4" ht="13" x14ac:dyDescent="0.15">
      <c r="B134" s="85"/>
      <c r="C134" s="86"/>
      <c r="D134" s="85"/>
    </row>
    <row r="135" spans="2:4" ht="13" x14ac:dyDescent="0.15">
      <c r="B135" s="85"/>
      <c r="C135" s="86"/>
      <c r="D135" s="85"/>
    </row>
    <row r="136" spans="2:4" ht="13" x14ac:dyDescent="0.15">
      <c r="B136" s="85"/>
      <c r="C136" s="86"/>
      <c r="D136" s="85"/>
    </row>
    <row r="137" spans="2:4" ht="13" x14ac:dyDescent="0.15">
      <c r="B137" s="85"/>
      <c r="C137" s="86"/>
      <c r="D137" s="85"/>
    </row>
    <row r="138" spans="2:4" ht="13" x14ac:dyDescent="0.15">
      <c r="B138" s="85"/>
      <c r="C138" s="86"/>
      <c r="D138" s="85"/>
    </row>
    <row r="139" spans="2:4" ht="13" x14ac:dyDescent="0.15">
      <c r="B139" s="85"/>
      <c r="C139" s="86"/>
      <c r="D139" s="85"/>
    </row>
    <row r="140" spans="2:4" ht="13" x14ac:dyDescent="0.15">
      <c r="B140" s="85"/>
      <c r="C140" s="86"/>
      <c r="D140" s="85"/>
    </row>
    <row r="141" spans="2:4" ht="13" x14ac:dyDescent="0.15">
      <c r="B141" s="85"/>
      <c r="C141" s="86"/>
      <c r="D141" s="85"/>
    </row>
    <row r="142" spans="2:4" ht="13" x14ac:dyDescent="0.15">
      <c r="B142" s="85"/>
      <c r="C142" s="86"/>
      <c r="D142" s="85"/>
    </row>
    <row r="143" spans="2:4" ht="13" x14ac:dyDescent="0.15">
      <c r="B143" s="85"/>
      <c r="C143" s="86"/>
      <c r="D143" s="85"/>
    </row>
    <row r="144" spans="2:4" ht="13" x14ac:dyDescent="0.15">
      <c r="B144" s="85"/>
      <c r="C144" s="86"/>
      <c r="D144" s="85"/>
    </row>
    <row r="145" spans="2:4" ht="13" x14ac:dyDescent="0.15">
      <c r="B145" s="85"/>
      <c r="C145" s="86"/>
      <c r="D145" s="85"/>
    </row>
    <row r="146" spans="2:4" ht="13" x14ac:dyDescent="0.15">
      <c r="B146" s="85"/>
      <c r="C146" s="86"/>
      <c r="D146" s="85"/>
    </row>
    <row r="147" spans="2:4" ht="13" x14ac:dyDescent="0.15">
      <c r="B147" s="85"/>
      <c r="C147" s="86"/>
      <c r="D147" s="85"/>
    </row>
    <row r="148" spans="2:4" ht="13" x14ac:dyDescent="0.15">
      <c r="B148" s="85"/>
      <c r="C148" s="86"/>
      <c r="D148" s="85"/>
    </row>
    <row r="149" spans="2:4" ht="13" x14ac:dyDescent="0.15">
      <c r="B149" s="85"/>
      <c r="C149" s="86"/>
      <c r="D149" s="85"/>
    </row>
    <row r="150" spans="2:4" ht="13" x14ac:dyDescent="0.15">
      <c r="B150" s="85"/>
      <c r="C150" s="86"/>
      <c r="D150" s="85"/>
    </row>
    <row r="151" spans="2:4" ht="13" x14ac:dyDescent="0.15">
      <c r="B151" s="85"/>
      <c r="C151" s="86"/>
      <c r="D151" s="85"/>
    </row>
    <row r="152" spans="2:4" ht="13" x14ac:dyDescent="0.15">
      <c r="B152" s="85"/>
      <c r="C152" s="86"/>
      <c r="D152" s="85"/>
    </row>
    <row r="153" spans="2:4" ht="13" x14ac:dyDescent="0.15">
      <c r="B153" s="85"/>
      <c r="C153" s="86"/>
      <c r="D153" s="85"/>
    </row>
    <row r="154" spans="2:4" ht="13" x14ac:dyDescent="0.15">
      <c r="B154" s="85"/>
      <c r="C154" s="86"/>
      <c r="D154" s="85"/>
    </row>
    <row r="155" spans="2:4" ht="13" x14ac:dyDescent="0.15">
      <c r="B155" s="85"/>
      <c r="C155" s="86"/>
      <c r="D155" s="85"/>
    </row>
    <row r="156" spans="2:4" ht="13" x14ac:dyDescent="0.15">
      <c r="B156" s="85"/>
      <c r="C156" s="86"/>
      <c r="D156" s="85"/>
    </row>
    <row r="157" spans="2:4" ht="13" x14ac:dyDescent="0.15">
      <c r="B157" s="85"/>
      <c r="C157" s="86"/>
      <c r="D157" s="85"/>
    </row>
    <row r="158" spans="2:4" ht="13" x14ac:dyDescent="0.15">
      <c r="B158" s="85"/>
      <c r="C158" s="86"/>
      <c r="D158" s="85"/>
    </row>
    <row r="159" spans="2:4" ht="13" x14ac:dyDescent="0.15">
      <c r="B159" s="85"/>
      <c r="C159" s="86"/>
      <c r="D159" s="85"/>
    </row>
    <row r="160" spans="2:4" ht="13" x14ac:dyDescent="0.15">
      <c r="B160" s="85"/>
      <c r="C160" s="86"/>
      <c r="D160" s="85"/>
    </row>
    <row r="161" spans="2:4" ht="13" x14ac:dyDescent="0.15">
      <c r="B161" s="85"/>
      <c r="C161" s="86"/>
      <c r="D161" s="85"/>
    </row>
    <row r="162" spans="2:4" ht="13" x14ac:dyDescent="0.15">
      <c r="B162" s="85"/>
      <c r="C162" s="86"/>
      <c r="D162" s="85"/>
    </row>
    <row r="163" spans="2:4" ht="13" x14ac:dyDescent="0.15">
      <c r="B163" s="85"/>
      <c r="C163" s="86"/>
      <c r="D163" s="85"/>
    </row>
    <row r="164" spans="2:4" ht="13" x14ac:dyDescent="0.15">
      <c r="B164" s="85"/>
      <c r="C164" s="86"/>
      <c r="D164" s="85"/>
    </row>
    <row r="165" spans="2:4" ht="13" x14ac:dyDescent="0.15">
      <c r="B165" s="85"/>
      <c r="C165" s="86"/>
      <c r="D165" s="85"/>
    </row>
    <row r="166" spans="2:4" ht="13" x14ac:dyDescent="0.15">
      <c r="B166" s="85"/>
      <c r="C166" s="86"/>
      <c r="D166" s="85"/>
    </row>
    <row r="167" spans="2:4" ht="13" x14ac:dyDescent="0.15">
      <c r="B167" s="85"/>
      <c r="C167" s="86"/>
      <c r="D167" s="85"/>
    </row>
    <row r="168" spans="2:4" ht="13" x14ac:dyDescent="0.15">
      <c r="B168" s="85"/>
      <c r="C168" s="86"/>
      <c r="D168" s="85"/>
    </row>
    <row r="169" spans="2:4" ht="13" x14ac:dyDescent="0.15">
      <c r="B169" s="85"/>
      <c r="C169" s="86"/>
      <c r="D169" s="85"/>
    </row>
    <row r="170" spans="2:4" ht="13" x14ac:dyDescent="0.15">
      <c r="B170" s="85"/>
      <c r="C170" s="86"/>
      <c r="D170" s="85"/>
    </row>
    <row r="171" spans="2:4" ht="13" x14ac:dyDescent="0.15">
      <c r="B171" s="85"/>
      <c r="C171" s="86"/>
      <c r="D171" s="85"/>
    </row>
    <row r="172" spans="2:4" ht="13" x14ac:dyDescent="0.15">
      <c r="B172" s="85"/>
      <c r="C172" s="86"/>
      <c r="D172" s="85"/>
    </row>
    <row r="173" spans="2:4" ht="13" x14ac:dyDescent="0.15">
      <c r="B173" s="85"/>
      <c r="C173" s="86"/>
      <c r="D173" s="85"/>
    </row>
    <row r="174" spans="2:4" ht="13" x14ac:dyDescent="0.15">
      <c r="B174" s="85"/>
      <c r="C174" s="86"/>
      <c r="D174" s="85"/>
    </row>
    <row r="175" spans="2:4" ht="13" x14ac:dyDescent="0.15">
      <c r="B175" s="85"/>
      <c r="C175" s="86"/>
      <c r="D175" s="85"/>
    </row>
    <row r="176" spans="2:4" ht="13" x14ac:dyDescent="0.15">
      <c r="B176" s="85"/>
      <c r="C176" s="86"/>
      <c r="D176" s="85"/>
    </row>
    <row r="177" spans="2:4" ht="13" x14ac:dyDescent="0.15">
      <c r="B177" s="85"/>
      <c r="C177" s="86"/>
      <c r="D177" s="85"/>
    </row>
    <row r="178" spans="2:4" ht="13" x14ac:dyDescent="0.15">
      <c r="B178" s="85"/>
      <c r="C178" s="86"/>
      <c r="D178" s="85"/>
    </row>
    <row r="179" spans="2:4" ht="13" x14ac:dyDescent="0.15">
      <c r="B179" s="85"/>
      <c r="C179" s="86"/>
      <c r="D179" s="85"/>
    </row>
    <row r="180" spans="2:4" ht="13" x14ac:dyDescent="0.15">
      <c r="B180" s="85"/>
      <c r="C180" s="86"/>
      <c r="D180" s="85"/>
    </row>
    <row r="181" spans="2:4" ht="13" x14ac:dyDescent="0.15">
      <c r="B181" s="85"/>
      <c r="C181" s="86"/>
      <c r="D181" s="85"/>
    </row>
    <row r="182" spans="2:4" ht="13" x14ac:dyDescent="0.15">
      <c r="B182" s="85"/>
      <c r="C182" s="86"/>
      <c r="D182" s="85"/>
    </row>
    <row r="183" spans="2:4" ht="13" x14ac:dyDescent="0.15">
      <c r="B183" s="85"/>
      <c r="C183" s="86"/>
      <c r="D183" s="85"/>
    </row>
    <row r="184" spans="2:4" ht="13" x14ac:dyDescent="0.15">
      <c r="B184" s="85"/>
      <c r="C184" s="86"/>
      <c r="D184" s="85"/>
    </row>
    <row r="185" spans="2:4" ht="13" x14ac:dyDescent="0.15">
      <c r="B185" s="85"/>
      <c r="C185" s="86"/>
      <c r="D185" s="85"/>
    </row>
    <row r="186" spans="2:4" ht="13" x14ac:dyDescent="0.15">
      <c r="B186" s="85"/>
      <c r="C186" s="86"/>
      <c r="D186" s="85"/>
    </row>
    <row r="187" spans="2:4" ht="13" x14ac:dyDescent="0.15">
      <c r="B187" s="85"/>
      <c r="C187" s="86"/>
      <c r="D187" s="85"/>
    </row>
    <row r="188" spans="2:4" ht="13" x14ac:dyDescent="0.15">
      <c r="B188" s="85"/>
      <c r="C188" s="86"/>
      <c r="D188" s="85"/>
    </row>
    <row r="189" spans="2:4" ht="13" x14ac:dyDescent="0.15">
      <c r="B189" s="85"/>
      <c r="C189" s="86"/>
      <c r="D189" s="85"/>
    </row>
    <row r="190" spans="2:4" ht="13" x14ac:dyDescent="0.15">
      <c r="B190" s="85"/>
      <c r="C190" s="86"/>
      <c r="D190" s="85"/>
    </row>
    <row r="191" spans="2:4" ht="13" x14ac:dyDescent="0.15">
      <c r="B191" s="85"/>
      <c r="C191" s="86"/>
      <c r="D191" s="85"/>
    </row>
    <row r="192" spans="2:4" ht="13" x14ac:dyDescent="0.15">
      <c r="B192" s="85"/>
      <c r="C192" s="86"/>
      <c r="D192" s="85"/>
    </row>
    <row r="193" spans="2:4" ht="13" x14ac:dyDescent="0.15">
      <c r="B193" s="85"/>
      <c r="C193" s="86"/>
      <c r="D193" s="85"/>
    </row>
    <row r="194" spans="2:4" ht="13" x14ac:dyDescent="0.15">
      <c r="B194" s="85"/>
      <c r="C194" s="86"/>
      <c r="D194" s="85"/>
    </row>
    <row r="195" spans="2:4" ht="13" x14ac:dyDescent="0.15">
      <c r="B195" s="85"/>
      <c r="C195" s="86"/>
      <c r="D195" s="85"/>
    </row>
    <row r="196" spans="2:4" ht="13" x14ac:dyDescent="0.15">
      <c r="B196" s="85"/>
      <c r="C196" s="86"/>
      <c r="D196" s="85"/>
    </row>
    <row r="197" spans="2:4" ht="13" x14ac:dyDescent="0.15">
      <c r="B197" s="85"/>
      <c r="C197" s="86"/>
      <c r="D197" s="85"/>
    </row>
    <row r="198" spans="2:4" ht="13" x14ac:dyDescent="0.15">
      <c r="B198" s="85"/>
      <c r="C198" s="86"/>
      <c r="D198" s="85"/>
    </row>
    <row r="199" spans="2:4" ht="13" x14ac:dyDescent="0.15">
      <c r="B199" s="85"/>
      <c r="C199" s="86"/>
      <c r="D199" s="85"/>
    </row>
    <row r="200" spans="2:4" ht="13" x14ac:dyDescent="0.15">
      <c r="B200" s="85"/>
      <c r="C200" s="86"/>
      <c r="D200" s="85"/>
    </row>
    <row r="201" spans="2:4" ht="13" x14ac:dyDescent="0.15">
      <c r="B201" s="85"/>
      <c r="C201" s="86"/>
      <c r="D201" s="85"/>
    </row>
    <row r="202" spans="2:4" ht="13" x14ac:dyDescent="0.15">
      <c r="B202" s="85"/>
      <c r="C202" s="86"/>
      <c r="D202" s="85"/>
    </row>
    <row r="203" spans="2:4" ht="13" x14ac:dyDescent="0.15">
      <c r="B203" s="85"/>
      <c r="C203" s="86"/>
      <c r="D203" s="85"/>
    </row>
    <row r="204" spans="2:4" ht="13" x14ac:dyDescent="0.15">
      <c r="B204" s="85"/>
      <c r="C204" s="86"/>
      <c r="D204" s="85"/>
    </row>
    <row r="205" spans="2:4" ht="13" x14ac:dyDescent="0.15">
      <c r="B205" s="85"/>
      <c r="C205" s="86"/>
      <c r="D205" s="85"/>
    </row>
    <row r="206" spans="2:4" ht="13" x14ac:dyDescent="0.15">
      <c r="B206" s="85"/>
      <c r="C206" s="86"/>
      <c r="D206" s="85"/>
    </row>
    <row r="207" spans="2:4" ht="13" x14ac:dyDescent="0.15">
      <c r="B207" s="85"/>
      <c r="C207" s="86"/>
      <c r="D207" s="85"/>
    </row>
    <row r="208" spans="2:4" ht="13" x14ac:dyDescent="0.15">
      <c r="B208" s="85"/>
      <c r="C208" s="86"/>
      <c r="D208" s="85"/>
    </row>
    <row r="209" spans="2:4" ht="13" x14ac:dyDescent="0.15">
      <c r="B209" s="85"/>
      <c r="C209" s="86"/>
      <c r="D209" s="85"/>
    </row>
    <row r="210" spans="2:4" ht="13" x14ac:dyDescent="0.15">
      <c r="B210" s="85"/>
      <c r="C210" s="86"/>
      <c r="D210" s="85"/>
    </row>
    <row r="211" spans="2:4" ht="13" x14ac:dyDescent="0.15">
      <c r="B211" s="85"/>
      <c r="C211" s="86"/>
      <c r="D211" s="85"/>
    </row>
    <row r="212" spans="2:4" ht="13" x14ac:dyDescent="0.15">
      <c r="B212" s="85"/>
      <c r="C212" s="86"/>
      <c r="D212" s="85"/>
    </row>
    <row r="213" spans="2:4" ht="13" x14ac:dyDescent="0.15">
      <c r="B213" s="85"/>
      <c r="C213" s="86"/>
      <c r="D213" s="85"/>
    </row>
    <row r="214" spans="2:4" ht="13" x14ac:dyDescent="0.15">
      <c r="B214" s="85"/>
      <c r="C214" s="86"/>
      <c r="D214" s="85"/>
    </row>
    <row r="215" spans="2:4" ht="13" x14ac:dyDescent="0.15">
      <c r="B215" s="85"/>
      <c r="C215" s="86"/>
      <c r="D215" s="85"/>
    </row>
    <row r="216" spans="2:4" ht="13" x14ac:dyDescent="0.15">
      <c r="B216" s="85"/>
      <c r="C216" s="86"/>
      <c r="D216" s="85"/>
    </row>
    <row r="217" spans="2:4" ht="13" x14ac:dyDescent="0.15">
      <c r="B217" s="85"/>
      <c r="C217" s="86"/>
      <c r="D217" s="85"/>
    </row>
    <row r="218" spans="2:4" ht="13" x14ac:dyDescent="0.15">
      <c r="B218" s="85"/>
      <c r="C218" s="86"/>
      <c r="D218" s="85"/>
    </row>
    <row r="219" spans="2:4" ht="13" x14ac:dyDescent="0.15">
      <c r="B219" s="85"/>
      <c r="C219" s="86"/>
      <c r="D219" s="85"/>
    </row>
    <row r="220" spans="2:4" ht="13" x14ac:dyDescent="0.15">
      <c r="B220" s="85"/>
      <c r="C220" s="86"/>
      <c r="D220" s="85"/>
    </row>
    <row r="221" spans="2:4" ht="13" x14ac:dyDescent="0.15">
      <c r="B221" s="85"/>
      <c r="C221" s="86"/>
      <c r="D221" s="85"/>
    </row>
    <row r="222" spans="2:4" ht="13" x14ac:dyDescent="0.15">
      <c r="B222" s="85"/>
      <c r="C222" s="86"/>
      <c r="D222" s="85"/>
    </row>
    <row r="223" spans="2:4" ht="13" x14ac:dyDescent="0.15">
      <c r="B223" s="85"/>
      <c r="C223" s="86"/>
      <c r="D223" s="85"/>
    </row>
    <row r="224" spans="2:4" ht="13" x14ac:dyDescent="0.15">
      <c r="B224" s="85"/>
      <c r="C224" s="86"/>
      <c r="D224" s="85"/>
    </row>
    <row r="225" spans="2:4" ht="13" x14ac:dyDescent="0.15">
      <c r="B225" s="85"/>
      <c r="C225" s="86"/>
      <c r="D225" s="85"/>
    </row>
    <row r="226" spans="2:4" ht="13" x14ac:dyDescent="0.15">
      <c r="B226" s="85"/>
      <c r="C226" s="86"/>
      <c r="D226" s="85"/>
    </row>
    <row r="227" spans="2:4" ht="13" x14ac:dyDescent="0.15">
      <c r="B227" s="85"/>
      <c r="C227" s="86"/>
      <c r="D227" s="85"/>
    </row>
    <row r="228" spans="2:4" ht="13" x14ac:dyDescent="0.15">
      <c r="B228" s="85"/>
      <c r="C228" s="86"/>
      <c r="D228" s="85"/>
    </row>
    <row r="229" spans="2:4" ht="13" x14ac:dyDescent="0.15">
      <c r="B229" s="85"/>
      <c r="C229" s="86"/>
      <c r="D229" s="85"/>
    </row>
    <row r="230" spans="2:4" ht="13" x14ac:dyDescent="0.15">
      <c r="B230" s="85"/>
      <c r="C230" s="86"/>
      <c r="D230" s="85"/>
    </row>
    <row r="231" spans="2:4" ht="13" x14ac:dyDescent="0.15">
      <c r="B231" s="85"/>
      <c r="C231" s="86"/>
      <c r="D231" s="85"/>
    </row>
    <row r="232" spans="2:4" ht="13" x14ac:dyDescent="0.15">
      <c r="B232" s="85"/>
      <c r="C232" s="86"/>
      <c r="D232" s="85"/>
    </row>
    <row r="233" spans="2:4" ht="13" x14ac:dyDescent="0.15">
      <c r="B233" s="85"/>
      <c r="C233" s="86"/>
      <c r="D233" s="85"/>
    </row>
    <row r="234" spans="2:4" ht="13" x14ac:dyDescent="0.15">
      <c r="B234" s="85"/>
      <c r="C234" s="86"/>
      <c r="D234" s="85"/>
    </row>
    <row r="235" spans="2:4" ht="13" x14ac:dyDescent="0.15">
      <c r="B235" s="85"/>
      <c r="C235" s="86"/>
      <c r="D235" s="85"/>
    </row>
    <row r="236" spans="2:4" ht="13" x14ac:dyDescent="0.15">
      <c r="B236" s="85"/>
      <c r="C236" s="86"/>
      <c r="D236" s="85"/>
    </row>
    <row r="237" spans="2:4" ht="13" x14ac:dyDescent="0.15">
      <c r="B237" s="85"/>
      <c r="C237" s="86"/>
      <c r="D237" s="85"/>
    </row>
    <row r="238" spans="2:4" ht="13" x14ac:dyDescent="0.15">
      <c r="B238" s="85"/>
      <c r="C238" s="86"/>
      <c r="D238" s="85"/>
    </row>
    <row r="239" spans="2:4" ht="13" x14ac:dyDescent="0.15">
      <c r="B239" s="85"/>
      <c r="C239" s="86"/>
      <c r="D239" s="85"/>
    </row>
    <row r="240" spans="2:4" ht="13" x14ac:dyDescent="0.15">
      <c r="B240" s="85"/>
      <c r="C240" s="86"/>
      <c r="D240" s="85"/>
    </row>
    <row r="241" spans="2:4" ht="13" x14ac:dyDescent="0.15">
      <c r="B241" s="85"/>
      <c r="C241" s="86"/>
      <c r="D241" s="85"/>
    </row>
    <row r="242" spans="2:4" ht="13" x14ac:dyDescent="0.15">
      <c r="B242" s="85"/>
      <c r="C242" s="86"/>
      <c r="D242" s="85"/>
    </row>
    <row r="243" spans="2:4" ht="13" x14ac:dyDescent="0.15">
      <c r="B243" s="85"/>
      <c r="C243" s="86"/>
      <c r="D243" s="85"/>
    </row>
    <row r="244" spans="2:4" ht="13" x14ac:dyDescent="0.15">
      <c r="B244" s="85"/>
      <c r="C244" s="86"/>
      <c r="D244" s="85"/>
    </row>
    <row r="245" spans="2:4" ht="13" x14ac:dyDescent="0.15">
      <c r="B245" s="85"/>
      <c r="C245" s="86"/>
      <c r="D245" s="85"/>
    </row>
    <row r="246" spans="2:4" ht="13" x14ac:dyDescent="0.15">
      <c r="B246" s="85"/>
      <c r="C246" s="86"/>
      <c r="D246" s="85"/>
    </row>
    <row r="247" spans="2:4" ht="13" x14ac:dyDescent="0.15">
      <c r="B247" s="85"/>
      <c r="C247" s="86"/>
      <c r="D247" s="85"/>
    </row>
    <row r="248" spans="2:4" ht="13" x14ac:dyDescent="0.15">
      <c r="B248" s="85"/>
      <c r="C248" s="86"/>
      <c r="D248" s="85"/>
    </row>
    <row r="249" spans="2:4" ht="13" x14ac:dyDescent="0.15">
      <c r="B249" s="85"/>
      <c r="C249" s="86"/>
      <c r="D249" s="85"/>
    </row>
    <row r="250" spans="2:4" ht="13" x14ac:dyDescent="0.15">
      <c r="B250" s="85"/>
      <c r="C250" s="86"/>
      <c r="D250" s="85"/>
    </row>
    <row r="251" spans="2:4" ht="13" x14ac:dyDescent="0.15">
      <c r="B251" s="85"/>
      <c r="C251" s="86"/>
      <c r="D251" s="85"/>
    </row>
    <row r="252" spans="2:4" ht="13" x14ac:dyDescent="0.15">
      <c r="B252" s="85"/>
      <c r="C252" s="86"/>
      <c r="D252" s="85"/>
    </row>
    <row r="253" spans="2:4" ht="13" x14ac:dyDescent="0.15">
      <c r="B253" s="85"/>
      <c r="C253" s="86"/>
      <c r="D253" s="85"/>
    </row>
    <row r="254" spans="2:4" ht="13" x14ac:dyDescent="0.15">
      <c r="B254" s="85"/>
      <c r="C254" s="86"/>
      <c r="D254" s="85"/>
    </row>
    <row r="255" spans="2:4" ht="13" x14ac:dyDescent="0.15">
      <c r="B255" s="85"/>
      <c r="C255" s="86"/>
      <c r="D255" s="85"/>
    </row>
    <row r="256" spans="2:4" ht="13" x14ac:dyDescent="0.15">
      <c r="B256" s="85"/>
      <c r="C256" s="86"/>
      <c r="D256" s="85"/>
    </row>
    <row r="257" spans="2:4" ht="13" x14ac:dyDescent="0.15">
      <c r="B257" s="85"/>
      <c r="C257" s="86"/>
      <c r="D257" s="85"/>
    </row>
    <row r="258" spans="2:4" ht="13" x14ac:dyDescent="0.15">
      <c r="B258" s="85"/>
      <c r="C258" s="86"/>
      <c r="D258" s="85"/>
    </row>
    <row r="259" spans="2:4" ht="13" x14ac:dyDescent="0.15">
      <c r="B259" s="85"/>
      <c r="C259" s="86"/>
      <c r="D259" s="85"/>
    </row>
    <row r="260" spans="2:4" ht="13" x14ac:dyDescent="0.15">
      <c r="B260" s="85"/>
      <c r="C260" s="86"/>
      <c r="D260" s="85"/>
    </row>
    <row r="261" spans="2:4" ht="13" x14ac:dyDescent="0.15">
      <c r="B261" s="85"/>
      <c r="C261" s="86"/>
      <c r="D261" s="85"/>
    </row>
    <row r="262" spans="2:4" ht="13" x14ac:dyDescent="0.15">
      <c r="B262" s="85"/>
      <c r="C262" s="86"/>
      <c r="D262" s="85"/>
    </row>
    <row r="263" spans="2:4" ht="13" x14ac:dyDescent="0.15">
      <c r="B263" s="85"/>
      <c r="C263" s="86"/>
      <c r="D263" s="85"/>
    </row>
    <row r="264" spans="2:4" ht="13" x14ac:dyDescent="0.15">
      <c r="B264" s="85"/>
      <c r="C264" s="86"/>
      <c r="D264" s="85"/>
    </row>
    <row r="265" spans="2:4" ht="13" x14ac:dyDescent="0.15">
      <c r="B265" s="85"/>
      <c r="C265" s="86"/>
      <c r="D265" s="85"/>
    </row>
    <row r="266" spans="2:4" ht="13" x14ac:dyDescent="0.15">
      <c r="B266" s="85"/>
      <c r="C266" s="86"/>
      <c r="D266" s="85"/>
    </row>
    <row r="267" spans="2:4" ht="13" x14ac:dyDescent="0.15">
      <c r="B267" s="85"/>
      <c r="C267" s="86"/>
      <c r="D267" s="85"/>
    </row>
    <row r="268" spans="2:4" ht="13" x14ac:dyDescent="0.15">
      <c r="B268" s="85"/>
      <c r="C268" s="86"/>
      <c r="D268" s="85"/>
    </row>
    <row r="269" spans="2:4" ht="13" x14ac:dyDescent="0.15">
      <c r="B269" s="85"/>
      <c r="C269" s="86"/>
      <c r="D269" s="85"/>
    </row>
    <row r="270" spans="2:4" ht="13" x14ac:dyDescent="0.15">
      <c r="B270" s="85"/>
      <c r="C270" s="86"/>
      <c r="D270" s="85"/>
    </row>
    <row r="271" spans="2:4" ht="13" x14ac:dyDescent="0.15">
      <c r="B271" s="85"/>
      <c r="C271" s="86"/>
      <c r="D271" s="85"/>
    </row>
    <row r="272" spans="2:4" ht="13" x14ac:dyDescent="0.15">
      <c r="B272" s="85"/>
      <c r="C272" s="86"/>
      <c r="D272" s="85"/>
    </row>
    <row r="273" spans="2:4" ht="13" x14ac:dyDescent="0.15">
      <c r="B273" s="85"/>
      <c r="C273" s="86"/>
      <c r="D273" s="85"/>
    </row>
    <row r="274" spans="2:4" ht="13" x14ac:dyDescent="0.15">
      <c r="B274" s="85"/>
      <c r="C274" s="86"/>
      <c r="D274" s="85"/>
    </row>
    <row r="275" spans="2:4" ht="13" x14ac:dyDescent="0.15">
      <c r="B275" s="85"/>
      <c r="C275" s="86"/>
      <c r="D275" s="85"/>
    </row>
    <row r="276" spans="2:4" ht="13" x14ac:dyDescent="0.15">
      <c r="B276" s="85"/>
      <c r="C276" s="86"/>
      <c r="D276" s="85"/>
    </row>
    <row r="277" spans="2:4" ht="13" x14ac:dyDescent="0.15">
      <c r="B277" s="85"/>
      <c r="C277" s="86"/>
      <c r="D277" s="85"/>
    </row>
    <row r="278" spans="2:4" ht="13" x14ac:dyDescent="0.15">
      <c r="B278" s="85"/>
      <c r="C278" s="86"/>
      <c r="D278" s="85"/>
    </row>
    <row r="279" spans="2:4" ht="13" x14ac:dyDescent="0.15">
      <c r="B279" s="85"/>
      <c r="C279" s="86"/>
      <c r="D279" s="85"/>
    </row>
    <row r="280" spans="2:4" ht="13" x14ac:dyDescent="0.15">
      <c r="B280" s="85"/>
      <c r="C280" s="86"/>
      <c r="D280" s="85"/>
    </row>
    <row r="281" spans="2:4" ht="13" x14ac:dyDescent="0.15">
      <c r="B281" s="85"/>
      <c r="C281" s="86"/>
      <c r="D281" s="85"/>
    </row>
    <row r="282" spans="2:4" ht="13" x14ac:dyDescent="0.15">
      <c r="B282" s="85"/>
      <c r="C282" s="86"/>
      <c r="D282" s="85"/>
    </row>
    <row r="283" spans="2:4" ht="13" x14ac:dyDescent="0.15">
      <c r="B283" s="85"/>
      <c r="C283" s="86"/>
      <c r="D283" s="85"/>
    </row>
    <row r="284" spans="2:4" ht="13" x14ac:dyDescent="0.15">
      <c r="B284" s="85"/>
      <c r="C284" s="86"/>
      <c r="D284" s="85"/>
    </row>
    <row r="285" spans="2:4" ht="13" x14ac:dyDescent="0.15">
      <c r="B285" s="85"/>
      <c r="C285" s="86"/>
      <c r="D285" s="85"/>
    </row>
    <row r="286" spans="2:4" ht="13" x14ac:dyDescent="0.15">
      <c r="B286" s="85"/>
      <c r="C286" s="86"/>
      <c r="D286" s="85"/>
    </row>
    <row r="287" spans="2:4" ht="13" x14ac:dyDescent="0.15">
      <c r="B287" s="85"/>
      <c r="C287" s="86"/>
      <c r="D287" s="85"/>
    </row>
    <row r="288" spans="2:4" ht="13" x14ac:dyDescent="0.15">
      <c r="B288" s="85"/>
      <c r="C288" s="86"/>
      <c r="D288" s="85"/>
    </row>
    <row r="289" spans="2:4" ht="13" x14ac:dyDescent="0.15">
      <c r="B289" s="85"/>
      <c r="C289" s="86"/>
      <c r="D289" s="85"/>
    </row>
    <row r="290" spans="2:4" ht="13" x14ac:dyDescent="0.15">
      <c r="B290" s="85"/>
      <c r="C290" s="86"/>
      <c r="D290" s="85"/>
    </row>
    <row r="291" spans="2:4" ht="13" x14ac:dyDescent="0.15">
      <c r="B291" s="85"/>
      <c r="C291" s="86"/>
      <c r="D291" s="85"/>
    </row>
    <row r="292" spans="2:4" ht="13" x14ac:dyDescent="0.15">
      <c r="B292" s="85"/>
      <c r="C292" s="86"/>
      <c r="D292" s="85"/>
    </row>
    <row r="293" spans="2:4" ht="13" x14ac:dyDescent="0.15">
      <c r="B293" s="85"/>
      <c r="C293" s="86"/>
      <c r="D293" s="85"/>
    </row>
    <row r="294" spans="2:4" ht="13" x14ac:dyDescent="0.15">
      <c r="B294" s="85"/>
      <c r="C294" s="86"/>
      <c r="D294" s="85"/>
    </row>
    <row r="295" spans="2:4" ht="13" x14ac:dyDescent="0.15">
      <c r="B295" s="85"/>
      <c r="C295" s="86"/>
      <c r="D295" s="85"/>
    </row>
    <row r="296" spans="2:4" ht="13" x14ac:dyDescent="0.15">
      <c r="B296" s="85"/>
      <c r="C296" s="86"/>
      <c r="D296" s="85"/>
    </row>
    <row r="297" spans="2:4" ht="13" x14ac:dyDescent="0.15">
      <c r="B297" s="85"/>
      <c r="C297" s="86"/>
      <c r="D297" s="85"/>
    </row>
    <row r="298" spans="2:4" ht="13" x14ac:dyDescent="0.15">
      <c r="B298" s="85"/>
      <c r="C298" s="86"/>
      <c r="D298" s="85"/>
    </row>
    <row r="299" spans="2:4" ht="13" x14ac:dyDescent="0.15">
      <c r="B299" s="85"/>
      <c r="C299" s="86"/>
      <c r="D299" s="85"/>
    </row>
    <row r="300" spans="2:4" ht="13" x14ac:dyDescent="0.15">
      <c r="B300" s="85"/>
      <c r="C300" s="86"/>
      <c r="D300" s="85"/>
    </row>
    <row r="301" spans="2:4" ht="13" x14ac:dyDescent="0.15">
      <c r="B301" s="85"/>
      <c r="C301" s="86"/>
      <c r="D301" s="85"/>
    </row>
    <row r="302" spans="2:4" ht="13" x14ac:dyDescent="0.15">
      <c r="B302" s="85"/>
      <c r="C302" s="86"/>
      <c r="D302" s="85"/>
    </row>
    <row r="303" spans="2:4" ht="13" x14ac:dyDescent="0.15">
      <c r="B303" s="85"/>
      <c r="C303" s="86"/>
      <c r="D303" s="85"/>
    </row>
    <row r="304" spans="2:4" ht="13" x14ac:dyDescent="0.15">
      <c r="B304" s="85"/>
      <c r="C304" s="86"/>
      <c r="D304" s="85"/>
    </row>
    <row r="305" spans="2:4" ht="13" x14ac:dyDescent="0.15">
      <c r="B305" s="85"/>
      <c r="C305" s="86"/>
      <c r="D305" s="85"/>
    </row>
    <row r="306" spans="2:4" ht="13" x14ac:dyDescent="0.15">
      <c r="B306" s="85"/>
      <c r="C306" s="86"/>
      <c r="D306" s="85"/>
    </row>
    <row r="307" spans="2:4" ht="13" x14ac:dyDescent="0.15">
      <c r="B307" s="85"/>
      <c r="C307" s="86"/>
      <c r="D307" s="85"/>
    </row>
    <row r="308" spans="2:4" ht="13" x14ac:dyDescent="0.15">
      <c r="B308" s="85"/>
      <c r="C308" s="86"/>
      <c r="D308" s="85"/>
    </row>
    <row r="309" spans="2:4" ht="13" x14ac:dyDescent="0.15">
      <c r="B309" s="85"/>
      <c r="C309" s="86"/>
      <c r="D309" s="85"/>
    </row>
    <row r="310" spans="2:4" ht="13" x14ac:dyDescent="0.15">
      <c r="B310" s="85"/>
      <c r="C310" s="86"/>
      <c r="D310" s="85"/>
    </row>
    <row r="311" spans="2:4" ht="13" x14ac:dyDescent="0.15">
      <c r="B311" s="85"/>
      <c r="C311" s="86"/>
      <c r="D311" s="85"/>
    </row>
    <row r="312" spans="2:4" ht="13" x14ac:dyDescent="0.15">
      <c r="B312" s="85"/>
      <c r="C312" s="86"/>
      <c r="D312" s="85"/>
    </row>
    <row r="313" spans="2:4" ht="13" x14ac:dyDescent="0.15">
      <c r="B313" s="85"/>
      <c r="C313" s="86"/>
      <c r="D313" s="85"/>
    </row>
    <row r="314" spans="2:4" ht="13" x14ac:dyDescent="0.15">
      <c r="B314" s="85"/>
      <c r="C314" s="86"/>
      <c r="D314" s="85"/>
    </row>
    <row r="315" spans="2:4" ht="13" x14ac:dyDescent="0.15">
      <c r="B315" s="85"/>
      <c r="C315" s="86"/>
      <c r="D315" s="85"/>
    </row>
    <row r="316" spans="2:4" ht="13" x14ac:dyDescent="0.15">
      <c r="B316" s="85"/>
      <c r="C316" s="86"/>
      <c r="D316" s="85"/>
    </row>
    <row r="317" spans="2:4" ht="13" x14ac:dyDescent="0.15">
      <c r="B317" s="85"/>
      <c r="C317" s="86"/>
      <c r="D317" s="85"/>
    </row>
    <row r="318" spans="2:4" ht="13" x14ac:dyDescent="0.15">
      <c r="B318" s="85"/>
      <c r="C318" s="86"/>
      <c r="D318" s="85"/>
    </row>
    <row r="319" spans="2:4" ht="13" x14ac:dyDescent="0.15">
      <c r="B319" s="85"/>
      <c r="C319" s="86"/>
      <c r="D319" s="85"/>
    </row>
    <row r="320" spans="2:4" ht="13" x14ac:dyDescent="0.15">
      <c r="B320" s="85"/>
      <c r="C320" s="86"/>
      <c r="D320" s="85"/>
    </row>
    <row r="321" spans="2:4" ht="13" x14ac:dyDescent="0.15">
      <c r="B321" s="85"/>
      <c r="C321" s="86"/>
      <c r="D321" s="85"/>
    </row>
    <row r="322" spans="2:4" ht="13" x14ac:dyDescent="0.15">
      <c r="B322" s="85"/>
      <c r="C322" s="86"/>
      <c r="D322" s="85"/>
    </row>
    <row r="323" spans="2:4" ht="13" x14ac:dyDescent="0.15">
      <c r="B323" s="85"/>
      <c r="C323" s="86"/>
      <c r="D323" s="85"/>
    </row>
    <row r="324" spans="2:4" ht="13" x14ac:dyDescent="0.15">
      <c r="B324" s="85"/>
      <c r="C324" s="86"/>
      <c r="D324" s="85"/>
    </row>
    <row r="325" spans="2:4" ht="13" x14ac:dyDescent="0.15">
      <c r="B325" s="85"/>
      <c r="C325" s="86"/>
      <c r="D325" s="85"/>
    </row>
    <row r="326" spans="2:4" ht="13" x14ac:dyDescent="0.15">
      <c r="B326" s="85"/>
      <c r="C326" s="86"/>
      <c r="D326" s="85"/>
    </row>
    <row r="327" spans="2:4" ht="13" x14ac:dyDescent="0.15">
      <c r="B327" s="85"/>
      <c r="C327" s="86"/>
      <c r="D327" s="85"/>
    </row>
    <row r="328" spans="2:4" ht="13" x14ac:dyDescent="0.15">
      <c r="B328" s="85"/>
      <c r="C328" s="86"/>
      <c r="D328" s="85"/>
    </row>
    <row r="329" spans="2:4" ht="13" x14ac:dyDescent="0.15">
      <c r="B329" s="85"/>
      <c r="C329" s="86"/>
      <c r="D329" s="85"/>
    </row>
    <row r="330" spans="2:4" ht="13" x14ac:dyDescent="0.15">
      <c r="B330" s="85"/>
      <c r="C330" s="86"/>
      <c r="D330" s="85"/>
    </row>
    <row r="331" spans="2:4" ht="13" x14ac:dyDescent="0.15">
      <c r="B331" s="85"/>
      <c r="C331" s="86"/>
      <c r="D331" s="85"/>
    </row>
    <row r="332" spans="2:4" ht="13" x14ac:dyDescent="0.15">
      <c r="B332" s="85"/>
      <c r="C332" s="86"/>
      <c r="D332" s="85"/>
    </row>
    <row r="333" spans="2:4" ht="13" x14ac:dyDescent="0.15">
      <c r="B333" s="85"/>
      <c r="C333" s="86"/>
      <c r="D333" s="85"/>
    </row>
    <row r="334" spans="2:4" ht="13" x14ac:dyDescent="0.15">
      <c r="B334" s="85"/>
      <c r="C334" s="86"/>
      <c r="D334" s="85"/>
    </row>
    <row r="335" spans="2:4" ht="13" x14ac:dyDescent="0.15">
      <c r="B335" s="85"/>
      <c r="C335" s="86"/>
      <c r="D335" s="85"/>
    </row>
    <row r="336" spans="2:4" ht="13" x14ac:dyDescent="0.15">
      <c r="B336" s="85"/>
      <c r="C336" s="86"/>
      <c r="D336" s="85"/>
    </row>
    <row r="337" spans="2:4" ht="13" x14ac:dyDescent="0.15">
      <c r="B337" s="85"/>
      <c r="C337" s="86"/>
      <c r="D337" s="85"/>
    </row>
    <row r="338" spans="2:4" ht="13" x14ac:dyDescent="0.15">
      <c r="B338" s="85"/>
      <c r="C338" s="86"/>
      <c r="D338" s="85"/>
    </row>
    <row r="339" spans="2:4" ht="13" x14ac:dyDescent="0.15">
      <c r="B339" s="85"/>
      <c r="C339" s="86"/>
      <c r="D339" s="85"/>
    </row>
    <row r="340" spans="2:4" ht="13" x14ac:dyDescent="0.15">
      <c r="B340" s="85"/>
      <c r="C340" s="86"/>
      <c r="D340" s="85"/>
    </row>
    <row r="341" spans="2:4" ht="13" x14ac:dyDescent="0.15">
      <c r="B341" s="85"/>
      <c r="C341" s="86"/>
      <c r="D341" s="85"/>
    </row>
    <row r="342" spans="2:4" ht="13" x14ac:dyDescent="0.15">
      <c r="B342" s="85"/>
      <c r="C342" s="86"/>
      <c r="D342" s="85"/>
    </row>
    <row r="343" spans="2:4" ht="13" x14ac:dyDescent="0.15">
      <c r="B343" s="85"/>
      <c r="C343" s="86"/>
      <c r="D343" s="85"/>
    </row>
    <row r="344" spans="2:4" ht="13" x14ac:dyDescent="0.15">
      <c r="B344" s="85"/>
      <c r="C344" s="86"/>
      <c r="D344" s="85"/>
    </row>
    <row r="345" spans="2:4" ht="13" x14ac:dyDescent="0.15">
      <c r="B345" s="85"/>
      <c r="C345" s="86"/>
      <c r="D345" s="85"/>
    </row>
    <row r="346" spans="2:4" ht="13" x14ac:dyDescent="0.15">
      <c r="B346" s="85"/>
      <c r="C346" s="86"/>
      <c r="D346" s="85"/>
    </row>
    <row r="347" spans="2:4" ht="13" x14ac:dyDescent="0.15">
      <c r="B347" s="85"/>
      <c r="C347" s="86"/>
      <c r="D347" s="85"/>
    </row>
    <row r="348" spans="2:4" ht="13" x14ac:dyDescent="0.15">
      <c r="B348" s="85"/>
      <c r="C348" s="86"/>
      <c r="D348" s="85"/>
    </row>
    <row r="349" spans="2:4" ht="13" x14ac:dyDescent="0.15">
      <c r="B349" s="85"/>
      <c r="C349" s="86"/>
      <c r="D349" s="85"/>
    </row>
    <row r="350" spans="2:4" ht="13" x14ac:dyDescent="0.15">
      <c r="B350" s="85"/>
      <c r="C350" s="86"/>
      <c r="D350" s="85"/>
    </row>
    <row r="351" spans="2:4" ht="13" x14ac:dyDescent="0.15">
      <c r="B351" s="85"/>
      <c r="C351" s="86"/>
      <c r="D351" s="85"/>
    </row>
    <row r="352" spans="2:4" ht="13" x14ac:dyDescent="0.15">
      <c r="B352" s="85"/>
      <c r="C352" s="86"/>
      <c r="D352" s="85"/>
    </row>
    <row r="353" spans="2:4" ht="13" x14ac:dyDescent="0.15">
      <c r="B353" s="85"/>
      <c r="C353" s="86"/>
      <c r="D353" s="85"/>
    </row>
    <row r="354" spans="2:4" ht="13" x14ac:dyDescent="0.15">
      <c r="B354" s="85"/>
      <c r="C354" s="86"/>
      <c r="D354" s="85"/>
    </row>
    <row r="355" spans="2:4" ht="13" x14ac:dyDescent="0.15">
      <c r="B355" s="85"/>
      <c r="C355" s="86"/>
      <c r="D355" s="85"/>
    </row>
    <row r="356" spans="2:4" ht="13" x14ac:dyDescent="0.15">
      <c r="B356" s="85"/>
      <c r="C356" s="86"/>
      <c r="D356" s="85"/>
    </row>
    <row r="357" spans="2:4" ht="13" x14ac:dyDescent="0.15">
      <c r="B357" s="85"/>
      <c r="C357" s="86"/>
      <c r="D357" s="85"/>
    </row>
    <row r="358" spans="2:4" ht="13" x14ac:dyDescent="0.15">
      <c r="B358" s="85"/>
      <c r="C358" s="86"/>
      <c r="D358" s="85"/>
    </row>
    <row r="359" spans="2:4" ht="13" x14ac:dyDescent="0.15">
      <c r="B359" s="85"/>
      <c r="C359" s="86"/>
      <c r="D359" s="85"/>
    </row>
    <row r="360" spans="2:4" ht="13" x14ac:dyDescent="0.15">
      <c r="B360" s="85"/>
      <c r="C360" s="86"/>
      <c r="D360" s="85"/>
    </row>
    <row r="361" spans="2:4" ht="13" x14ac:dyDescent="0.15">
      <c r="B361" s="85"/>
      <c r="C361" s="86"/>
      <c r="D361" s="85"/>
    </row>
    <row r="362" spans="2:4" ht="13" x14ac:dyDescent="0.15">
      <c r="B362" s="85"/>
      <c r="C362" s="86"/>
      <c r="D362" s="85"/>
    </row>
    <row r="363" spans="2:4" ht="13" x14ac:dyDescent="0.15">
      <c r="B363" s="85"/>
      <c r="C363" s="86"/>
      <c r="D363" s="85"/>
    </row>
    <row r="364" spans="2:4" ht="13" x14ac:dyDescent="0.15">
      <c r="B364" s="85"/>
      <c r="C364" s="86"/>
      <c r="D364" s="85"/>
    </row>
    <row r="365" spans="2:4" ht="13" x14ac:dyDescent="0.15">
      <c r="B365" s="85"/>
      <c r="C365" s="86"/>
      <c r="D365" s="85"/>
    </row>
    <row r="366" spans="2:4" ht="13" x14ac:dyDescent="0.15">
      <c r="B366" s="85"/>
      <c r="C366" s="86"/>
      <c r="D366" s="85"/>
    </row>
    <row r="367" spans="2:4" ht="13" x14ac:dyDescent="0.15">
      <c r="B367" s="85"/>
      <c r="C367" s="86"/>
      <c r="D367" s="85"/>
    </row>
    <row r="368" spans="2:4" ht="13" x14ac:dyDescent="0.15">
      <c r="B368" s="85"/>
      <c r="C368" s="86"/>
      <c r="D368" s="85"/>
    </row>
    <row r="369" spans="2:4" ht="13" x14ac:dyDescent="0.15">
      <c r="B369" s="85"/>
      <c r="C369" s="86"/>
      <c r="D369" s="85"/>
    </row>
    <row r="370" spans="2:4" ht="13" x14ac:dyDescent="0.15">
      <c r="B370" s="85"/>
      <c r="C370" s="86"/>
      <c r="D370" s="85"/>
    </row>
    <row r="371" spans="2:4" ht="13" x14ac:dyDescent="0.15">
      <c r="B371" s="85"/>
      <c r="C371" s="86"/>
      <c r="D371" s="85"/>
    </row>
    <row r="372" spans="2:4" ht="13" x14ac:dyDescent="0.15">
      <c r="B372" s="85"/>
      <c r="C372" s="86"/>
      <c r="D372" s="85"/>
    </row>
    <row r="373" spans="2:4" ht="13" x14ac:dyDescent="0.15">
      <c r="B373" s="85"/>
      <c r="C373" s="86"/>
      <c r="D373" s="85"/>
    </row>
    <row r="374" spans="2:4" ht="13" x14ac:dyDescent="0.15">
      <c r="B374" s="85"/>
      <c r="C374" s="86"/>
      <c r="D374" s="85"/>
    </row>
    <row r="375" spans="2:4" ht="13" x14ac:dyDescent="0.15">
      <c r="B375" s="85"/>
      <c r="C375" s="86"/>
      <c r="D375" s="85"/>
    </row>
    <row r="376" spans="2:4" ht="13" x14ac:dyDescent="0.15">
      <c r="B376" s="85"/>
      <c r="C376" s="86"/>
      <c r="D376" s="85"/>
    </row>
    <row r="377" spans="2:4" ht="13" x14ac:dyDescent="0.15">
      <c r="B377" s="85"/>
      <c r="C377" s="86"/>
      <c r="D377" s="85"/>
    </row>
    <row r="378" spans="2:4" ht="13" x14ac:dyDescent="0.15">
      <c r="B378" s="85"/>
      <c r="C378" s="86"/>
      <c r="D378" s="85"/>
    </row>
    <row r="379" spans="2:4" ht="13" x14ac:dyDescent="0.15">
      <c r="B379" s="85"/>
      <c r="C379" s="86"/>
      <c r="D379" s="85"/>
    </row>
    <row r="380" spans="2:4" ht="13" x14ac:dyDescent="0.15">
      <c r="B380" s="85"/>
      <c r="C380" s="86"/>
      <c r="D380" s="85"/>
    </row>
    <row r="381" spans="2:4" ht="13" x14ac:dyDescent="0.15">
      <c r="B381" s="85"/>
      <c r="C381" s="86"/>
      <c r="D381" s="85"/>
    </row>
    <row r="382" spans="2:4" ht="13" x14ac:dyDescent="0.15">
      <c r="B382" s="85"/>
      <c r="C382" s="86"/>
      <c r="D382" s="85"/>
    </row>
    <row r="383" spans="2:4" ht="13" x14ac:dyDescent="0.15">
      <c r="B383" s="85"/>
      <c r="C383" s="86"/>
      <c r="D383" s="85"/>
    </row>
    <row r="384" spans="2:4" ht="13" x14ac:dyDescent="0.15">
      <c r="B384" s="85"/>
      <c r="C384" s="86"/>
      <c r="D384" s="85"/>
    </row>
    <row r="385" spans="2:4" ht="13" x14ac:dyDescent="0.15">
      <c r="B385" s="85"/>
      <c r="C385" s="86"/>
      <c r="D385" s="85"/>
    </row>
    <row r="386" spans="2:4" ht="13" x14ac:dyDescent="0.15">
      <c r="B386" s="85"/>
      <c r="C386" s="86"/>
      <c r="D386" s="85"/>
    </row>
    <row r="387" spans="2:4" ht="13" x14ac:dyDescent="0.15">
      <c r="B387" s="85"/>
      <c r="C387" s="86"/>
      <c r="D387" s="85"/>
    </row>
    <row r="388" spans="2:4" ht="13" x14ac:dyDescent="0.15">
      <c r="B388" s="85"/>
      <c r="C388" s="86"/>
      <c r="D388" s="85"/>
    </row>
    <row r="389" spans="2:4" ht="13" x14ac:dyDescent="0.15">
      <c r="B389" s="85"/>
      <c r="C389" s="86"/>
      <c r="D389" s="85"/>
    </row>
    <row r="390" spans="2:4" ht="13" x14ac:dyDescent="0.15">
      <c r="B390" s="85"/>
      <c r="C390" s="86"/>
      <c r="D390" s="85"/>
    </row>
    <row r="391" spans="2:4" ht="13" x14ac:dyDescent="0.15">
      <c r="B391" s="85"/>
      <c r="C391" s="86"/>
      <c r="D391" s="85"/>
    </row>
    <row r="392" spans="2:4" ht="13" x14ac:dyDescent="0.15">
      <c r="B392" s="85"/>
      <c r="C392" s="86"/>
      <c r="D392" s="85"/>
    </row>
    <row r="393" spans="2:4" ht="13" x14ac:dyDescent="0.15">
      <c r="B393" s="85"/>
      <c r="C393" s="86"/>
      <c r="D393" s="85"/>
    </row>
    <row r="394" spans="2:4" ht="13" x14ac:dyDescent="0.15">
      <c r="B394" s="85"/>
      <c r="C394" s="86"/>
      <c r="D394" s="85"/>
    </row>
    <row r="395" spans="2:4" ht="13" x14ac:dyDescent="0.15">
      <c r="B395" s="85"/>
      <c r="C395" s="86"/>
      <c r="D395" s="85"/>
    </row>
    <row r="396" spans="2:4" ht="13" x14ac:dyDescent="0.15">
      <c r="B396" s="85"/>
      <c r="C396" s="86"/>
      <c r="D396" s="85"/>
    </row>
    <row r="397" spans="2:4" ht="13" x14ac:dyDescent="0.15">
      <c r="B397" s="85"/>
      <c r="C397" s="86"/>
      <c r="D397" s="85"/>
    </row>
    <row r="398" spans="2:4" ht="13" x14ac:dyDescent="0.15">
      <c r="B398" s="85"/>
      <c r="C398" s="86"/>
      <c r="D398" s="85"/>
    </row>
    <row r="399" spans="2:4" ht="13" x14ac:dyDescent="0.15">
      <c r="B399" s="85"/>
      <c r="C399" s="86"/>
      <c r="D399" s="85"/>
    </row>
    <row r="400" spans="2:4" ht="13" x14ac:dyDescent="0.15">
      <c r="B400" s="85"/>
      <c r="C400" s="86"/>
      <c r="D400" s="85"/>
    </row>
    <row r="401" spans="2:4" ht="13" x14ac:dyDescent="0.15">
      <c r="B401" s="85"/>
      <c r="C401" s="86"/>
      <c r="D401" s="85"/>
    </row>
    <row r="402" spans="2:4" ht="13" x14ac:dyDescent="0.15">
      <c r="B402" s="85"/>
      <c r="C402" s="86"/>
      <c r="D402" s="85"/>
    </row>
    <row r="403" spans="2:4" ht="13" x14ac:dyDescent="0.15">
      <c r="B403" s="85"/>
      <c r="C403" s="86"/>
      <c r="D403" s="85"/>
    </row>
    <row r="404" spans="2:4" ht="13" x14ac:dyDescent="0.15">
      <c r="B404" s="85"/>
      <c r="C404" s="86"/>
      <c r="D404" s="85"/>
    </row>
    <row r="405" spans="2:4" ht="13" x14ac:dyDescent="0.15">
      <c r="B405" s="85"/>
      <c r="C405" s="86"/>
      <c r="D405" s="85"/>
    </row>
    <row r="406" spans="2:4" ht="13" x14ac:dyDescent="0.15">
      <c r="B406" s="85"/>
      <c r="C406" s="86"/>
      <c r="D406" s="85"/>
    </row>
    <row r="407" spans="2:4" ht="13" x14ac:dyDescent="0.15">
      <c r="B407" s="85"/>
      <c r="C407" s="86"/>
      <c r="D407" s="85"/>
    </row>
    <row r="408" spans="2:4" ht="13" x14ac:dyDescent="0.15">
      <c r="B408" s="85"/>
      <c r="C408" s="86"/>
      <c r="D408" s="85"/>
    </row>
    <row r="409" spans="2:4" ht="13" x14ac:dyDescent="0.15">
      <c r="B409" s="85"/>
      <c r="C409" s="86"/>
      <c r="D409" s="85"/>
    </row>
    <row r="410" spans="2:4" ht="13" x14ac:dyDescent="0.15">
      <c r="B410" s="85"/>
      <c r="C410" s="86"/>
      <c r="D410" s="85"/>
    </row>
    <row r="411" spans="2:4" ht="13" x14ac:dyDescent="0.15">
      <c r="B411" s="85"/>
      <c r="C411" s="86"/>
      <c r="D411" s="85"/>
    </row>
    <row r="412" spans="2:4" ht="13" x14ac:dyDescent="0.15">
      <c r="B412" s="85"/>
      <c r="C412" s="86"/>
      <c r="D412" s="85"/>
    </row>
    <row r="413" spans="2:4" ht="13" x14ac:dyDescent="0.15">
      <c r="B413" s="85"/>
      <c r="C413" s="86"/>
      <c r="D413" s="85"/>
    </row>
    <row r="414" spans="2:4" ht="13" x14ac:dyDescent="0.15">
      <c r="B414" s="85"/>
      <c r="C414" s="86"/>
      <c r="D414" s="85"/>
    </row>
    <row r="415" spans="2:4" ht="13" x14ac:dyDescent="0.15">
      <c r="B415" s="85"/>
      <c r="C415" s="86"/>
      <c r="D415" s="85"/>
    </row>
    <row r="416" spans="2:4" ht="13" x14ac:dyDescent="0.15">
      <c r="B416" s="85"/>
      <c r="C416" s="86"/>
      <c r="D416" s="85"/>
    </row>
    <row r="417" spans="2:4" ht="13" x14ac:dyDescent="0.15">
      <c r="B417" s="85"/>
      <c r="C417" s="86"/>
      <c r="D417" s="85"/>
    </row>
    <row r="418" spans="2:4" ht="13" x14ac:dyDescent="0.15">
      <c r="B418" s="85"/>
      <c r="C418" s="86"/>
      <c r="D418" s="85"/>
    </row>
    <row r="419" spans="2:4" ht="13" x14ac:dyDescent="0.15">
      <c r="B419" s="85"/>
      <c r="C419" s="86"/>
      <c r="D419" s="85"/>
    </row>
    <row r="420" spans="2:4" ht="13" x14ac:dyDescent="0.15">
      <c r="B420" s="85"/>
      <c r="C420" s="86"/>
      <c r="D420" s="85"/>
    </row>
    <row r="421" spans="2:4" ht="13" x14ac:dyDescent="0.15">
      <c r="B421" s="85"/>
      <c r="C421" s="86"/>
      <c r="D421" s="85"/>
    </row>
    <row r="422" spans="2:4" ht="13" x14ac:dyDescent="0.15">
      <c r="B422" s="85"/>
      <c r="C422" s="86"/>
      <c r="D422" s="85"/>
    </row>
    <row r="423" spans="2:4" ht="13" x14ac:dyDescent="0.15">
      <c r="B423" s="85"/>
      <c r="C423" s="86"/>
      <c r="D423" s="85"/>
    </row>
    <row r="424" spans="2:4" ht="13" x14ac:dyDescent="0.15">
      <c r="B424" s="85"/>
      <c r="C424" s="86"/>
      <c r="D424" s="85"/>
    </row>
    <row r="425" spans="2:4" ht="13" x14ac:dyDescent="0.15">
      <c r="B425" s="85"/>
      <c r="C425" s="86"/>
      <c r="D425" s="85"/>
    </row>
    <row r="426" spans="2:4" ht="13" x14ac:dyDescent="0.15">
      <c r="B426" s="85"/>
      <c r="C426" s="86"/>
      <c r="D426" s="85"/>
    </row>
    <row r="427" spans="2:4" ht="13" x14ac:dyDescent="0.15">
      <c r="B427" s="85"/>
      <c r="C427" s="86"/>
      <c r="D427" s="85"/>
    </row>
    <row r="428" spans="2:4" ht="13" x14ac:dyDescent="0.15">
      <c r="B428" s="85"/>
      <c r="C428" s="86"/>
      <c r="D428" s="85"/>
    </row>
    <row r="429" spans="2:4" ht="13" x14ac:dyDescent="0.15">
      <c r="B429" s="85"/>
      <c r="C429" s="86"/>
      <c r="D429" s="85"/>
    </row>
    <row r="430" spans="2:4" ht="13" x14ac:dyDescent="0.15">
      <c r="B430" s="85"/>
      <c r="C430" s="86"/>
      <c r="D430" s="85"/>
    </row>
    <row r="431" spans="2:4" ht="13" x14ac:dyDescent="0.15">
      <c r="B431" s="85"/>
      <c r="C431" s="86"/>
      <c r="D431" s="85"/>
    </row>
    <row r="432" spans="2:4" ht="13" x14ac:dyDescent="0.15">
      <c r="B432" s="85"/>
      <c r="C432" s="86"/>
      <c r="D432" s="85"/>
    </row>
    <row r="433" spans="2:4" ht="13" x14ac:dyDescent="0.15">
      <c r="B433" s="85"/>
      <c r="C433" s="86"/>
      <c r="D433" s="85"/>
    </row>
    <row r="434" spans="2:4" ht="13" x14ac:dyDescent="0.15">
      <c r="B434" s="85"/>
      <c r="C434" s="86"/>
      <c r="D434" s="85"/>
    </row>
    <row r="435" spans="2:4" ht="13" x14ac:dyDescent="0.15">
      <c r="B435" s="85"/>
      <c r="C435" s="86"/>
      <c r="D435" s="85"/>
    </row>
    <row r="436" spans="2:4" ht="13" x14ac:dyDescent="0.15">
      <c r="B436" s="85"/>
      <c r="C436" s="86"/>
      <c r="D436" s="85"/>
    </row>
    <row r="437" spans="2:4" ht="13" x14ac:dyDescent="0.15">
      <c r="B437" s="85"/>
      <c r="C437" s="86"/>
      <c r="D437" s="85"/>
    </row>
    <row r="438" spans="2:4" ht="13" x14ac:dyDescent="0.15">
      <c r="B438" s="85"/>
      <c r="C438" s="86"/>
      <c r="D438" s="85"/>
    </row>
    <row r="439" spans="2:4" ht="13" x14ac:dyDescent="0.15">
      <c r="B439" s="85"/>
      <c r="C439" s="86"/>
      <c r="D439" s="85"/>
    </row>
    <row r="440" spans="2:4" ht="13" x14ac:dyDescent="0.15">
      <c r="B440" s="85"/>
      <c r="C440" s="86"/>
      <c r="D440" s="85"/>
    </row>
    <row r="441" spans="2:4" ht="13" x14ac:dyDescent="0.15">
      <c r="B441" s="85"/>
      <c r="C441" s="86"/>
      <c r="D441" s="85"/>
    </row>
    <row r="442" spans="2:4" ht="13" x14ac:dyDescent="0.15">
      <c r="B442" s="85"/>
      <c r="C442" s="86"/>
      <c r="D442" s="85"/>
    </row>
    <row r="443" spans="2:4" ht="13" x14ac:dyDescent="0.15">
      <c r="B443" s="85"/>
      <c r="C443" s="86"/>
      <c r="D443" s="85"/>
    </row>
    <row r="444" spans="2:4" ht="13" x14ac:dyDescent="0.15">
      <c r="B444" s="85"/>
      <c r="C444" s="86"/>
      <c r="D444" s="85"/>
    </row>
    <row r="445" spans="2:4" ht="13" x14ac:dyDescent="0.15">
      <c r="B445" s="85"/>
      <c r="C445" s="86"/>
      <c r="D445" s="85"/>
    </row>
    <row r="446" spans="2:4" ht="13" x14ac:dyDescent="0.15">
      <c r="B446" s="85"/>
      <c r="C446" s="86"/>
      <c r="D446" s="85"/>
    </row>
    <row r="447" spans="2:4" ht="13" x14ac:dyDescent="0.15">
      <c r="B447" s="85"/>
      <c r="C447" s="86"/>
      <c r="D447" s="85"/>
    </row>
    <row r="448" spans="2:4" ht="13" x14ac:dyDescent="0.15">
      <c r="B448" s="85"/>
      <c r="C448" s="86"/>
      <c r="D448" s="85"/>
    </row>
    <row r="449" spans="2:4" ht="13" x14ac:dyDescent="0.15">
      <c r="B449" s="85"/>
      <c r="C449" s="86"/>
      <c r="D449" s="85"/>
    </row>
    <row r="450" spans="2:4" ht="13" x14ac:dyDescent="0.15">
      <c r="B450" s="85"/>
      <c r="C450" s="86"/>
      <c r="D450" s="85"/>
    </row>
    <row r="451" spans="2:4" ht="13" x14ac:dyDescent="0.15">
      <c r="B451" s="85"/>
      <c r="C451" s="86"/>
      <c r="D451" s="85"/>
    </row>
    <row r="452" spans="2:4" ht="13" x14ac:dyDescent="0.15">
      <c r="B452" s="85"/>
      <c r="C452" s="86"/>
      <c r="D452" s="85"/>
    </row>
    <row r="453" spans="2:4" ht="13" x14ac:dyDescent="0.15">
      <c r="B453" s="85"/>
      <c r="C453" s="86"/>
      <c r="D453" s="85"/>
    </row>
    <row r="454" spans="2:4" ht="13" x14ac:dyDescent="0.15">
      <c r="B454" s="85"/>
      <c r="C454" s="86"/>
      <c r="D454" s="85"/>
    </row>
    <row r="455" spans="2:4" ht="13" x14ac:dyDescent="0.15">
      <c r="B455" s="85"/>
      <c r="C455" s="86"/>
      <c r="D455" s="85"/>
    </row>
    <row r="456" spans="2:4" ht="13" x14ac:dyDescent="0.15">
      <c r="B456" s="85"/>
      <c r="C456" s="86"/>
      <c r="D456" s="85"/>
    </row>
    <row r="457" spans="2:4" ht="13" x14ac:dyDescent="0.15">
      <c r="B457" s="85"/>
      <c r="C457" s="86"/>
      <c r="D457" s="85"/>
    </row>
    <row r="458" spans="2:4" ht="13" x14ac:dyDescent="0.15">
      <c r="B458" s="85"/>
      <c r="C458" s="86"/>
      <c r="D458" s="85"/>
    </row>
    <row r="459" spans="2:4" ht="13" x14ac:dyDescent="0.15">
      <c r="B459" s="85"/>
      <c r="C459" s="86"/>
      <c r="D459" s="85"/>
    </row>
    <row r="460" spans="2:4" ht="13" x14ac:dyDescent="0.15">
      <c r="B460" s="85"/>
      <c r="C460" s="86"/>
      <c r="D460" s="85"/>
    </row>
    <row r="461" spans="2:4" ht="13" x14ac:dyDescent="0.15">
      <c r="B461" s="85"/>
      <c r="C461" s="86"/>
      <c r="D461" s="85"/>
    </row>
    <row r="462" spans="2:4" ht="13" x14ac:dyDescent="0.15">
      <c r="B462" s="85"/>
      <c r="C462" s="86"/>
      <c r="D462" s="85"/>
    </row>
    <row r="463" spans="2:4" ht="13" x14ac:dyDescent="0.15">
      <c r="B463" s="85"/>
      <c r="C463" s="86"/>
      <c r="D463" s="85"/>
    </row>
    <row r="464" spans="2:4" ht="13" x14ac:dyDescent="0.15">
      <c r="B464" s="85"/>
      <c r="C464" s="86"/>
      <c r="D464" s="85"/>
    </row>
    <row r="465" spans="2:4" ht="13" x14ac:dyDescent="0.15">
      <c r="B465" s="85"/>
      <c r="C465" s="86"/>
      <c r="D465" s="85"/>
    </row>
    <row r="466" spans="2:4" ht="13" x14ac:dyDescent="0.15">
      <c r="B466" s="85"/>
      <c r="C466" s="86"/>
      <c r="D466" s="85"/>
    </row>
    <row r="467" spans="2:4" ht="13" x14ac:dyDescent="0.15">
      <c r="B467" s="85"/>
      <c r="C467" s="86"/>
      <c r="D467" s="85"/>
    </row>
    <row r="468" spans="2:4" ht="13" x14ac:dyDescent="0.15">
      <c r="B468" s="85"/>
      <c r="C468" s="86"/>
      <c r="D468" s="85"/>
    </row>
    <row r="469" spans="2:4" ht="13" x14ac:dyDescent="0.15">
      <c r="B469" s="85"/>
      <c r="C469" s="86"/>
      <c r="D469" s="85"/>
    </row>
    <row r="470" spans="2:4" ht="13" x14ac:dyDescent="0.15">
      <c r="B470" s="85"/>
      <c r="C470" s="86"/>
      <c r="D470" s="85"/>
    </row>
    <row r="471" spans="2:4" ht="13" x14ac:dyDescent="0.15">
      <c r="B471" s="85"/>
      <c r="C471" s="86"/>
      <c r="D471" s="85"/>
    </row>
    <row r="472" spans="2:4" ht="13" x14ac:dyDescent="0.15">
      <c r="B472" s="85"/>
      <c r="C472" s="86"/>
      <c r="D472" s="85"/>
    </row>
    <row r="473" spans="2:4" ht="13" x14ac:dyDescent="0.15">
      <c r="B473" s="85"/>
      <c r="C473" s="86"/>
      <c r="D473" s="85"/>
    </row>
    <row r="474" spans="2:4" ht="13" x14ac:dyDescent="0.15">
      <c r="B474" s="85"/>
      <c r="C474" s="86"/>
      <c r="D474" s="85"/>
    </row>
    <row r="475" spans="2:4" ht="13" x14ac:dyDescent="0.15">
      <c r="B475" s="85"/>
      <c r="C475" s="86"/>
      <c r="D475" s="85"/>
    </row>
    <row r="476" spans="2:4" ht="13" x14ac:dyDescent="0.15">
      <c r="B476" s="85"/>
      <c r="C476" s="86"/>
      <c r="D476" s="85"/>
    </row>
    <row r="477" spans="2:4" ht="13" x14ac:dyDescent="0.15">
      <c r="B477" s="85"/>
      <c r="C477" s="86"/>
      <c r="D477" s="85"/>
    </row>
    <row r="478" spans="2:4" ht="13" x14ac:dyDescent="0.15">
      <c r="B478" s="85"/>
      <c r="C478" s="86"/>
      <c r="D478" s="85"/>
    </row>
    <row r="479" spans="2:4" ht="13" x14ac:dyDescent="0.15">
      <c r="B479" s="85"/>
      <c r="C479" s="86"/>
      <c r="D479" s="85"/>
    </row>
    <row r="480" spans="2:4" ht="13" x14ac:dyDescent="0.15">
      <c r="B480" s="85"/>
      <c r="C480" s="86"/>
      <c r="D480" s="85"/>
    </row>
    <row r="481" spans="2:4" ht="13" x14ac:dyDescent="0.15">
      <c r="B481" s="85"/>
      <c r="C481" s="86"/>
      <c r="D481" s="85"/>
    </row>
    <row r="482" spans="2:4" ht="13" x14ac:dyDescent="0.15">
      <c r="B482" s="85"/>
      <c r="C482" s="86"/>
      <c r="D482" s="85"/>
    </row>
    <row r="483" spans="2:4" ht="13" x14ac:dyDescent="0.15">
      <c r="B483" s="85"/>
      <c r="C483" s="86"/>
      <c r="D483" s="85"/>
    </row>
    <row r="484" spans="2:4" ht="13" x14ac:dyDescent="0.15">
      <c r="B484" s="85"/>
      <c r="C484" s="86"/>
      <c r="D484" s="85"/>
    </row>
    <row r="485" spans="2:4" ht="13" x14ac:dyDescent="0.15">
      <c r="B485" s="85"/>
      <c r="C485" s="86"/>
      <c r="D485" s="85"/>
    </row>
    <row r="486" spans="2:4" ht="13" x14ac:dyDescent="0.15">
      <c r="B486" s="85"/>
      <c r="C486" s="86"/>
      <c r="D486" s="85"/>
    </row>
    <row r="487" spans="2:4" ht="13" x14ac:dyDescent="0.15">
      <c r="B487" s="85"/>
      <c r="C487" s="86"/>
      <c r="D487" s="85"/>
    </row>
    <row r="488" spans="2:4" ht="13" x14ac:dyDescent="0.15">
      <c r="B488" s="85"/>
      <c r="C488" s="86"/>
      <c r="D488" s="85"/>
    </row>
    <row r="489" spans="2:4" ht="13" x14ac:dyDescent="0.15">
      <c r="B489" s="85"/>
      <c r="C489" s="86"/>
      <c r="D489" s="85"/>
    </row>
    <row r="490" spans="2:4" ht="13" x14ac:dyDescent="0.15">
      <c r="B490" s="85"/>
      <c r="C490" s="86"/>
      <c r="D490" s="85"/>
    </row>
    <row r="491" spans="2:4" ht="13" x14ac:dyDescent="0.15">
      <c r="B491" s="85"/>
      <c r="C491" s="86"/>
      <c r="D491" s="85"/>
    </row>
    <row r="492" spans="2:4" ht="13" x14ac:dyDescent="0.15">
      <c r="B492" s="85"/>
      <c r="C492" s="86"/>
      <c r="D492" s="85"/>
    </row>
    <row r="493" spans="2:4" ht="13" x14ac:dyDescent="0.15">
      <c r="B493" s="85"/>
      <c r="C493" s="86"/>
      <c r="D493" s="85"/>
    </row>
    <row r="494" spans="2:4" ht="13" x14ac:dyDescent="0.15">
      <c r="B494" s="85"/>
      <c r="C494" s="86"/>
      <c r="D494" s="85"/>
    </row>
    <row r="495" spans="2:4" ht="13" x14ac:dyDescent="0.15">
      <c r="B495" s="85"/>
      <c r="C495" s="86"/>
      <c r="D495" s="85"/>
    </row>
    <row r="496" spans="2:4" ht="13" x14ac:dyDescent="0.15">
      <c r="B496" s="85"/>
      <c r="C496" s="86"/>
      <c r="D496" s="85"/>
    </row>
    <row r="497" spans="2:4" ht="13" x14ac:dyDescent="0.15">
      <c r="B497" s="85"/>
      <c r="C497" s="86"/>
      <c r="D497" s="85"/>
    </row>
    <row r="498" spans="2:4" ht="13" x14ac:dyDescent="0.15">
      <c r="B498" s="85"/>
      <c r="C498" s="86"/>
      <c r="D498" s="85"/>
    </row>
    <row r="499" spans="2:4" ht="13" x14ac:dyDescent="0.15">
      <c r="B499" s="85"/>
      <c r="C499" s="86"/>
      <c r="D499" s="85"/>
    </row>
    <row r="500" spans="2:4" ht="13" x14ac:dyDescent="0.15">
      <c r="B500" s="85"/>
      <c r="C500" s="86"/>
      <c r="D500" s="85"/>
    </row>
    <row r="501" spans="2:4" ht="13" x14ac:dyDescent="0.15">
      <c r="B501" s="85"/>
      <c r="C501" s="86"/>
      <c r="D501" s="85"/>
    </row>
    <row r="502" spans="2:4" ht="13" x14ac:dyDescent="0.15">
      <c r="B502" s="85"/>
      <c r="C502" s="86"/>
      <c r="D502" s="85"/>
    </row>
    <row r="503" spans="2:4" ht="13" x14ac:dyDescent="0.15">
      <c r="B503" s="85"/>
      <c r="C503" s="86"/>
      <c r="D503" s="85"/>
    </row>
    <row r="504" spans="2:4" ht="13" x14ac:dyDescent="0.15">
      <c r="B504" s="85"/>
      <c r="C504" s="86"/>
      <c r="D504" s="85"/>
    </row>
    <row r="505" spans="2:4" ht="13" x14ac:dyDescent="0.15">
      <c r="B505" s="85"/>
      <c r="C505" s="86"/>
      <c r="D505" s="85"/>
    </row>
    <row r="506" spans="2:4" ht="13" x14ac:dyDescent="0.15">
      <c r="B506" s="85"/>
      <c r="C506" s="86"/>
      <c r="D506" s="85"/>
    </row>
    <row r="507" spans="2:4" ht="13" x14ac:dyDescent="0.15">
      <c r="B507" s="85"/>
      <c r="C507" s="86"/>
      <c r="D507" s="85"/>
    </row>
    <row r="508" spans="2:4" ht="13" x14ac:dyDescent="0.15">
      <c r="B508" s="85"/>
      <c r="C508" s="86"/>
      <c r="D508" s="85"/>
    </row>
    <row r="509" spans="2:4" ht="13" x14ac:dyDescent="0.15">
      <c r="B509" s="85"/>
      <c r="C509" s="86"/>
      <c r="D509" s="85"/>
    </row>
    <row r="510" spans="2:4" ht="13" x14ac:dyDescent="0.15">
      <c r="B510" s="85"/>
      <c r="C510" s="86"/>
      <c r="D510" s="85"/>
    </row>
    <row r="511" spans="2:4" ht="13" x14ac:dyDescent="0.15">
      <c r="B511" s="85"/>
      <c r="C511" s="86"/>
      <c r="D511" s="85"/>
    </row>
    <row r="512" spans="2:4" ht="13" x14ac:dyDescent="0.15">
      <c r="B512" s="85"/>
      <c r="C512" s="86"/>
      <c r="D512" s="85"/>
    </row>
    <row r="513" spans="2:4" ht="13" x14ac:dyDescent="0.15">
      <c r="B513" s="85"/>
      <c r="C513" s="86"/>
      <c r="D513" s="85"/>
    </row>
    <row r="514" spans="2:4" ht="13" x14ac:dyDescent="0.15">
      <c r="B514" s="85"/>
      <c r="C514" s="86"/>
      <c r="D514" s="85"/>
    </row>
    <row r="515" spans="2:4" ht="13" x14ac:dyDescent="0.15">
      <c r="B515" s="85"/>
      <c r="C515" s="86"/>
      <c r="D515" s="85"/>
    </row>
    <row r="516" spans="2:4" ht="13" x14ac:dyDescent="0.15">
      <c r="B516" s="85"/>
      <c r="C516" s="86"/>
      <c r="D516" s="85"/>
    </row>
    <row r="517" spans="2:4" ht="13" x14ac:dyDescent="0.15">
      <c r="B517" s="85"/>
      <c r="C517" s="86"/>
      <c r="D517" s="85"/>
    </row>
    <row r="518" spans="2:4" ht="13" x14ac:dyDescent="0.15">
      <c r="B518" s="85"/>
      <c r="C518" s="86"/>
      <c r="D518" s="85"/>
    </row>
    <row r="519" spans="2:4" ht="13" x14ac:dyDescent="0.15">
      <c r="B519" s="85"/>
      <c r="C519" s="86"/>
      <c r="D519" s="85"/>
    </row>
    <row r="520" spans="2:4" ht="13" x14ac:dyDescent="0.15">
      <c r="B520" s="85"/>
      <c r="C520" s="86"/>
      <c r="D520" s="85"/>
    </row>
    <row r="521" spans="2:4" ht="13" x14ac:dyDescent="0.15">
      <c r="B521" s="85"/>
      <c r="C521" s="86"/>
      <c r="D521" s="85"/>
    </row>
    <row r="522" spans="2:4" ht="13" x14ac:dyDescent="0.15">
      <c r="B522" s="85"/>
      <c r="C522" s="86"/>
      <c r="D522" s="85"/>
    </row>
    <row r="523" spans="2:4" ht="13" x14ac:dyDescent="0.15">
      <c r="B523" s="85"/>
      <c r="C523" s="86"/>
      <c r="D523" s="85"/>
    </row>
    <row r="524" spans="2:4" ht="13" x14ac:dyDescent="0.15">
      <c r="B524" s="85"/>
      <c r="C524" s="86"/>
      <c r="D524" s="85"/>
    </row>
    <row r="525" spans="2:4" ht="13" x14ac:dyDescent="0.15">
      <c r="B525" s="85"/>
      <c r="C525" s="86"/>
      <c r="D525" s="85"/>
    </row>
    <row r="526" spans="2:4" ht="13" x14ac:dyDescent="0.15">
      <c r="B526" s="85"/>
      <c r="C526" s="86"/>
      <c r="D526" s="85"/>
    </row>
    <row r="527" spans="2:4" ht="13" x14ac:dyDescent="0.15">
      <c r="B527" s="85"/>
      <c r="C527" s="86"/>
      <c r="D527" s="85"/>
    </row>
    <row r="528" spans="2:4" ht="13" x14ac:dyDescent="0.15">
      <c r="B528" s="85"/>
      <c r="C528" s="86"/>
      <c r="D528" s="85"/>
    </row>
    <row r="529" spans="2:4" ht="13" x14ac:dyDescent="0.15">
      <c r="B529" s="85"/>
      <c r="C529" s="86"/>
      <c r="D529" s="85"/>
    </row>
    <row r="530" spans="2:4" ht="13" x14ac:dyDescent="0.15">
      <c r="B530" s="85"/>
      <c r="C530" s="86"/>
      <c r="D530" s="85"/>
    </row>
    <row r="531" spans="2:4" ht="13" x14ac:dyDescent="0.15">
      <c r="B531" s="85"/>
      <c r="C531" s="86"/>
      <c r="D531" s="85"/>
    </row>
    <row r="532" spans="2:4" ht="13" x14ac:dyDescent="0.15">
      <c r="B532" s="85"/>
      <c r="C532" s="86"/>
      <c r="D532" s="85"/>
    </row>
    <row r="533" spans="2:4" ht="13" x14ac:dyDescent="0.15">
      <c r="B533" s="85"/>
      <c r="C533" s="86"/>
      <c r="D533" s="85"/>
    </row>
    <row r="534" spans="2:4" ht="13" x14ac:dyDescent="0.15">
      <c r="B534" s="85"/>
      <c r="C534" s="86"/>
      <c r="D534" s="85"/>
    </row>
    <row r="535" spans="2:4" ht="13" x14ac:dyDescent="0.15">
      <c r="B535" s="85"/>
      <c r="C535" s="86"/>
      <c r="D535" s="85"/>
    </row>
    <row r="536" spans="2:4" ht="13" x14ac:dyDescent="0.15">
      <c r="B536" s="85"/>
      <c r="C536" s="86"/>
      <c r="D536" s="85"/>
    </row>
    <row r="537" spans="2:4" ht="13" x14ac:dyDescent="0.15">
      <c r="B537" s="85"/>
      <c r="C537" s="86"/>
      <c r="D537" s="85"/>
    </row>
    <row r="538" spans="2:4" ht="13" x14ac:dyDescent="0.15">
      <c r="B538" s="85"/>
      <c r="C538" s="86"/>
      <c r="D538" s="85"/>
    </row>
    <row r="539" spans="2:4" ht="13" x14ac:dyDescent="0.15">
      <c r="B539" s="85"/>
      <c r="C539" s="86"/>
      <c r="D539" s="85"/>
    </row>
    <row r="540" spans="2:4" ht="13" x14ac:dyDescent="0.15">
      <c r="B540" s="85"/>
      <c r="C540" s="86"/>
      <c r="D540" s="85"/>
    </row>
    <row r="541" spans="2:4" ht="13" x14ac:dyDescent="0.15">
      <c r="B541" s="85"/>
      <c r="C541" s="86"/>
      <c r="D541" s="85"/>
    </row>
    <row r="542" spans="2:4" ht="13" x14ac:dyDescent="0.15">
      <c r="B542" s="85"/>
      <c r="C542" s="86"/>
      <c r="D542" s="85"/>
    </row>
    <row r="543" spans="2:4" ht="13" x14ac:dyDescent="0.15">
      <c r="B543" s="85"/>
      <c r="C543" s="86"/>
      <c r="D543" s="85"/>
    </row>
    <row r="544" spans="2:4" ht="13" x14ac:dyDescent="0.15">
      <c r="B544" s="85"/>
      <c r="C544" s="86"/>
      <c r="D544" s="85"/>
    </row>
    <row r="545" spans="2:4" ht="13" x14ac:dyDescent="0.15">
      <c r="B545" s="85"/>
      <c r="C545" s="86"/>
      <c r="D545" s="85"/>
    </row>
    <row r="546" spans="2:4" ht="13" x14ac:dyDescent="0.15">
      <c r="B546" s="85"/>
      <c r="C546" s="86"/>
      <c r="D546" s="85"/>
    </row>
    <row r="547" spans="2:4" ht="13" x14ac:dyDescent="0.15">
      <c r="B547" s="85"/>
      <c r="C547" s="86"/>
      <c r="D547" s="85"/>
    </row>
    <row r="548" spans="2:4" ht="13" x14ac:dyDescent="0.15">
      <c r="B548" s="85"/>
      <c r="C548" s="86"/>
      <c r="D548" s="85"/>
    </row>
    <row r="549" spans="2:4" ht="13" x14ac:dyDescent="0.15">
      <c r="B549" s="85"/>
      <c r="C549" s="86"/>
      <c r="D549" s="85"/>
    </row>
    <row r="550" spans="2:4" ht="13" x14ac:dyDescent="0.15">
      <c r="B550" s="85"/>
      <c r="C550" s="86"/>
      <c r="D550" s="85"/>
    </row>
    <row r="551" spans="2:4" ht="13" x14ac:dyDescent="0.15">
      <c r="B551" s="85"/>
      <c r="C551" s="86"/>
      <c r="D551" s="85"/>
    </row>
    <row r="552" spans="2:4" ht="13" x14ac:dyDescent="0.15">
      <c r="B552" s="85"/>
      <c r="C552" s="86"/>
      <c r="D552" s="85"/>
    </row>
    <row r="553" spans="2:4" ht="13" x14ac:dyDescent="0.15">
      <c r="B553" s="85"/>
      <c r="C553" s="86"/>
      <c r="D553" s="85"/>
    </row>
    <row r="554" spans="2:4" ht="13" x14ac:dyDescent="0.15">
      <c r="B554" s="85"/>
      <c r="C554" s="86"/>
      <c r="D554" s="85"/>
    </row>
    <row r="555" spans="2:4" ht="13" x14ac:dyDescent="0.15">
      <c r="B555" s="85"/>
      <c r="C555" s="86"/>
      <c r="D555" s="85"/>
    </row>
    <row r="556" spans="2:4" ht="13" x14ac:dyDescent="0.15">
      <c r="B556" s="85"/>
      <c r="C556" s="86"/>
      <c r="D556" s="85"/>
    </row>
    <row r="557" spans="2:4" ht="13" x14ac:dyDescent="0.15">
      <c r="B557" s="85"/>
      <c r="C557" s="86"/>
      <c r="D557" s="85"/>
    </row>
    <row r="558" spans="2:4" ht="13" x14ac:dyDescent="0.15">
      <c r="B558" s="85"/>
      <c r="C558" s="86"/>
      <c r="D558" s="85"/>
    </row>
    <row r="559" spans="2:4" ht="13" x14ac:dyDescent="0.15">
      <c r="B559" s="85"/>
      <c r="C559" s="86"/>
      <c r="D559" s="85"/>
    </row>
    <row r="560" spans="2:4" ht="13" x14ac:dyDescent="0.15">
      <c r="B560" s="85"/>
      <c r="C560" s="86"/>
      <c r="D560" s="85"/>
    </row>
    <row r="561" spans="2:4" ht="13" x14ac:dyDescent="0.15">
      <c r="B561" s="85"/>
      <c r="C561" s="86"/>
      <c r="D561" s="85"/>
    </row>
    <row r="562" spans="2:4" ht="13" x14ac:dyDescent="0.15">
      <c r="B562" s="85"/>
      <c r="C562" s="86"/>
      <c r="D562" s="85"/>
    </row>
    <row r="563" spans="2:4" ht="13" x14ac:dyDescent="0.15">
      <c r="B563" s="85"/>
      <c r="C563" s="86"/>
      <c r="D563" s="85"/>
    </row>
    <row r="564" spans="2:4" ht="13" x14ac:dyDescent="0.15">
      <c r="B564" s="85"/>
      <c r="C564" s="86"/>
      <c r="D564" s="85"/>
    </row>
    <row r="565" spans="2:4" ht="13" x14ac:dyDescent="0.15">
      <c r="B565" s="85"/>
      <c r="C565" s="86"/>
      <c r="D565" s="85"/>
    </row>
    <row r="566" spans="2:4" ht="13" x14ac:dyDescent="0.15">
      <c r="B566" s="85"/>
      <c r="C566" s="86"/>
      <c r="D566" s="85"/>
    </row>
    <row r="567" spans="2:4" ht="13" x14ac:dyDescent="0.15">
      <c r="B567" s="85"/>
      <c r="C567" s="86"/>
      <c r="D567" s="85"/>
    </row>
    <row r="568" spans="2:4" ht="13" x14ac:dyDescent="0.15">
      <c r="B568" s="85"/>
      <c r="C568" s="86"/>
      <c r="D568" s="85"/>
    </row>
    <row r="569" spans="2:4" ht="13" x14ac:dyDescent="0.15">
      <c r="B569" s="85"/>
      <c r="C569" s="86"/>
      <c r="D569" s="85"/>
    </row>
    <row r="570" spans="2:4" ht="13" x14ac:dyDescent="0.15">
      <c r="B570" s="85"/>
      <c r="C570" s="86"/>
      <c r="D570" s="85"/>
    </row>
    <row r="571" spans="2:4" ht="13" x14ac:dyDescent="0.15">
      <c r="B571" s="85"/>
      <c r="C571" s="86"/>
      <c r="D571" s="85"/>
    </row>
    <row r="572" spans="2:4" ht="13" x14ac:dyDescent="0.15">
      <c r="B572" s="85"/>
      <c r="C572" s="86"/>
      <c r="D572" s="85"/>
    </row>
    <row r="573" spans="2:4" ht="13" x14ac:dyDescent="0.15">
      <c r="B573" s="85"/>
      <c r="C573" s="86"/>
      <c r="D573" s="85"/>
    </row>
    <row r="574" spans="2:4" ht="13" x14ac:dyDescent="0.15">
      <c r="B574" s="85"/>
      <c r="C574" s="86"/>
      <c r="D574" s="85"/>
    </row>
    <row r="575" spans="2:4" ht="13" x14ac:dyDescent="0.15">
      <c r="B575" s="85"/>
      <c r="C575" s="86"/>
      <c r="D575" s="85"/>
    </row>
    <row r="576" spans="2:4" ht="13" x14ac:dyDescent="0.15">
      <c r="B576" s="85"/>
      <c r="C576" s="86"/>
      <c r="D576" s="85"/>
    </row>
    <row r="577" spans="2:4" ht="13" x14ac:dyDescent="0.15">
      <c r="B577" s="85"/>
      <c r="C577" s="86"/>
      <c r="D577" s="85"/>
    </row>
    <row r="578" spans="2:4" ht="13" x14ac:dyDescent="0.15">
      <c r="B578" s="85"/>
      <c r="C578" s="86"/>
      <c r="D578" s="85"/>
    </row>
    <row r="579" spans="2:4" ht="13" x14ac:dyDescent="0.15">
      <c r="B579" s="85"/>
      <c r="C579" s="86"/>
      <c r="D579" s="85"/>
    </row>
    <row r="580" spans="2:4" ht="13" x14ac:dyDescent="0.15">
      <c r="B580" s="85"/>
      <c r="C580" s="86"/>
      <c r="D580" s="85"/>
    </row>
    <row r="581" spans="2:4" ht="13" x14ac:dyDescent="0.15">
      <c r="B581" s="85"/>
      <c r="C581" s="86"/>
      <c r="D581" s="85"/>
    </row>
    <row r="582" spans="2:4" ht="13" x14ac:dyDescent="0.15">
      <c r="B582" s="85"/>
      <c r="C582" s="86"/>
      <c r="D582" s="85"/>
    </row>
    <row r="583" spans="2:4" ht="13" x14ac:dyDescent="0.15">
      <c r="B583" s="85"/>
      <c r="C583" s="86"/>
      <c r="D583" s="85"/>
    </row>
    <row r="584" spans="2:4" ht="13" x14ac:dyDescent="0.15">
      <c r="B584" s="85"/>
      <c r="C584" s="86"/>
      <c r="D584" s="85"/>
    </row>
    <row r="585" spans="2:4" ht="13" x14ac:dyDescent="0.15">
      <c r="B585" s="85"/>
      <c r="C585" s="86"/>
      <c r="D585" s="85"/>
    </row>
    <row r="586" spans="2:4" ht="13" x14ac:dyDescent="0.15">
      <c r="B586" s="85"/>
      <c r="C586" s="86"/>
      <c r="D586" s="85"/>
    </row>
    <row r="587" spans="2:4" ht="13" x14ac:dyDescent="0.15">
      <c r="B587" s="85"/>
      <c r="C587" s="86"/>
      <c r="D587" s="85"/>
    </row>
    <row r="588" spans="2:4" ht="13" x14ac:dyDescent="0.15">
      <c r="B588" s="85"/>
      <c r="C588" s="86"/>
      <c r="D588" s="85"/>
    </row>
    <row r="589" spans="2:4" ht="13" x14ac:dyDescent="0.15">
      <c r="B589" s="85"/>
      <c r="C589" s="86"/>
      <c r="D589" s="85"/>
    </row>
    <row r="590" spans="2:4" ht="13" x14ac:dyDescent="0.15">
      <c r="B590" s="85"/>
      <c r="C590" s="86"/>
      <c r="D590" s="85"/>
    </row>
    <row r="591" spans="2:4" ht="13" x14ac:dyDescent="0.15">
      <c r="B591" s="85"/>
      <c r="C591" s="86"/>
      <c r="D591" s="85"/>
    </row>
    <row r="592" spans="2:4" ht="13" x14ac:dyDescent="0.15">
      <c r="B592" s="85"/>
      <c r="C592" s="86"/>
      <c r="D592" s="85"/>
    </row>
    <row r="593" spans="2:4" ht="13" x14ac:dyDescent="0.15">
      <c r="B593" s="85"/>
      <c r="C593" s="86"/>
      <c r="D593" s="85"/>
    </row>
    <row r="594" spans="2:4" ht="13" x14ac:dyDescent="0.15">
      <c r="B594" s="85"/>
      <c r="C594" s="86"/>
      <c r="D594" s="85"/>
    </row>
    <row r="595" spans="2:4" ht="13" x14ac:dyDescent="0.15">
      <c r="B595" s="85"/>
      <c r="C595" s="86"/>
      <c r="D595" s="85"/>
    </row>
    <row r="596" spans="2:4" ht="13" x14ac:dyDescent="0.15">
      <c r="B596" s="85"/>
      <c r="C596" s="86"/>
      <c r="D596" s="85"/>
    </row>
    <row r="597" spans="2:4" ht="13" x14ac:dyDescent="0.15">
      <c r="B597" s="85"/>
      <c r="C597" s="86"/>
      <c r="D597" s="85"/>
    </row>
    <row r="598" spans="2:4" ht="13" x14ac:dyDescent="0.15">
      <c r="B598" s="85"/>
      <c r="C598" s="86"/>
      <c r="D598" s="85"/>
    </row>
    <row r="599" spans="2:4" ht="13" x14ac:dyDescent="0.15">
      <c r="B599" s="85"/>
      <c r="C599" s="86"/>
      <c r="D599" s="85"/>
    </row>
    <row r="600" spans="2:4" ht="13" x14ac:dyDescent="0.15">
      <c r="B600" s="85"/>
      <c r="C600" s="86"/>
      <c r="D600" s="85"/>
    </row>
    <row r="601" spans="2:4" ht="13" x14ac:dyDescent="0.15">
      <c r="B601" s="85"/>
      <c r="C601" s="86"/>
      <c r="D601" s="85"/>
    </row>
    <row r="602" spans="2:4" ht="13" x14ac:dyDescent="0.15">
      <c r="B602" s="85"/>
      <c r="C602" s="86"/>
      <c r="D602" s="85"/>
    </row>
    <row r="603" spans="2:4" ht="13" x14ac:dyDescent="0.15">
      <c r="B603" s="85"/>
      <c r="C603" s="86"/>
      <c r="D603" s="85"/>
    </row>
    <row r="604" spans="2:4" ht="13" x14ac:dyDescent="0.15">
      <c r="B604" s="85"/>
      <c r="C604" s="86"/>
      <c r="D604" s="85"/>
    </row>
    <row r="605" spans="2:4" ht="13" x14ac:dyDescent="0.15">
      <c r="B605" s="85"/>
      <c r="C605" s="86"/>
      <c r="D605" s="85"/>
    </row>
    <row r="606" spans="2:4" ht="13" x14ac:dyDescent="0.15">
      <c r="B606" s="85"/>
      <c r="C606" s="86"/>
      <c r="D606" s="85"/>
    </row>
    <row r="607" spans="2:4" ht="13" x14ac:dyDescent="0.15">
      <c r="B607" s="85"/>
      <c r="C607" s="86"/>
      <c r="D607" s="85"/>
    </row>
    <row r="608" spans="2:4" ht="13" x14ac:dyDescent="0.15">
      <c r="B608" s="85"/>
      <c r="C608" s="86"/>
      <c r="D608" s="85"/>
    </row>
    <row r="609" spans="2:4" ht="13" x14ac:dyDescent="0.15">
      <c r="B609" s="85"/>
      <c r="C609" s="86"/>
      <c r="D609" s="85"/>
    </row>
    <row r="610" spans="2:4" ht="13" x14ac:dyDescent="0.15">
      <c r="B610" s="85"/>
      <c r="C610" s="86"/>
      <c r="D610" s="85"/>
    </row>
    <row r="611" spans="2:4" ht="13" x14ac:dyDescent="0.15">
      <c r="B611" s="85"/>
      <c r="C611" s="86"/>
      <c r="D611" s="85"/>
    </row>
    <row r="612" spans="2:4" ht="13" x14ac:dyDescent="0.15">
      <c r="B612" s="85"/>
      <c r="C612" s="86"/>
      <c r="D612" s="85"/>
    </row>
    <row r="613" spans="2:4" ht="13" x14ac:dyDescent="0.15">
      <c r="B613" s="85"/>
      <c r="C613" s="86"/>
      <c r="D613" s="85"/>
    </row>
    <row r="614" spans="2:4" ht="13" x14ac:dyDescent="0.15">
      <c r="B614" s="85"/>
      <c r="C614" s="86"/>
      <c r="D614" s="85"/>
    </row>
    <row r="615" spans="2:4" ht="13" x14ac:dyDescent="0.15">
      <c r="B615" s="85"/>
      <c r="C615" s="86"/>
      <c r="D615" s="85"/>
    </row>
    <row r="616" spans="2:4" ht="13" x14ac:dyDescent="0.15">
      <c r="B616" s="85"/>
      <c r="C616" s="86"/>
      <c r="D616" s="85"/>
    </row>
    <row r="617" spans="2:4" ht="13" x14ac:dyDescent="0.15">
      <c r="B617" s="85"/>
      <c r="C617" s="86"/>
      <c r="D617" s="85"/>
    </row>
    <row r="618" spans="2:4" ht="13" x14ac:dyDescent="0.15">
      <c r="B618" s="85"/>
      <c r="C618" s="86"/>
      <c r="D618" s="85"/>
    </row>
    <row r="619" spans="2:4" ht="13" x14ac:dyDescent="0.15">
      <c r="B619" s="85"/>
      <c r="C619" s="86"/>
      <c r="D619" s="85"/>
    </row>
    <row r="620" spans="2:4" ht="13" x14ac:dyDescent="0.15">
      <c r="B620" s="85"/>
      <c r="C620" s="86"/>
      <c r="D620" s="85"/>
    </row>
    <row r="621" spans="2:4" ht="13" x14ac:dyDescent="0.15">
      <c r="B621" s="85"/>
      <c r="C621" s="86"/>
      <c r="D621" s="85"/>
    </row>
    <row r="622" spans="2:4" ht="13" x14ac:dyDescent="0.15">
      <c r="B622" s="85"/>
      <c r="C622" s="86"/>
      <c r="D622" s="85"/>
    </row>
    <row r="623" spans="2:4" ht="13" x14ac:dyDescent="0.15">
      <c r="B623" s="85"/>
      <c r="C623" s="86"/>
      <c r="D623" s="85"/>
    </row>
    <row r="624" spans="2:4" ht="13" x14ac:dyDescent="0.15">
      <c r="B624" s="85"/>
      <c r="C624" s="86"/>
      <c r="D624" s="85"/>
    </row>
    <row r="625" spans="2:4" ht="13" x14ac:dyDescent="0.15">
      <c r="B625" s="85"/>
      <c r="C625" s="86"/>
      <c r="D625" s="85"/>
    </row>
    <row r="626" spans="2:4" ht="13" x14ac:dyDescent="0.15">
      <c r="B626" s="85"/>
      <c r="C626" s="86"/>
      <c r="D626" s="85"/>
    </row>
    <row r="627" spans="2:4" ht="13" x14ac:dyDescent="0.15">
      <c r="B627" s="85"/>
      <c r="C627" s="86"/>
      <c r="D627" s="85"/>
    </row>
    <row r="628" spans="2:4" ht="13" x14ac:dyDescent="0.15">
      <c r="B628" s="85"/>
      <c r="C628" s="86"/>
      <c r="D628" s="85"/>
    </row>
    <row r="629" spans="2:4" ht="13" x14ac:dyDescent="0.15">
      <c r="B629" s="85"/>
      <c r="C629" s="86"/>
      <c r="D629" s="85"/>
    </row>
    <row r="630" spans="2:4" ht="13" x14ac:dyDescent="0.15">
      <c r="B630" s="85"/>
      <c r="C630" s="86"/>
      <c r="D630" s="85"/>
    </row>
    <row r="631" spans="2:4" ht="13" x14ac:dyDescent="0.15">
      <c r="B631" s="85"/>
      <c r="C631" s="86"/>
      <c r="D631" s="85"/>
    </row>
    <row r="632" spans="2:4" ht="13" x14ac:dyDescent="0.15">
      <c r="B632" s="85"/>
      <c r="C632" s="86"/>
      <c r="D632" s="85"/>
    </row>
    <row r="633" spans="2:4" ht="13" x14ac:dyDescent="0.15">
      <c r="B633" s="85"/>
      <c r="C633" s="86"/>
      <c r="D633" s="85"/>
    </row>
    <row r="634" spans="2:4" ht="13" x14ac:dyDescent="0.15">
      <c r="B634" s="85"/>
      <c r="C634" s="86"/>
      <c r="D634" s="85"/>
    </row>
    <row r="635" spans="2:4" ht="13" x14ac:dyDescent="0.15">
      <c r="B635" s="85"/>
      <c r="C635" s="86"/>
      <c r="D635" s="85"/>
    </row>
    <row r="636" spans="2:4" ht="13" x14ac:dyDescent="0.15">
      <c r="B636" s="85"/>
      <c r="C636" s="86"/>
      <c r="D636" s="85"/>
    </row>
    <row r="637" spans="2:4" ht="13" x14ac:dyDescent="0.15">
      <c r="B637" s="85"/>
      <c r="C637" s="86"/>
      <c r="D637" s="85"/>
    </row>
    <row r="638" spans="2:4" ht="13" x14ac:dyDescent="0.15">
      <c r="B638" s="85"/>
      <c r="C638" s="86"/>
      <c r="D638" s="85"/>
    </row>
    <row r="639" spans="2:4" ht="13" x14ac:dyDescent="0.15">
      <c r="B639" s="85"/>
      <c r="C639" s="86"/>
      <c r="D639" s="85"/>
    </row>
    <row r="640" spans="2:4" ht="13" x14ac:dyDescent="0.15">
      <c r="B640" s="85"/>
      <c r="C640" s="86"/>
      <c r="D640" s="85"/>
    </row>
    <row r="641" spans="2:4" ht="13" x14ac:dyDescent="0.15">
      <c r="B641" s="85"/>
      <c r="C641" s="86"/>
      <c r="D641" s="85"/>
    </row>
    <row r="642" spans="2:4" ht="13" x14ac:dyDescent="0.15">
      <c r="B642" s="85"/>
      <c r="C642" s="86"/>
      <c r="D642" s="85"/>
    </row>
    <row r="643" spans="2:4" ht="13" x14ac:dyDescent="0.15">
      <c r="B643" s="85"/>
      <c r="C643" s="86"/>
      <c r="D643" s="85"/>
    </row>
    <row r="644" spans="2:4" ht="13" x14ac:dyDescent="0.15">
      <c r="B644" s="85"/>
      <c r="C644" s="86"/>
      <c r="D644" s="85"/>
    </row>
    <row r="645" spans="2:4" ht="13" x14ac:dyDescent="0.15">
      <c r="B645" s="85"/>
      <c r="C645" s="86"/>
      <c r="D645" s="85"/>
    </row>
    <row r="646" spans="2:4" ht="13" x14ac:dyDescent="0.15">
      <c r="B646" s="85"/>
      <c r="C646" s="86"/>
      <c r="D646" s="85"/>
    </row>
    <row r="647" spans="2:4" ht="13" x14ac:dyDescent="0.15">
      <c r="B647" s="85"/>
      <c r="C647" s="86"/>
      <c r="D647" s="85"/>
    </row>
    <row r="648" spans="2:4" ht="13" x14ac:dyDescent="0.15">
      <c r="B648" s="85"/>
      <c r="C648" s="86"/>
      <c r="D648" s="85"/>
    </row>
    <row r="649" spans="2:4" ht="13" x14ac:dyDescent="0.15">
      <c r="B649" s="85"/>
      <c r="C649" s="86"/>
      <c r="D649" s="85"/>
    </row>
    <row r="650" spans="2:4" ht="13" x14ac:dyDescent="0.15">
      <c r="B650" s="85"/>
      <c r="C650" s="86"/>
      <c r="D650" s="85"/>
    </row>
    <row r="651" spans="2:4" ht="13" x14ac:dyDescent="0.15">
      <c r="B651" s="85"/>
      <c r="C651" s="86"/>
      <c r="D651" s="85"/>
    </row>
    <row r="652" spans="2:4" ht="13" x14ac:dyDescent="0.15">
      <c r="B652" s="85"/>
      <c r="C652" s="86"/>
      <c r="D652" s="85"/>
    </row>
    <row r="653" spans="2:4" ht="13" x14ac:dyDescent="0.15">
      <c r="B653" s="85"/>
      <c r="C653" s="86"/>
      <c r="D653" s="85"/>
    </row>
    <row r="654" spans="2:4" ht="13" x14ac:dyDescent="0.15">
      <c r="B654" s="85"/>
      <c r="C654" s="86"/>
      <c r="D654" s="85"/>
    </row>
    <row r="655" spans="2:4" ht="13" x14ac:dyDescent="0.15">
      <c r="B655" s="85"/>
      <c r="C655" s="86"/>
      <c r="D655" s="85"/>
    </row>
    <row r="656" spans="2:4" ht="13" x14ac:dyDescent="0.15">
      <c r="B656" s="85"/>
      <c r="C656" s="86"/>
      <c r="D656" s="85"/>
    </row>
    <row r="657" spans="2:4" ht="13" x14ac:dyDescent="0.15">
      <c r="B657" s="85"/>
      <c r="C657" s="86"/>
      <c r="D657" s="85"/>
    </row>
    <row r="658" spans="2:4" ht="13" x14ac:dyDescent="0.15">
      <c r="B658" s="85"/>
      <c r="C658" s="86"/>
      <c r="D658" s="85"/>
    </row>
    <row r="659" spans="2:4" ht="13" x14ac:dyDescent="0.15">
      <c r="B659" s="85"/>
      <c r="C659" s="86"/>
      <c r="D659" s="85"/>
    </row>
    <row r="660" spans="2:4" ht="13" x14ac:dyDescent="0.15">
      <c r="B660" s="85"/>
      <c r="C660" s="86"/>
      <c r="D660" s="85"/>
    </row>
    <row r="661" spans="2:4" ht="13" x14ac:dyDescent="0.15">
      <c r="B661" s="85"/>
      <c r="C661" s="86"/>
      <c r="D661" s="85"/>
    </row>
    <row r="662" spans="2:4" ht="13" x14ac:dyDescent="0.15">
      <c r="B662" s="85"/>
      <c r="C662" s="86"/>
      <c r="D662" s="85"/>
    </row>
    <row r="663" spans="2:4" ht="13" x14ac:dyDescent="0.15">
      <c r="B663" s="85"/>
      <c r="C663" s="86"/>
      <c r="D663" s="85"/>
    </row>
    <row r="664" spans="2:4" ht="13" x14ac:dyDescent="0.15">
      <c r="B664" s="85"/>
      <c r="C664" s="86"/>
      <c r="D664" s="85"/>
    </row>
    <row r="665" spans="2:4" ht="13" x14ac:dyDescent="0.15">
      <c r="B665" s="85"/>
      <c r="C665" s="86"/>
      <c r="D665" s="85"/>
    </row>
    <row r="666" spans="2:4" ht="13" x14ac:dyDescent="0.15">
      <c r="B666" s="85"/>
      <c r="C666" s="86"/>
      <c r="D666" s="85"/>
    </row>
    <row r="667" spans="2:4" ht="13" x14ac:dyDescent="0.15">
      <c r="B667" s="85"/>
      <c r="C667" s="86"/>
      <c r="D667" s="85"/>
    </row>
    <row r="668" spans="2:4" ht="13" x14ac:dyDescent="0.15">
      <c r="B668" s="85"/>
      <c r="C668" s="86"/>
      <c r="D668" s="85"/>
    </row>
    <row r="669" spans="2:4" ht="13" x14ac:dyDescent="0.15">
      <c r="B669" s="85"/>
      <c r="C669" s="86"/>
      <c r="D669" s="85"/>
    </row>
    <row r="670" spans="2:4" ht="13" x14ac:dyDescent="0.15">
      <c r="B670" s="85"/>
      <c r="C670" s="86"/>
      <c r="D670" s="85"/>
    </row>
    <row r="671" spans="2:4" ht="13" x14ac:dyDescent="0.15">
      <c r="B671" s="85"/>
      <c r="C671" s="86"/>
      <c r="D671" s="85"/>
    </row>
    <row r="672" spans="2:4" ht="13" x14ac:dyDescent="0.15">
      <c r="B672" s="85"/>
      <c r="C672" s="86"/>
      <c r="D672" s="85"/>
    </row>
    <row r="673" spans="2:4" ht="13" x14ac:dyDescent="0.15">
      <c r="B673" s="85"/>
      <c r="C673" s="86"/>
      <c r="D673" s="85"/>
    </row>
    <row r="674" spans="2:4" ht="13" x14ac:dyDescent="0.15">
      <c r="B674" s="85"/>
      <c r="C674" s="86"/>
      <c r="D674" s="85"/>
    </row>
    <row r="675" spans="2:4" ht="13" x14ac:dyDescent="0.15">
      <c r="B675" s="85"/>
      <c r="C675" s="86"/>
      <c r="D675" s="85"/>
    </row>
    <row r="676" spans="2:4" ht="13" x14ac:dyDescent="0.15">
      <c r="B676" s="85"/>
      <c r="C676" s="86"/>
      <c r="D676" s="85"/>
    </row>
    <row r="677" spans="2:4" ht="13" x14ac:dyDescent="0.15">
      <c r="B677" s="85"/>
      <c r="C677" s="86"/>
      <c r="D677" s="85"/>
    </row>
    <row r="678" spans="2:4" ht="13" x14ac:dyDescent="0.15">
      <c r="B678" s="85"/>
      <c r="C678" s="86"/>
      <c r="D678" s="85"/>
    </row>
    <row r="679" spans="2:4" ht="13" x14ac:dyDescent="0.15">
      <c r="B679" s="85"/>
      <c r="C679" s="86"/>
      <c r="D679" s="85"/>
    </row>
    <row r="680" spans="2:4" ht="13" x14ac:dyDescent="0.15">
      <c r="B680" s="85"/>
      <c r="C680" s="86"/>
      <c r="D680" s="85"/>
    </row>
    <row r="681" spans="2:4" ht="13" x14ac:dyDescent="0.15">
      <c r="B681" s="85"/>
      <c r="C681" s="86"/>
      <c r="D681" s="85"/>
    </row>
    <row r="682" spans="2:4" ht="13" x14ac:dyDescent="0.15">
      <c r="B682" s="85"/>
      <c r="C682" s="86"/>
      <c r="D682" s="85"/>
    </row>
    <row r="683" spans="2:4" ht="13" x14ac:dyDescent="0.15">
      <c r="B683" s="85"/>
      <c r="C683" s="86"/>
      <c r="D683" s="85"/>
    </row>
    <row r="684" spans="2:4" ht="13" x14ac:dyDescent="0.15">
      <c r="B684" s="85"/>
      <c r="C684" s="86"/>
      <c r="D684" s="85"/>
    </row>
    <row r="685" spans="2:4" ht="13" x14ac:dyDescent="0.15">
      <c r="B685" s="85"/>
      <c r="C685" s="86"/>
      <c r="D685" s="85"/>
    </row>
    <row r="686" spans="2:4" ht="13" x14ac:dyDescent="0.15">
      <c r="B686" s="85"/>
      <c r="C686" s="86"/>
      <c r="D686" s="85"/>
    </row>
    <row r="687" spans="2:4" ht="13" x14ac:dyDescent="0.15">
      <c r="B687" s="85"/>
      <c r="C687" s="86"/>
      <c r="D687" s="85"/>
    </row>
    <row r="688" spans="2:4" ht="13" x14ac:dyDescent="0.15">
      <c r="B688" s="85"/>
      <c r="C688" s="86"/>
      <c r="D688" s="85"/>
    </row>
    <row r="689" spans="2:4" ht="13" x14ac:dyDescent="0.15">
      <c r="B689" s="85"/>
      <c r="C689" s="86"/>
      <c r="D689" s="85"/>
    </row>
    <row r="690" spans="2:4" ht="13" x14ac:dyDescent="0.15">
      <c r="B690" s="85"/>
      <c r="C690" s="86"/>
      <c r="D690" s="85"/>
    </row>
    <row r="691" spans="2:4" ht="13" x14ac:dyDescent="0.15">
      <c r="B691" s="85"/>
      <c r="C691" s="86"/>
      <c r="D691" s="85"/>
    </row>
    <row r="692" spans="2:4" ht="13" x14ac:dyDescent="0.15">
      <c r="B692" s="85"/>
      <c r="C692" s="86"/>
      <c r="D692" s="85"/>
    </row>
    <row r="693" spans="2:4" ht="13" x14ac:dyDescent="0.15">
      <c r="B693" s="85"/>
      <c r="C693" s="86"/>
      <c r="D693" s="85"/>
    </row>
    <row r="694" spans="2:4" ht="13" x14ac:dyDescent="0.15">
      <c r="B694" s="85"/>
      <c r="C694" s="86"/>
      <c r="D694" s="85"/>
    </row>
    <row r="695" spans="2:4" ht="13" x14ac:dyDescent="0.15">
      <c r="B695" s="85"/>
      <c r="C695" s="86"/>
      <c r="D695" s="85"/>
    </row>
    <row r="696" spans="2:4" ht="13" x14ac:dyDescent="0.15">
      <c r="B696" s="85"/>
      <c r="C696" s="86"/>
      <c r="D696" s="85"/>
    </row>
    <row r="697" spans="2:4" ht="13" x14ac:dyDescent="0.15">
      <c r="B697" s="85"/>
      <c r="C697" s="86"/>
      <c r="D697" s="85"/>
    </row>
    <row r="698" spans="2:4" ht="13" x14ac:dyDescent="0.15">
      <c r="B698" s="85"/>
      <c r="C698" s="86"/>
      <c r="D698" s="85"/>
    </row>
    <row r="699" spans="2:4" ht="13" x14ac:dyDescent="0.15">
      <c r="B699" s="85"/>
      <c r="C699" s="86"/>
      <c r="D699" s="85"/>
    </row>
    <row r="700" spans="2:4" ht="13" x14ac:dyDescent="0.15">
      <c r="B700" s="85"/>
      <c r="C700" s="86"/>
      <c r="D700" s="85"/>
    </row>
    <row r="701" spans="2:4" ht="13" x14ac:dyDescent="0.15">
      <c r="B701" s="85"/>
      <c r="C701" s="86"/>
      <c r="D701" s="85"/>
    </row>
    <row r="702" spans="2:4" ht="13" x14ac:dyDescent="0.15">
      <c r="B702" s="85"/>
      <c r="C702" s="86"/>
      <c r="D702" s="85"/>
    </row>
    <row r="703" spans="2:4" ht="13" x14ac:dyDescent="0.15">
      <c r="B703" s="85"/>
      <c r="C703" s="86"/>
      <c r="D703" s="85"/>
    </row>
    <row r="704" spans="2:4" ht="13" x14ac:dyDescent="0.15">
      <c r="B704" s="85"/>
      <c r="C704" s="86"/>
      <c r="D704" s="85"/>
    </row>
    <row r="705" spans="2:4" ht="13" x14ac:dyDescent="0.15">
      <c r="B705" s="85"/>
      <c r="C705" s="86"/>
      <c r="D705" s="85"/>
    </row>
    <row r="706" spans="2:4" ht="13" x14ac:dyDescent="0.15">
      <c r="B706" s="85"/>
      <c r="C706" s="86"/>
      <c r="D706" s="85"/>
    </row>
    <row r="707" spans="2:4" ht="13" x14ac:dyDescent="0.15">
      <c r="B707" s="85"/>
      <c r="C707" s="86"/>
      <c r="D707" s="85"/>
    </row>
    <row r="708" spans="2:4" ht="13" x14ac:dyDescent="0.15">
      <c r="B708" s="85"/>
      <c r="C708" s="86"/>
      <c r="D708" s="85"/>
    </row>
    <row r="709" spans="2:4" ht="13" x14ac:dyDescent="0.15">
      <c r="B709" s="85"/>
      <c r="C709" s="86"/>
      <c r="D709" s="85"/>
    </row>
    <row r="710" spans="2:4" ht="13" x14ac:dyDescent="0.15">
      <c r="B710" s="85"/>
      <c r="C710" s="86"/>
      <c r="D710" s="85"/>
    </row>
    <row r="711" spans="2:4" ht="13" x14ac:dyDescent="0.15">
      <c r="B711" s="85"/>
      <c r="C711" s="86"/>
      <c r="D711" s="85"/>
    </row>
    <row r="712" spans="2:4" ht="13" x14ac:dyDescent="0.15">
      <c r="B712" s="85"/>
      <c r="C712" s="86"/>
      <c r="D712" s="85"/>
    </row>
    <row r="713" spans="2:4" ht="13" x14ac:dyDescent="0.15">
      <c r="B713" s="85"/>
      <c r="C713" s="86"/>
      <c r="D713" s="85"/>
    </row>
    <row r="714" spans="2:4" ht="13" x14ac:dyDescent="0.15">
      <c r="B714" s="85"/>
      <c r="C714" s="86"/>
      <c r="D714" s="85"/>
    </row>
    <row r="715" spans="2:4" ht="13" x14ac:dyDescent="0.15">
      <c r="B715" s="85"/>
      <c r="C715" s="86"/>
      <c r="D715" s="85"/>
    </row>
    <row r="716" spans="2:4" ht="13" x14ac:dyDescent="0.15">
      <c r="B716" s="85"/>
      <c r="C716" s="86"/>
      <c r="D716" s="85"/>
    </row>
    <row r="717" spans="2:4" ht="13" x14ac:dyDescent="0.15">
      <c r="B717" s="85"/>
      <c r="C717" s="86"/>
      <c r="D717" s="85"/>
    </row>
    <row r="718" spans="2:4" ht="13" x14ac:dyDescent="0.15">
      <c r="B718" s="85"/>
      <c r="C718" s="86"/>
      <c r="D718" s="85"/>
    </row>
    <row r="719" spans="2:4" ht="13" x14ac:dyDescent="0.15">
      <c r="B719" s="85"/>
      <c r="C719" s="86"/>
      <c r="D719" s="85"/>
    </row>
    <row r="720" spans="2:4" ht="13" x14ac:dyDescent="0.15">
      <c r="B720" s="85"/>
      <c r="C720" s="86"/>
      <c r="D720" s="85"/>
    </row>
    <row r="721" spans="2:4" ht="13" x14ac:dyDescent="0.15">
      <c r="B721" s="85"/>
      <c r="C721" s="86"/>
      <c r="D721" s="85"/>
    </row>
    <row r="722" spans="2:4" ht="13" x14ac:dyDescent="0.15">
      <c r="B722" s="85"/>
      <c r="C722" s="86"/>
      <c r="D722" s="85"/>
    </row>
    <row r="723" spans="2:4" ht="13" x14ac:dyDescent="0.15">
      <c r="B723" s="85"/>
      <c r="C723" s="86"/>
      <c r="D723" s="85"/>
    </row>
    <row r="724" spans="2:4" ht="13" x14ac:dyDescent="0.15">
      <c r="B724" s="85"/>
      <c r="C724" s="86"/>
      <c r="D724" s="85"/>
    </row>
    <row r="725" spans="2:4" ht="13" x14ac:dyDescent="0.15">
      <c r="B725" s="85"/>
      <c r="C725" s="86"/>
      <c r="D725" s="85"/>
    </row>
    <row r="726" spans="2:4" ht="13" x14ac:dyDescent="0.15">
      <c r="B726" s="85"/>
      <c r="C726" s="86"/>
      <c r="D726" s="85"/>
    </row>
    <row r="727" spans="2:4" ht="13" x14ac:dyDescent="0.15">
      <c r="B727" s="85"/>
      <c r="C727" s="86"/>
      <c r="D727" s="85"/>
    </row>
    <row r="728" spans="2:4" ht="13" x14ac:dyDescent="0.15">
      <c r="B728" s="85"/>
      <c r="C728" s="86"/>
      <c r="D728" s="85"/>
    </row>
    <row r="729" spans="2:4" ht="13" x14ac:dyDescent="0.15">
      <c r="B729" s="85"/>
      <c r="C729" s="86"/>
      <c r="D729" s="85"/>
    </row>
    <row r="730" spans="2:4" ht="13" x14ac:dyDescent="0.15">
      <c r="B730" s="85"/>
      <c r="C730" s="86"/>
      <c r="D730" s="85"/>
    </row>
    <row r="731" spans="2:4" ht="13" x14ac:dyDescent="0.15">
      <c r="B731" s="85"/>
      <c r="C731" s="86"/>
      <c r="D731" s="85"/>
    </row>
    <row r="732" spans="2:4" ht="13" x14ac:dyDescent="0.15">
      <c r="B732" s="85"/>
      <c r="C732" s="86"/>
      <c r="D732" s="85"/>
    </row>
    <row r="733" spans="2:4" ht="13" x14ac:dyDescent="0.15">
      <c r="B733" s="85"/>
      <c r="C733" s="86"/>
      <c r="D733" s="85"/>
    </row>
    <row r="734" spans="2:4" ht="13" x14ac:dyDescent="0.15">
      <c r="B734" s="85"/>
      <c r="C734" s="86"/>
      <c r="D734" s="85"/>
    </row>
    <row r="735" spans="2:4" ht="13" x14ac:dyDescent="0.15">
      <c r="B735" s="85"/>
      <c r="C735" s="86"/>
      <c r="D735" s="85"/>
    </row>
    <row r="736" spans="2:4" ht="13" x14ac:dyDescent="0.15">
      <c r="B736" s="85"/>
      <c r="C736" s="86"/>
      <c r="D736" s="85"/>
    </row>
    <row r="737" spans="2:4" ht="13" x14ac:dyDescent="0.15">
      <c r="B737" s="85"/>
      <c r="C737" s="86"/>
      <c r="D737" s="85"/>
    </row>
    <row r="738" spans="2:4" ht="13" x14ac:dyDescent="0.15">
      <c r="B738" s="85"/>
      <c r="C738" s="86"/>
      <c r="D738" s="85"/>
    </row>
    <row r="739" spans="2:4" ht="13" x14ac:dyDescent="0.15">
      <c r="B739" s="85"/>
      <c r="C739" s="86"/>
      <c r="D739" s="85"/>
    </row>
    <row r="740" spans="2:4" ht="13" x14ac:dyDescent="0.15">
      <c r="B740" s="85"/>
      <c r="C740" s="86"/>
      <c r="D740" s="85"/>
    </row>
    <row r="741" spans="2:4" ht="13" x14ac:dyDescent="0.15">
      <c r="B741" s="85"/>
      <c r="C741" s="86"/>
      <c r="D741" s="85"/>
    </row>
    <row r="742" spans="2:4" ht="13" x14ac:dyDescent="0.15">
      <c r="B742" s="85"/>
      <c r="C742" s="86"/>
      <c r="D742" s="85"/>
    </row>
    <row r="743" spans="2:4" ht="13" x14ac:dyDescent="0.15">
      <c r="B743" s="85"/>
      <c r="C743" s="86"/>
      <c r="D743" s="85"/>
    </row>
    <row r="744" spans="2:4" ht="13" x14ac:dyDescent="0.15">
      <c r="B744" s="85"/>
      <c r="C744" s="86"/>
      <c r="D744" s="85"/>
    </row>
    <row r="745" spans="2:4" ht="13" x14ac:dyDescent="0.15">
      <c r="B745" s="85"/>
      <c r="C745" s="86"/>
      <c r="D745" s="85"/>
    </row>
    <row r="746" spans="2:4" ht="13" x14ac:dyDescent="0.15">
      <c r="B746" s="85"/>
      <c r="C746" s="86"/>
      <c r="D746" s="85"/>
    </row>
    <row r="747" spans="2:4" ht="13" x14ac:dyDescent="0.15">
      <c r="B747" s="85"/>
      <c r="C747" s="86"/>
      <c r="D747" s="85"/>
    </row>
    <row r="748" spans="2:4" ht="13" x14ac:dyDescent="0.15">
      <c r="B748" s="85"/>
      <c r="C748" s="86"/>
      <c r="D748" s="85"/>
    </row>
    <row r="749" spans="2:4" ht="13" x14ac:dyDescent="0.15">
      <c r="B749" s="85"/>
      <c r="C749" s="86"/>
      <c r="D749" s="85"/>
    </row>
    <row r="750" spans="2:4" ht="13" x14ac:dyDescent="0.15">
      <c r="B750" s="85"/>
      <c r="C750" s="86"/>
      <c r="D750" s="85"/>
    </row>
    <row r="751" spans="2:4" ht="13" x14ac:dyDescent="0.15">
      <c r="B751" s="85"/>
      <c r="C751" s="86"/>
      <c r="D751" s="85"/>
    </row>
    <row r="752" spans="2:4" ht="13" x14ac:dyDescent="0.15">
      <c r="B752" s="85"/>
      <c r="C752" s="86"/>
      <c r="D752" s="85"/>
    </row>
    <row r="753" spans="2:4" ht="13" x14ac:dyDescent="0.15">
      <c r="B753" s="85"/>
      <c r="C753" s="86"/>
      <c r="D753" s="85"/>
    </row>
    <row r="754" spans="2:4" ht="13" x14ac:dyDescent="0.15">
      <c r="B754" s="85"/>
      <c r="C754" s="86"/>
      <c r="D754" s="85"/>
    </row>
    <row r="755" spans="2:4" ht="13" x14ac:dyDescent="0.15">
      <c r="B755" s="85"/>
      <c r="C755" s="86"/>
      <c r="D755" s="85"/>
    </row>
    <row r="756" spans="2:4" ht="13" x14ac:dyDescent="0.15">
      <c r="B756" s="85"/>
      <c r="C756" s="86"/>
      <c r="D756" s="85"/>
    </row>
    <row r="757" spans="2:4" ht="13" x14ac:dyDescent="0.15">
      <c r="B757" s="85"/>
      <c r="C757" s="86"/>
      <c r="D757" s="85"/>
    </row>
    <row r="758" spans="2:4" ht="13" x14ac:dyDescent="0.15">
      <c r="B758" s="85"/>
      <c r="C758" s="86"/>
      <c r="D758" s="85"/>
    </row>
    <row r="759" spans="2:4" ht="13" x14ac:dyDescent="0.15">
      <c r="B759" s="85"/>
      <c r="C759" s="86"/>
      <c r="D759" s="85"/>
    </row>
    <row r="760" spans="2:4" ht="13" x14ac:dyDescent="0.15">
      <c r="B760" s="85"/>
      <c r="C760" s="86"/>
      <c r="D760" s="85"/>
    </row>
    <row r="761" spans="2:4" ht="13" x14ac:dyDescent="0.15">
      <c r="B761" s="85"/>
      <c r="C761" s="86"/>
      <c r="D761" s="85"/>
    </row>
    <row r="762" spans="2:4" ht="13" x14ac:dyDescent="0.15">
      <c r="B762" s="85"/>
      <c r="C762" s="86"/>
      <c r="D762" s="85"/>
    </row>
    <row r="763" spans="2:4" ht="13" x14ac:dyDescent="0.15">
      <c r="B763" s="85"/>
      <c r="C763" s="86"/>
      <c r="D763" s="85"/>
    </row>
    <row r="764" spans="2:4" ht="13" x14ac:dyDescent="0.15">
      <c r="B764" s="85"/>
      <c r="C764" s="86"/>
      <c r="D764" s="85"/>
    </row>
    <row r="765" spans="2:4" ht="13" x14ac:dyDescent="0.15">
      <c r="B765" s="85"/>
      <c r="C765" s="86"/>
      <c r="D765" s="85"/>
    </row>
    <row r="766" spans="2:4" ht="13" x14ac:dyDescent="0.15">
      <c r="B766" s="85"/>
      <c r="C766" s="86"/>
      <c r="D766" s="85"/>
    </row>
    <row r="767" spans="2:4" ht="13" x14ac:dyDescent="0.15">
      <c r="B767" s="85"/>
      <c r="C767" s="86"/>
      <c r="D767" s="85"/>
    </row>
    <row r="768" spans="2:4" ht="13" x14ac:dyDescent="0.15">
      <c r="B768" s="85"/>
      <c r="C768" s="86"/>
      <c r="D768" s="85"/>
    </row>
    <row r="769" spans="2:4" ht="13" x14ac:dyDescent="0.15">
      <c r="B769" s="85"/>
      <c r="C769" s="86"/>
      <c r="D769" s="85"/>
    </row>
    <row r="770" spans="2:4" ht="13" x14ac:dyDescent="0.15">
      <c r="B770" s="85"/>
      <c r="C770" s="86"/>
      <c r="D770" s="85"/>
    </row>
    <row r="771" spans="2:4" ht="13" x14ac:dyDescent="0.15">
      <c r="B771" s="85"/>
      <c r="C771" s="86"/>
      <c r="D771" s="85"/>
    </row>
    <row r="772" spans="2:4" ht="13" x14ac:dyDescent="0.15">
      <c r="B772" s="85"/>
      <c r="C772" s="86"/>
      <c r="D772" s="85"/>
    </row>
    <row r="773" spans="2:4" ht="13" x14ac:dyDescent="0.15">
      <c r="B773" s="85"/>
      <c r="C773" s="86"/>
      <c r="D773" s="85"/>
    </row>
    <row r="774" spans="2:4" ht="13" x14ac:dyDescent="0.15">
      <c r="B774" s="85"/>
      <c r="C774" s="86"/>
      <c r="D774" s="85"/>
    </row>
    <row r="775" spans="2:4" ht="13" x14ac:dyDescent="0.15">
      <c r="B775" s="85"/>
      <c r="C775" s="86"/>
      <c r="D775" s="85"/>
    </row>
    <row r="776" spans="2:4" ht="13" x14ac:dyDescent="0.15">
      <c r="B776" s="85"/>
      <c r="C776" s="86"/>
      <c r="D776" s="85"/>
    </row>
    <row r="777" spans="2:4" ht="13" x14ac:dyDescent="0.15">
      <c r="B777" s="85"/>
      <c r="C777" s="86"/>
      <c r="D777" s="85"/>
    </row>
    <row r="778" spans="2:4" ht="13" x14ac:dyDescent="0.15">
      <c r="B778" s="85"/>
      <c r="C778" s="86"/>
      <c r="D778" s="85"/>
    </row>
    <row r="779" spans="2:4" ht="13" x14ac:dyDescent="0.15">
      <c r="B779" s="85"/>
      <c r="C779" s="86"/>
      <c r="D779" s="85"/>
    </row>
    <row r="780" spans="2:4" ht="13" x14ac:dyDescent="0.15">
      <c r="B780" s="85"/>
      <c r="C780" s="86"/>
      <c r="D780" s="85"/>
    </row>
    <row r="781" spans="2:4" ht="13" x14ac:dyDescent="0.15">
      <c r="B781" s="85"/>
      <c r="C781" s="86"/>
      <c r="D781" s="85"/>
    </row>
    <row r="782" spans="2:4" ht="13" x14ac:dyDescent="0.15">
      <c r="B782" s="85"/>
      <c r="C782" s="86"/>
      <c r="D782" s="85"/>
    </row>
    <row r="783" spans="2:4" ht="13" x14ac:dyDescent="0.15">
      <c r="B783" s="85"/>
      <c r="C783" s="86"/>
      <c r="D783" s="85"/>
    </row>
    <row r="784" spans="2:4" ht="13" x14ac:dyDescent="0.15">
      <c r="B784" s="85"/>
      <c r="C784" s="86"/>
      <c r="D784" s="85"/>
    </row>
    <row r="785" spans="2:4" ht="13" x14ac:dyDescent="0.15">
      <c r="B785" s="85"/>
      <c r="C785" s="86"/>
      <c r="D785" s="85"/>
    </row>
    <row r="786" spans="2:4" ht="13" x14ac:dyDescent="0.15">
      <c r="B786" s="85"/>
      <c r="C786" s="86"/>
      <c r="D786" s="85"/>
    </row>
    <row r="787" spans="2:4" ht="13" x14ac:dyDescent="0.15">
      <c r="B787" s="85"/>
      <c r="C787" s="86"/>
      <c r="D787" s="85"/>
    </row>
    <row r="788" spans="2:4" ht="13" x14ac:dyDescent="0.15">
      <c r="B788" s="85"/>
      <c r="C788" s="86"/>
      <c r="D788" s="85"/>
    </row>
    <row r="789" spans="2:4" ht="13" x14ac:dyDescent="0.15">
      <c r="B789" s="85"/>
      <c r="C789" s="86"/>
      <c r="D789" s="85"/>
    </row>
    <row r="790" spans="2:4" ht="13" x14ac:dyDescent="0.15">
      <c r="B790" s="85"/>
      <c r="C790" s="86"/>
      <c r="D790" s="85"/>
    </row>
    <row r="791" spans="2:4" ht="13" x14ac:dyDescent="0.15">
      <c r="B791" s="85"/>
      <c r="C791" s="86"/>
      <c r="D791" s="85"/>
    </row>
    <row r="792" spans="2:4" ht="13" x14ac:dyDescent="0.15">
      <c r="B792" s="85"/>
      <c r="C792" s="86"/>
      <c r="D792" s="85"/>
    </row>
    <row r="793" spans="2:4" ht="13" x14ac:dyDescent="0.15">
      <c r="B793" s="85"/>
      <c r="C793" s="86"/>
      <c r="D793" s="85"/>
    </row>
    <row r="794" spans="2:4" ht="13" x14ac:dyDescent="0.15">
      <c r="B794" s="85"/>
      <c r="C794" s="86"/>
      <c r="D794" s="85"/>
    </row>
    <row r="795" spans="2:4" ht="13" x14ac:dyDescent="0.15">
      <c r="B795" s="85"/>
      <c r="C795" s="86"/>
      <c r="D795" s="85"/>
    </row>
    <row r="796" spans="2:4" ht="13" x14ac:dyDescent="0.15">
      <c r="B796" s="85"/>
      <c r="C796" s="86"/>
      <c r="D796" s="85"/>
    </row>
    <row r="797" spans="2:4" ht="13" x14ac:dyDescent="0.15">
      <c r="B797" s="85"/>
      <c r="C797" s="86"/>
      <c r="D797" s="85"/>
    </row>
    <row r="798" spans="2:4" ht="13" x14ac:dyDescent="0.15">
      <c r="B798" s="85"/>
      <c r="C798" s="86"/>
      <c r="D798" s="85"/>
    </row>
    <row r="799" spans="2:4" ht="13" x14ac:dyDescent="0.15">
      <c r="B799" s="85"/>
      <c r="C799" s="86"/>
      <c r="D799" s="85"/>
    </row>
    <row r="800" spans="2:4" ht="13" x14ac:dyDescent="0.15">
      <c r="B800" s="85"/>
      <c r="C800" s="86"/>
      <c r="D800" s="85"/>
    </row>
    <row r="801" spans="2:4" ht="13" x14ac:dyDescent="0.15">
      <c r="B801" s="85"/>
      <c r="C801" s="86"/>
      <c r="D801" s="85"/>
    </row>
    <row r="802" spans="2:4" ht="13" x14ac:dyDescent="0.15">
      <c r="B802" s="85"/>
      <c r="C802" s="86"/>
      <c r="D802" s="85"/>
    </row>
    <row r="803" spans="2:4" ht="13" x14ac:dyDescent="0.15">
      <c r="B803" s="85"/>
      <c r="C803" s="86"/>
      <c r="D803" s="85"/>
    </row>
    <row r="804" spans="2:4" ht="13" x14ac:dyDescent="0.15">
      <c r="B804" s="85"/>
      <c r="C804" s="86"/>
      <c r="D804" s="85"/>
    </row>
    <row r="805" spans="2:4" ht="13" x14ac:dyDescent="0.15">
      <c r="B805" s="85"/>
      <c r="C805" s="86"/>
      <c r="D805" s="85"/>
    </row>
    <row r="806" spans="2:4" ht="13" x14ac:dyDescent="0.15">
      <c r="B806" s="85"/>
      <c r="C806" s="86"/>
      <c r="D806" s="85"/>
    </row>
    <row r="807" spans="2:4" ht="13" x14ac:dyDescent="0.15">
      <c r="B807" s="85"/>
      <c r="C807" s="86"/>
      <c r="D807" s="85"/>
    </row>
    <row r="808" spans="2:4" ht="13" x14ac:dyDescent="0.15">
      <c r="B808" s="85"/>
      <c r="C808" s="86"/>
      <c r="D808" s="85"/>
    </row>
    <row r="809" spans="2:4" ht="13" x14ac:dyDescent="0.15">
      <c r="B809" s="85"/>
      <c r="C809" s="86"/>
      <c r="D809" s="85"/>
    </row>
    <row r="810" spans="2:4" ht="13" x14ac:dyDescent="0.15">
      <c r="B810" s="85"/>
      <c r="C810" s="86"/>
      <c r="D810" s="85"/>
    </row>
    <row r="811" spans="2:4" ht="13" x14ac:dyDescent="0.15">
      <c r="B811" s="85"/>
      <c r="C811" s="86"/>
      <c r="D811" s="85"/>
    </row>
    <row r="812" spans="2:4" ht="13" x14ac:dyDescent="0.15">
      <c r="B812" s="85"/>
      <c r="C812" s="86"/>
      <c r="D812" s="85"/>
    </row>
    <row r="813" spans="2:4" ht="13" x14ac:dyDescent="0.15">
      <c r="B813" s="85"/>
      <c r="C813" s="86"/>
      <c r="D813" s="85"/>
    </row>
    <row r="814" spans="2:4" ht="13" x14ac:dyDescent="0.15">
      <c r="B814" s="85"/>
      <c r="C814" s="86"/>
      <c r="D814" s="85"/>
    </row>
    <row r="815" spans="2:4" ht="13" x14ac:dyDescent="0.15">
      <c r="B815" s="85"/>
      <c r="C815" s="86"/>
      <c r="D815" s="85"/>
    </row>
    <row r="816" spans="2:4" ht="13" x14ac:dyDescent="0.15">
      <c r="B816" s="85"/>
      <c r="C816" s="86"/>
      <c r="D816" s="85"/>
    </row>
    <row r="817" spans="2:4" ht="13" x14ac:dyDescent="0.15">
      <c r="B817" s="85"/>
      <c r="C817" s="86"/>
      <c r="D817" s="85"/>
    </row>
    <row r="818" spans="2:4" ht="13" x14ac:dyDescent="0.15">
      <c r="B818" s="85"/>
      <c r="C818" s="86"/>
      <c r="D818" s="85"/>
    </row>
    <row r="819" spans="2:4" ht="13" x14ac:dyDescent="0.15">
      <c r="B819" s="85"/>
      <c r="C819" s="86"/>
      <c r="D819" s="85"/>
    </row>
    <row r="820" spans="2:4" ht="13" x14ac:dyDescent="0.15">
      <c r="B820" s="85"/>
      <c r="C820" s="86"/>
      <c r="D820" s="85"/>
    </row>
    <row r="821" spans="2:4" ht="13" x14ac:dyDescent="0.15">
      <c r="B821" s="85"/>
      <c r="C821" s="86"/>
      <c r="D821" s="85"/>
    </row>
    <row r="822" spans="2:4" ht="13" x14ac:dyDescent="0.15">
      <c r="B822" s="85"/>
      <c r="C822" s="86"/>
      <c r="D822" s="85"/>
    </row>
    <row r="823" spans="2:4" ht="13" x14ac:dyDescent="0.15">
      <c r="B823" s="85"/>
      <c r="C823" s="86"/>
      <c r="D823" s="85"/>
    </row>
    <row r="824" spans="2:4" ht="13" x14ac:dyDescent="0.15">
      <c r="B824" s="85"/>
      <c r="C824" s="86"/>
      <c r="D824" s="85"/>
    </row>
    <row r="825" spans="2:4" ht="13" x14ac:dyDescent="0.15">
      <c r="B825" s="85"/>
      <c r="C825" s="86"/>
      <c r="D825" s="85"/>
    </row>
    <row r="826" spans="2:4" ht="13" x14ac:dyDescent="0.15">
      <c r="B826" s="85"/>
      <c r="C826" s="86"/>
      <c r="D826" s="85"/>
    </row>
    <row r="827" spans="2:4" ht="13" x14ac:dyDescent="0.15">
      <c r="B827" s="85"/>
      <c r="C827" s="86"/>
      <c r="D827" s="85"/>
    </row>
    <row r="828" spans="2:4" ht="13" x14ac:dyDescent="0.15">
      <c r="B828" s="85"/>
      <c r="C828" s="86"/>
      <c r="D828" s="85"/>
    </row>
    <row r="829" spans="2:4" ht="13" x14ac:dyDescent="0.15">
      <c r="B829" s="85"/>
      <c r="C829" s="86"/>
      <c r="D829" s="85"/>
    </row>
    <row r="830" spans="2:4" ht="13" x14ac:dyDescent="0.15">
      <c r="B830" s="85"/>
      <c r="C830" s="86"/>
      <c r="D830" s="85"/>
    </row>
    <row r="831" spans="2:4" ht="13" x14ac:dyDescent="0.15">
      <c r="B831" s="85"/>
      <c r="C831" s="86"/>
      <c r="D831" s="85"/>
    </row>
    <row r="832" spans="2:4" ht="13" x14ac:dyDescent="0.15">
      <c r="B832" s="85"/>
      <c r="C832" s="86"/>
      <c r="D832" s="85"/>
    </row>
    <row r="833" spans="2:4" ht="13" x14ac:dyDescent="0.15">
      <c r="B833" s="85"/>
      <c r="C833" s="86"/>
      <c r="D833" s="85"/>
    </row>
    <row r="834" spans="2:4" ht="13" x14ac:dyDescent="0.15">
      <c r="B834" s="85"/>
      <c r="C834" s="86"/>
      <c r="D834" s="85"/>
    </row>
    <row r="835" spans="2:4" ht="13" x14ac:dyDescent="0.15">
      <c r="B835" s="85"/>
      <c r="C835" s="86"/>
      <c r="D835" s="85"/>
    </row>
    <row r="836" spans="2:4" ht="13" x14ac:dyDescent="0.15">
      <c r="B836" s="85"/>
      <c r="C836" s="86"/>
      <c r="D836" s="85"/>
    </row>
    <row r="837" spans="2:4" ht="13" x14ac:dyDescent="0.15">
      <c r="B837" s="85"/>
      <c r="C837" s="86"/>
      <c r="D837" s="85"/>
    </row>
    <row r="838" spans="2:4" ht="13" x14ac:dyDescent="0.15">
      <c r="B838" s="85"/>
      <c r="C838" s="86"/>
      <c r="D838" s="85"/>
    </row>
    <row r="839" spans="2:4" ht="13" x14ac:dyDescent="0.15">
      <c r="B839" s="85"/>
      <c r="C839" s="86"/>
      <c r="D839" s="85"/>
    </row>
    <row r="840" spans="2:4" ht="13" x14ac:dyDescent="0.15">
      <c r="B840" s="85"/>
      <c r="C840" s="86"/>
      <c r="D840" s="85"/>
    </row>
    <row r="841" spans="2:4" ht="13" x14ac:dyDescent="0.15">
      <c r="B841" s="85"/>
      <c r="C841" s="86"/>
      <c r="D841" s="85"/>
    </row>
    <row r="842" spans="2:4" ht="13" x14ac:dyDescent="0.15">
      <c r="B842" s="85"/>
      <c r="C842" s="86"/>
      <c r="D842" s="85"/>
    </row>
    <row r="843" spans="2:4" ht="13" x14ac:dyDescent="0.15">
      <c r="B843" s="85"/>
      <c r="C843" s="86"/>
      <c r="D843" s="85"/>
    </row>
    <row r="844" spans="2:4" ht="13" x14ac:dyDescent="0.15">
      <c r="B844" s="85"/>
      <c r="C844" s="86"/>
      <c r="D844" s="85"/>
    </row>
    <row r="845" spans="2:4" ht="13" x14ac:dyDescent="0.15">
      <c r="B845" s="85"/>
      <c r="C845" s="86"/>
      <c r="D845" s="85"/>
    </row>
    <row r="846" spans="2:4" ht="13" x14ac:dyDescent="0.15">
      <c r="B846" s="85"/>
      <c r="C846" s="86"/>
      <c r="D846" s="85"/>
    </row>
    <row r="847" spans="2:4" ht="13" x14ac:dyDescent="0.15">
      <c r="B847" s="85"/>
      <c r="C847" s="86"/>
      <c r="D847" s="85"/>
    </row>
    <row r="848" spans="2:4" ht="13" x14ac:dyDescent="0.15">
      <c r="B848" s="85"/>
      <c r="C848" s="86"/>
      <c r="D848" s="85"/>
    </row>
    <row r="849" spans="2:4" ht="13" x14ac:dyDescent="0.15">
      <c r="B849" s="85"/>
      <c r="C849" s="86"/>
      <c r="D849" s="85"/>
    </row>
    <row r="850" spans="2:4" ht="13" x14ac:dyDescent="0.15">
      <c r="B850" s="85"/>
      <c r="C850" s="86"/>
      <c r="D850" s="85"/>
    </row>
    <row r="851" spans="2:4" ht="13" x14ac:dyDescent="0.15">
      <c r="B851" s="85"/>
      <c r="C851" s="86"/>
      <c r="D851" s="85"/>
    </row>
    <row r="852" spans="2:4" ht="13" x14ac:dyDescent="0.15">
      <c r="B852" s="85"/>
      <c r="C852" s="86"/>
      <c r="D852" s="85"/>
    </row>
    <row r="853" spans="2:4" ht="13" x14ac:dyDescent="0.15">
      <c r="B853" s="85"/>
      <c r="C853" s="86"/>
      <c r="D853" s="85"/>
    </row>
    <row r="854" spans="2:4" ht="13" x14ac:dyDescent="0.15">
      <c r="B854" s="85"/>
      <c r="C854" s="86"/>
      <c r="D854" s="85"/>
    </row>
    <row r="855" spans="2:4" ht="13" x14ac:dyDescent="0.15">
      <c r="B855" s="85"/>
      <c r="C855" s="86"/>
      <c r="D855" s="85"/>
    </row>
    <row r="856" spans="2:4" ht="13" x14ac:dyDescent="0.15">
      <c r="B856" s="85"/>
      <c r="C856" s="86"/>
      <c r="D856" s="85"/>
    </row>
    <row r="857" spans="2:4" ht="13" x14ac:dyDescent="0.15">
      <c r="B857" s="85"/>
      <c r="C857" s="86"/>
      <c r="D857" s="85"/>
    </row>
    <row r="858" spans="2:4" ht="13" x14ac:dyDescent="0.15">
      <c r="B858" s="85"/>
      <c r="C858" s="86"/>
      <c r="D858" s="85"/>
    </row>
    <row r="859" spans="2:4" ht="13" x14ac:dyDescent="0.15">
      <c r="B859" s="85"/>
      <c r="C859" s="86"/>
      <c r="D859" s="85"/>
    </row>
    <row r="860" spans="2:4" ht="13" x14ac:dyDescent="0.15">
      <c r="B860" s="85"/>
      <c r="C860" s="86"/>
      <c r="D860" s="85"/>
    </row>
    <row r="861" spans="2:4" ht="13" x14ac:dyDescent="0.15">
      <c r="B861" s="85"/>
      <c r="C861" s="86"/>
      <c r="D861" s="85"/>
    </row>
    <row r="862" spans="2:4" ht="13" x14ac:dyDescent="0.15">
      <c r="B862" s="85"/>
      <c r="C862" s="86"/>
      <c r="D862" s="85"/>
    </row>
    <row r="863" spans="2:4" ht="13" x14ac:dyDescent="0.15">
      <c r="B863" s="85"/>
      <c r="C863" s="86"/>
      <c r="D863" s="85"/>
    </row>
    <row r="864" spans="2:4" ht="13" x14ac:dyDescent="0.15">
      <c r="B864" s="85"/>
      <c r="C864" s="86"/>
      <c r="D864" s="85"/>
    </row>
    <row r="865" spans="2:4" ht="13" x14ac:dyDescent="0.15">
      <c r="B865" s="85"/>
      <c r="C865" s="86"/>
      <c r="D865" s="85"/>
    </row>
    <row r="866" spans="2:4" ht="13" x14ac:dyDescent="0.15">
      <c r="B866" s="85"/>
      <c r="C866" s="86"/>
      <c r="D866" s="85"/>
    </row>
    <row r="867" spans="2:4" ht="13" x14ac:dyDescent="0.15">
      <c r="B867" s="85"/>
      <c r="C867" s="86"/>
      <c r="D867" s="85"/>
    </row>
    <row r="868" spans="2:4" ht="13" x14ac:dyDescent="0.15">
      <c r="B868" s="85"/>
      <c r="C868" s="86"/>
      <c r="D868" s="85"/>
    </row>
    <row r="869" spans="2:4" ht="13" x14ac:dyDescent="0.15">
      <c r="B869" s="85"/>
      <c r="C869" s="86"/>
      <c r="D869" s="85"/>
    </row>
    <row r="870" spans="2:4" ht="13" x14ac:dyDescent="0.15">
      <c r="B870" s="85"/>
      <c r="C870" s="86"/>
      <c r="D870" s="85"/>
    </row>
    <row r="871" spans="2:4" ht="13" x14ac:dyDescent="0.15">
      <c r="B871" s="85"/>
      <c r="C871" s="86"/>
      <c r="D871" s="85"/>
    </row>
    <row r="872" spans="2:4" ht="13" x14ac:dyDescent="0.15">
      <c r="B872" s="85"/>
      <c r="C872" s="86"/>
      <c r="D872" s="85"/>
    </row>
    <row r="873" spans="2:4" ht="13" x14ac:dyDescent="0.15">
      <c r="B873" s="85"/>
      <c r="C873" s="86"/>
      <c r="D873" s="85"/>
    </row>
    <row r="874" spans="2:4" ht="13" x14ac:dyDescent="0.15">
      <c r="B874" s="85"/>
      <c r="C874" s="86"/>
      <c r="D874" s="85"/>
    </row>
    <row r="875" spans="2:4" ht="13" x14ac:dyDescent="0.15">
      <c r="B875" s="85"/>
      <c r="C875" s="86"/>
      <c r="D875" s="85"/>
    </row>
    <row r="876" spans="2:4" ht="13" x14ac:dyDescent="0.15">
      <c r="B876" s="85"/>
      <c r="C876" s="86"/>
      <c r="D876" s="85"/>
    </row>
    <row r="877" spans="2:4" ht="13" x14ac:dyDescent="0.15">
      <c r="B877" s="85"/>
      <c r="C877" s="86"/>
      <c r="D877" s="85"/>
    </row>
    <row r="878" spans="2:4" ht="13" x14ac:dyDescent="0.15">
      <c r="B878" s="85"/>
      <c r="C878" s="86"/>
      <c r="D878" s="85"/>
    </row>
    <row r="879" spans="2:4" ht="13" x14ac:dyDescent="0.15">
      <c r="B879" s="85"/>
      <c r="C879" s="86"/>
      <c r="D879" s="85"/>
    </row>
    <row r="880" spans="2:4" ht="13" x14ac:dyDescent="0.15">
      <c r="B880" s="85"/>
      <c r="C880" s="86"/>
      <c r="D880" s="85"/>
    </row>
    <row r="881" spans="2:4" ht="13" x14ac:dyDescent="0.15">
      <c r="B881" s="85"/>
      <c r="C881" s="86"/>
      <c r="D881" s="85"/>
    </row>
    <row r="882" spans="2:4" ht="13" x14ac:dyDescent="0.15">
      <c r="B882" s="85"/>
      <c r="C882" s="86"/>
      <c r="D882" s="85"/>
    </row>
    <row r="883" spans="2:4" ht="13" x14ac:dyDescent="0.15">
      <c r="B883" s="85"/>
      <c r="C883" s="86"/>
      <c r="D883" s="85"/>
    </row>
    <row r="884" spans="2:4" ht="13" x14ac:dyDescent="0.15">
      <c r="B884" s="85"/>
      <c r="C884" s="86"/>
      <c r="D884" s="85"/>
    </row>
    <row r="885" spans="2:4" ht="13" x14ac:dyDescent="0.15">
      <c r="B885" s="85"/>
      <c r="C885" s="86"/>
      <c r="D885" s="85"/>
    </row>
    <row r="886" spans="2:4" ht="13" x14ac:dyDescent="0.15">
      <c r="B886" s="85"/>
      <c r="C886" s="86"/>
      <c r="D886" s="85"/>
    </row>
    <row r="887" spans="2:4" ht="13" x14ac:dyDescent="0.15">
      <c r="B887" s="85"/>
      <c r="C887" s="86"/>
      <c r="D887" s="85"/>
    </row>
    <row r="888" spans="2:4" ht="13" x14ac:dyDescent="0.15">
      <c r="B888" s="85"/>
      <c r="C888" s="86"/>
      <c r="D888" s="85"/>
    </row>
    <row r="889" spans="2:4" ht="13" x14ac:dyDescent="0.15">
      <c r="B889" s="85"/>
      <c r="C889" s="86"/>
      <c r="D889" s="85"/>
    </row>
    <row r="890" spans="2:4" ht="13" x14ac:dyDescent="0.15">
      <c r="B890" s="85"/>
      <c r="C890" s="86"/>
      <c r="D890" s="85"/>
    </row>
    <row r="891" spans="2:4" ht="13" x14ac:dyDescent="0.15">
      <c r="B891" s="85"/>
      <c r="C891" s="86"/>
      <c r="D891" s="85"/>
    </row>
    <row r="892" spans="2:4" ht="13" x14ac:dyDescent="0.15">
      <c r="B892" s="85"/>
      <c r="C892" s="86"/>
      <c r="D892" s="85"/>
    </row>
    <row r="893" spans="2:4" ht="13" x14ac:dyDescent="0.15">
      <c r="B893" s="85"/>
      <c r="C893" s="86"/>
      <c r="D893" s="85"/>
    </row>
    <row r="894" spans="2:4" ht="13" x14ac:dyDescent="0.15">
      <c r="B894" s="85"/>
      <c r="C894" s="86"/>
      <c r="D894" s="85"/>
    </row>
    <row r="895" spans="2:4" ht="13" x14ac:dyDescent="0.15">
      <c r="B895" s="85"/>
      <c r="C895" s="86"/>
      <c r="D895" s="85"/>
    </row>
    <row r="896" spans="2:4" ht="13" x14ac:dyDescent="0.15">
      <c r="B896" s="85"/>
      <c r="C896" s="86"/>
      <c r="D896" s="85"/>
    </row>
    <row r="897" spans="2:4" ht="13" x14ac:dyDescent="0.15">
      <c r="B897" s="85"/>
      <c r="C897" s="86"/>
      <c r="D897" s="85"/>
    </row>
    <row r="898" spans="2:4" ht="13" x14ac:dyDescent="0.15">
      <c r="B898" s="85"/>
      <c r="C898" s="86"/>
      <c r="D898" s="85"/>
    </row>
    <row r="899" spans="2:4" ht="13" x14ac:dyDescent="0.15">
      <c r="B899" s="85"/>
      <c r="C899" s="86"/>
      <c r="D899" s="85"/>
    </row>
    <row r="900" spans="2:4" ht="13" x14ac:dyDescent="0.15">
      <c r="B900" s="85"/>
      <c r="C900" s="86"/>
      <c r="D900" s="85"/>
    </row>
    <row r="901" spans="2:4" ht="13" x14ac:dyDescent="0.15">
      <c r="B901" s="85"/>
      <c r="C901" s="86"/>
      <c r="D901" s="85"/>
    </row>
    <row r="902" spans="2:4" ht="13" x14ac:dyDescent="0.15">
      <c r="B902" s="85"/>
      <c r="C902" s="86"/>
      <c r="D902" s="85"/>
    </row>
    <row r="903" spans="2:4" ht="13" x14ac:dyDescent="0.15">
      <c r="B903" s="85"/>
      <c r="C903" s="86"/>
      <c r="D903" s="85"/>
    </row>
    <row r="904" spans="2:4" ht="13" x14ac:dyDescent="0.15">
      <c r="B904" s="85"/>
      <c r="C904" s="86"/>
      <c r="D904" s="85"/>
    </row>
    <row r="905" spans="2:4" ht="13" x14ac:dyDescent="0.15">
      <c r="B905" s="85"/>
      <c r="C905" s="86"/>
      <c r="D905" s="85"/>
    </row>
    <row r="906" spans="2:4" ht="13" x14ac:dyDescent="0.15">
      <c r="B906" s="85"/>
      <c r="C906" s="86"/>
      <c r="D906" s="85"/>
    </row>
    <row r="907" spans="2:4" ht="13" x14ac:dyDescent="0.15">
      <c r="B907" s="85"/>
      <c r="C907" s="86"/>
      <c r="D907" s="85"/>
    </row>
    <row r="908" spans="2:4" ht="13" x14ac:dyDescent="0.15">
      <c r="B908" s="85"/>
      <c r="C908" s="86"/>
      <c r="D908" s="85"/>
    </row>
    <row r="909" spans="2:4" ht="13" x14ac:dyDescent="0.15">
      <c r="B909" s="85"/>
      <c r="C909" s="86"/>
      <c r="D909" s="85"/>
    </row>
    <row r="910" spans="2:4" ht="13" x14ac:dyDescent="0.15">
      <c r="B910" s="85"/>
      <c r="C910" s="86"/>
      <c r="D910" s="85"/>
    </row>
    <row r="911" spans="2:4" ht="13" x14ac:dyDescent="0.15">
      <c r="B911" s="85"/>
      <c r="C911" s="86"/>
      <c r="D911" s="85"/>
    </row>
    <row r="912" spans="2:4" ht="13" x14ac:dyDescent="0.15">
      <c r="B912" s="85"/>
      <c r="C912" s="86"/>
      <c r="D912" s="85"/>
    </row>
    <row r="913" spans="2:4" ht="13" x14ac:dyDescent="0.15">
      <c r="B913" s="85"/>
      <c r="C913" s="86"/>
      <c r="D913" s="85"/>
    </row>
    <row r="914" spans="2:4" ht="13" x14ac:dyDescent="0.15">
      <c r="B914" s="85"/>
      <c r="C914" s="86"/>
      <c r="D914" s="85"/>
    </row>
    <row r="915" spans="2:4" ht="13" x14ac:dyDescent="0.15">
      <c r="B915" s="85"/>
      <c r="C915" s="86"/>
      <c r="D915" s="85"/>
    </row>
    <row r="916" spans="2:4" ht="13" x14ac:dyDescent="0.15">
      <c r="B916" s="85"/>
      <c r="C916" s="86"/>
      <c r="D916" s="85"/>
    </row>
    <row r="917" spans="2:4" ht="13" x14ac:dyDescent="0.15">
      <c r="B917" s="85"/>
      <c r="C917" s="86"/>
      <c r="D917" s="85"/>
    </row>
    <row r="918" spans="2:4" ht="13" x14ac:dyDescent="0.15">
      <c r="B918" s="85"/>
      <c r="C918" s="86"/>
      <c r="D918" s="85"/>
    </row>
    <row r="919" spans="2:4" ht="13" x14ac:dyDescent="0.15">
      <c r="B919" s="85"/>
      <c r="C919" s="86"/>
      <c r="D919" s="85"/>
    </row>
    <row r="920" spans="2:4" ht="13" x14ac:dyDescent="0.15">
      <c r="B920" s="85"/>
      <c r="C920" s="86"/>
      <c r="D920" s="85"/>
    </row>
    <row r="921" spans="2:4" ht="13" x14ac:dyDescent="0.15">
      <c r="B921" s="85"/>
      <c r="C921" s="86"/>
      <c r="D921" s="85"/>
    </row>
    <row r="922" spans="2:4" ht="13" x14ac:dyDescent="0.15">
      <c r="B922" s="85"/>
      <c r="C922" s="86"/>
      <c r="D922" s="85"/>
    </row>
    <row r="923" spans="2:4" ht="13" x14ac:dyDescent="0.15">
      <c r="B923" s="85"/>
      <c r="C923" s="86"/>
      <c r="D923" s="85"/>
    </row>
    <row r="924" spans="2:4" ht="13" x14ac:dyDescent="0.15">
      <c r="B924" s="85"/>
      <c r="C924" s="86"/>
      <c r="D924" s="85"/>
    </row>
    <row r="925" spans="2:4" ht="13" x14ac:dyDescent="0.15">
      <c r="B925" s="85"/>
      <c r="C925" s="86"/>
      <c r="D925" s="85"/>
    </row>
    <row r="926" spans="2:4" ht="13" x14ac:dyDescent="0.15">
      <c r="B926" s="85"/>
      <c r="C926" s="86"/>
      <c r="D926" s="85"/>
    </row>
    <row r="927" spans="2:4" ht="13" x14ac:dyDescent="0.15">
      <c r="B927" s="85"/>
      <c r="C927" s="86"/>
      <c r="D927" s="85"/>
    </row>
    <row r="928" spans="2:4" ht="13" x14ac:dyDescent="0.15">
      <c r="B928" s="85"/>
      <c r="C928" s="86"/>
      <c r="D928" s="85"/>
    </row>
    <row r="929" spans="2:4" ht="13" x14ac:dyDescent="0.15">
      <c r="B929" s="85"/>
      <c r="C929" s="86"/>
      <c r="D929" s="85"/>
    </row>
    <row r="930" spans="2:4" ht="13" x14ac:dyDescent="0.15">
      <c r="B930" s="85"/>
      <c r="C930" s="86"/>
      <c r="D930" s="85"/>
    </row>
    <row r="931" spans="2:4" ht="13" x14ac:dyDescent="0.15">
      <c r="B931" s="85"/>
      <c r="C931" s="86"/>
      <c r="D931" s="85"/>
    </row>
    <row r="932" spans="2:4" ht="13" x14ac:dyDescent="0.15">
      <c r="B932" s="85"/>
      <c r="C932" s="86"/>
      <c r="D932" s="85"/>
    </row>
    <row r="933" spans="2:4" ht="13" x14ac:dyDescent="0.15">
      <c r="B933" s="85"/>
      <c r="C933" s="86"/>
      <c r="D933" s="85"/>
    </row>
    <row r="934" spans="2:4" ht="13" x14ac:dyDescent="0.15">
      <c r="B934" s="85"/>
      <c r="C934" s="86"/>
      <c r="D934" s="85"/>
    </row>
    <row r="935" spans="2:4" ht="13" x14ac:dyDescent="0.15">
      <c r="B935" s="85"/>
      <c r="C935" s="86"/>
      <c r="D935" s="85"/>
    </row>
    <row r="936" spans="2:4" ht="13" x14ac:dyDescent="0.15">
      <c r="B936" s="85"/>
      <c r="C936" s="86"/>
      <c r="D936" s="85"/>
    </row>
    <row r="937" spans="2:4" ht="13" x14ac:dyDescent="0.15">
      <c r="B937" s="85"/>
      <c r="C937" s="86"/>
      <c r="D937" s="85"/>
    </row>
    <row r="938" spans="2:4" ht="13" x14ac:dyDescent="0.15">
      <c r="B938" s="85"/>
      <c r="C938" s="86"/>
      <c r="D938" s="85"/>
    </row>
    <row r="939" spans="2:4" ht="13" x14ac:dyDescent="0.15">
      <c r="B939" s="85"/>
      <c r="C939" s="86"/>
      <c r="D939" s="85"/>
    </row>
    <row r="940" spans="2:4" ht="13" x14ac:dyDescent="0.15">
      <c r="B940" s="85"/>
      <c r="C940" s="86"/>
      <c r="D940" s="85"/>
    </row>
    <row r="941" spans="2:4" ht="13" x14ac:dyDescent="0.15">
      <c r="B941" s="85"/>
      <c r="C941" s="86"/>
      <c r="D941" s="85"/>
    </row>
    <row r="942" spans="2:4" ht="13" x14ac:dyDescent="0.15">
      <c r="B942" s="85"/>
      <c r="C942" s="86"/>
      <c r="D942" s="85"/>
    </row>
    <row r="943" spans="2:4" ht="13" x14ac:dyDescent="0.15">
      <c r="B943" s="85"/>
      <c r="C943" s="86"/>
      <c r="D943" s="85"/>
    </row>
    <row r="944" spans="2:4" ht="13" x14ac:dyDescent="0.15">
      <c r="B944" s="85"/>
      <c r="C944" s="86"/>
      <c r="D944" s="85"/>
    </row>
    <row r="945" spans="2:4" ht="13" x14ac:dyDescent="0.15">
      <c r="B945" s="85"/>
      <c r="C945" s="86"/>
      <c r="D945" s="85"/>
    </row>
    <row r="946" spans="2:4" ht="13" x14ac:dyDescent="0.15">
      <c r="B946" s="85"/>
      <c r="C946" s="86"/>
      <c r="D946" s="85"/>
    </row>
    <row r="947" spans="2:4" ht="13" x14ac:dyDescent="0.15">
      <c r="B947" s="85"/>
      <c r="C947" s="86"/>
      <c r="D947" s="85"/>
    </row>
    <row r="948" spans="2:4" ht="13" x14ac:dyDescent="0.15">
      <c r="B948" s="85"/>
      <c r="C948" s="86"/>
      <c r="D948" s="85"/>
    </row>
    <row r="949" spans="2:4" ht="13" x14ac:dyDescent="0.15">
      <c r="B949" s="85"/>
      <c r="C949" s="86"/>
      <c r="D949" s="85"/>
    </row>
    <row r="950" spans="2:4" ht="13" x14ac:dyDescent="0.15">
      <c r="B950" s="85"/>
      <c r="C950" s="86"/>
      <c r="D950" s="85"/>
    </row>
    <row r="951" spans="2:4" ht="13" x14ac:dyDescent="0.15">
      <c r="B951" s="85"/>
      <c r="C951" s="86"/>
      <c r="D951" s="85"/>
    </row>
    <row r="952" spans="2:4" ht="13" x14ac:dyDescent="0.15">
      <c r="B952" s="85"/>
      <c r="C952" s="86"/>
      <c r="D952" s="85"/>
    </row>
    <row r="953" spans="2:4" ht="13" x14ac:dyDescent="0.15">
      <c r="B953" s="85"/>
      <c r="C953" s="86"/>
      <c r="D953" s="85"/>
    </row>
    <row r="954" spans="2:4" ht="13" x14ac:dyDescent="0.15">
      <c r="B954" s="85"/>
      <c r="C954" s="86"/>
      <c r="D954" s="85"/>
    </row>
    <row r="955" spans="2:4" ht="13" x14ac:dyDescent="0.15">
      <c r="B955" s="85"/>
      <c r="C955" s="86"/>
      <c r="D955" s="85"/>
    </row>
    <row r="956" spans="2:4" ht="13" x14ac:dyDescent="0.15">
      <c r="B956" s="85"/>
      <c r="C956" s="86"/>
      <c r="D956" s="85"/>
    </row>
    <row r="957" spans="2:4" ht="13" x14ac:dyDescent="0.15">
      <c r="B957" s="85"/>
      <c r="C957" s="86"/>
      <c r="D957" s="85"/>
    </row>
    <row r="958" spans="2:4" ht="13" x14ac:dyDescent="0.15">
      <c r="B958" s="85"/>
      <c r="C958" s="86"/>
      <c r="D958" s="85"/>
    </row>
    <row r="959" spans="2:4" ht="13" x14ac:dyDescent="0.15">
      <c r="B959" s="85"/>
      <c r="C959" s="86"/>
      <c r="D959" s="85"/>
    </row>
    <row r="960" spans="2:4" ht="13" x14ac:dyDescent="0.15">
      <c r="B960" s="85"/>
      <c r="C960" s="86"/>
      <c r="D960" s="85"/>
    </row>
    <row r="961" spans="2:4" ht="13" x14ac:dyDescent="0.15">
      <c r="B961" s="85"/>
      <c r="C961" s="86"/>
      <c r="D961" s="85"/>
    </row>
    <row r="962" spans="2:4" ht="13" x14ac:dyDescent="0.15">
      <c r="B962" s="85"/>
      <c r="C962" s="86"/>
      <c r="D962" s="85"/>
    </row>
    <row r="963" spans="2:4" ht="13" x14ac:dyDescent="0.15">
      <c r="B963" s="85"/>
      <c r="C963" s="86"/>
      <c r="D963" s="85"/>
    </row>
    <row r="964" spans="2:4" ht="13" x14ac:dyDescent="0.15">
      <c r="B964" s="85"/>
      <c r="C964" s="86"/>
      <c r="D964" s="85"/>
    </row>
    <row r="965" spans="2:4" ht="13" x14ac:dyDescent="0.15">
      <c r="B965" s="85"/>
      <c r="C965" s="86"/>
      <c r="D965" s="85"/>
    </row>
    <row r="966" spans="2:4" ht="13" x14ac:dyDescent="0.15">
      <c r="B966" s="85"/>
      <c r="C966" s="86"/>
      <c r="D966" s="85"/>
    </row>
    <row r="967" spans="2:4" ht="13" x14ac:dyDescent="0.15">
      <c r="B967" s="85"/>
      <c r="C967" s="86"/>
      <c r="D967" s="85"/>
    </row>
    <row r="968" spans="2:4" ht="13" x14ac:dyDescent="0.15">
      <c r="B968" s="85"/>
      <c r="C968" s="86"/>
      <c r="D968" s="85"/>
    </row>
    <row r="969" spans="2:4" ht="13" x14ac:dyDescent="0.15">
      <c r="B969" s="85"/>
      <c r="C969" s="86"/>
      <c r="D969" s="85"/>
    </row>
    <row r="970" spans="2:4" ht="13" x14ac:dyDescent="0.15">
      <c r="B970" s="85"/>
      <c r="C970" s="86"/>
      <c r="D970" s="85"/>
    </row>
    <row r="971" spans="2:4" ht="13" x14ac:dyDescent="0.15">
      <c r="B971" s="85"/>
      <c r="C971" s="86"/>
      <c r="D971" s="85"/>
    </row>
    <row r="972" spans="2:4" ht="13" x14ac:dyDescent="0.15">
      <c r="B972" s="85"/>
      <c r="C972" s="86"/>
      <c r="D972" s="85"/>
    </row>
    <row r="973" spans="2:4" ht="13" x14ac:dyDescent="0.15">
      <c r="B973" s="85"/>
      <c r="C973" s="86"/>
      <c r="D973" s="85"/>
    </row>
    <row r="974" spans="2:4" ht="13" x14ac:dyDescent="0.15">
      <c r="B974" s="85"/>
      <c r="C974" s="86"/>
      <c r="D974" s="85"/>
    </row>
    <row r="975" spans="2:4" ht="13" x14ac:dyDescent="0.15">
      <c r="B975" s="85"/>
      <c r="C975" s="86"/>
      <c r="D975" s="85"/>
    </row>
    <row r="976" spans="2:4" ht="13" x14ac:dyDescent="0.15">
      <c r="B976" s="85"/>
      <c r="C976" s="86"/>
      <c r="D976" s="85"/>
    </row>
    <row r="977" spans="2:4" ht="13" x14ac:dyDescent="0.15">
      <c r="B977" s="85"/>
      <c r="C977" s="86"/>
      <c r="D977" s="85"/>
    </row>
    <row r="978" spans="2:4" ht="13" x14ac:dyDescent="0.15">
      <c r="B978" s="85"/>
      <c r="C978" s="86"/>
      <c r="D978" s="85"/>
    </row>
    <row r="979" spans="2:4" ht="13" x14ac:dyDescent="0.15">
      <c r="B979" s="85"/>
      <c r="C979" s="86"/>
      <c r="D979" s="85"/>
    </row>
    <row r="980" spans="2:4" ht="13" x14ac:dyDescent="0.15">
      <c r="B980" s="85"/>
      <c r="C980" s="86"/>
      <c r="D980" s="85"/>
    </row>
    <row r="981" spans="2:4" ht="13" x14ac:dyDescent="0.15">
      <c r="B981" s="85"/>
      <c r="C981" s="86"/>
      <c r="D981" s="85"/>
    </row>
    <row r="982" spans="2:4" ht="13" x14ac:dyDescent="0.15">
      <c r="B982" s="85"/>
      <c r="C982" s="86"/>
      <c r="D982" s="85"/>
    </row>
    <row r="983" spans="2:4" ht="13" x14ac:dyDescent="0.15">
      <c r="B983" s="85"/>
      <c r="C983" s="86"/>
      <c r="D983" s="85"/>
    </row>
    <row r="984" spans="2:4" ht="13" x14ac:dyDescent="0.15">
      <c r="B984" s="85"/>
      <c r="C984" s="86"/>
      <c r="D984" s="85"/>
    </row>
    <row r="985" spans="2:4" ht="13" x14ac:dyDescent="0.15">
      <c r="B985" s="85"/>
      <c r="C985" s="86"/>
      <c r="D985" s="85"/>
    </row>
    <row r="986" spans="2:4" ht="13" x14ac:dyDescent="0.15">
      <c r="B986" s="85"/>
      <c r="C986" s="86"/>
      <c r="D986" s="85"/>
    </row>
    <row r="987" spans="2:4" ht="13" x14ac:dyDescent="0.15">
      <c r="B987" s="85"/>
      <c r="C987" s="86"/>
      <c r="D987" s="85"/>
    </row>
    <row r="988" spans="2:4" ht="13" x14ac:dyDescent="0.15">
      <c r="B988" s="85"/>
      <c r="C988" s="86"/>
      <c r="D988" s="85"/>
    </row>
    <row r="989" spans="2:4" ht="13" x14ac:dyDescent="0.15">
      <c r="B989" s="85"/>
      <c r="C989" s="86"/>
      <c r="D989" s="85"/>
    </row>
    <row r="990" spans="2:4" ht="13" x14ac:dyDescent="0.15">
      <c r="B990" s="85"/>
      <c r="C990" s="86"/>
      <c r="D990" s="85"/>
    </row>
    <row r="991" spans="2:4" ht="13" x14ac:dyDescent="0.15">
      <c r="B991" s="85"/>
      <c r="C991" s="86"/>
      <c r="D991" s="85"/>
    </row>
    <row r="992" spans="2:4" ht="13" x14ac:dyDescent="0.15">
      <c r="B992" s="85"/>
      <c r="C992" s="86"/>
      <c r="D992" s="85"/>
    </row>
    <row r="993" spans="2:4" ht="13" x14ac:dyDescent="0.15">
      <c r="B993" s="85"/>
      <c r="C993" s="86"/>
      <c r="D993" s="85"/>
    </row>
    <row r="994" spans="2:4" ht="13" x14ac:dyDescent="0.15">
      <c r="B994" s="85"/>
      <c r="C994" s="86"/>
      <c r="D994" s="85"/>
    </row>
    <row r="995" spans="2:4" ht="13" x14ac:dyDescent="0.15">
      <c r="B995" s="85"/>
      <c r="C995" s="86"/>
      <c r="D995" s="85"/>
    </row>
    <row r="996" spans="2:4" ht="13" x14ac:dyDescent="0.15">
      <c r="B996" s="85"/>
      <c r="C996" s="86"/>
      <c r="D996" s="85"/>
    </row>
    <row r="997" spans="2:4" ht="13" x14ac:dyDescent="0.15">
      <c r="B997" s="85"/>
      <c r="C997" s="86"/>
      <c r="D997" s="85"/>
    </row>
    <row r="998" spans="2:4" ht="13" x14ac:dyDescent="0.15">
      <c r="B998" s="85"/>
      <c r="C998" s="86"/>
      <c r="D998" s="85"/>
    </row>
    <row r="999" spans="2:4" ht="13" x14ac:dyDescent="0.15">
      <c r="B999" s="85"/>
      <c r="C999" s="86"/>
      <c r="D999" s="85"/>
    </row>
    <row r="1000" spans="2:4" ht="13" x14ac:dyDescent="0.15">
      <c r="B1000" s="85"/>
      <c r="C1000" s="86"/>
      <c r="D1000" s="85"/>
    </row>
    <row r="1001" spans="2:4" ht="13" x14ac:dyDescent="0.15">
      <c r="B1001" s="85"/>
      <c r="C1001" s="86"/>
      <c r="D1001" s="85"/>
    </row>
    <row r="1002" spans="2:4" ht="13" x14ac:dyDescent="0.15">
      <c r="B1002" s="85"/>
      <c r="C1002" s="86"/>
      <c r="D1002" s="8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8C61-D9AE-B447-AD96-F712A091F766}">
  <dimension ref="A3:D18"/>
  <sheetViews>
    <sheetView workbookViewId="0">
      <selection activeCell="D20" sqref="D20"/>
    </sheetView>
  </sheetViews>
  <sheetFormatPr baseColWidth="10" defaultRowHeight="13" x14ac:dyDescent="0.15"/>
  <cols>
    <col min="1" max="1" width="26.83203125" customWidth="1"/>
    <col min="2" max="2" width="22" bestFit="1" customWidth="1"/>
    <col min="3" max="3" width="5.1640625" bestFit="1" customWidth="1"/>
    <col min="4" max="4" width="11.5" bestFit="1" customWidth="1"/>
    <col min="5" max="5" width="19" bestFit="1" customWidth="1"/>
    <col min="6" max="6" width="18.6640625" bestFit="1" customWidth="1"/>
    <col min="7" max="7" width="19" bestFit="1" customWidth="1"/>
    <col min="8" max="8" width="18.6640625" bestFit="1" customWidth="1"/>
    <col min="9" max="9" width="19" bestFit="1" customWidth="1"/>
    <col min="10" max="10" width="18.6640625" bestFit="1" customWidth="1"/>
    <col min="11" max="11" width="19" bestFit="1" customWidth="1"/>
    <col min="12" max="12" width="18.6640625" bestFit="1" customWidth="1"/>
    <col min="13" max="13" width="19" bestFit="1" customWidth="1"/>
    <col min="14" max="14" width="18.6640625" bestFit="1" customWidth="1"/>
    <col min="15" max="15" width="19" bestFit="1" customWidth="1"/>
    <col min="16" max="16" width="18.6640625" bestFit="1" customWidth="1"/>
    <col min="17" max="17" width="19" bestFit="1" customWidth="1"/>
    <col min="18" max="18" width="23.33203125" bestFit="1" customWidth="1"/>
    <col min="19" max="19" width="23.6640625" bestFit="1" customWidth="1"/>
    <col min="20" max="20" width="18.6640625" bestFit="1" customWidth="1"/>
    <col min="21" max="21" width="23.5" bestFit="1" customWidth="1"/>
    <col min="22" max="22" width="18.6640625" bestFit="1" customWidth="1"/>
    <col min="23" max="23" width="23.5" bestFit="1" customWidth="1"/>
    <col min="24" max="24" width="18.6640625" bestFit="1" customWidth="1"/>
    <col min="25" max="25" width="23.5" bestFit="1" customWidth="1"/>
    <col min="26" max="26" width="18.6640625" bestFit="1" customWidth="1"/>
    <col min="27" max="27" width="23.5" bestFit="1" customWidth="1"/>
    <col min="28" max="28" width="18.6640625" bestFit="1" customWidth="1"/>
    <col min="29" max="29" width="23.5" bestFit="1" customWidth="1"/>
    <col min="30" max="30" width="23.33203125" bestFit="1" customWidth="1"/>
    <col min="31" max="31" width="28.1640625" bestFit="1" customWidth="1"/>
    <col min="32" max="32" width="23.33203125" bestFit="1" customWidth="1"/>
    <col min="33" max="33" width="28.1640625" bestFit="1" customWidth="1"/>
    <col min="34" max="34" width="23.5" bestFit="1" customWidth="1"/>
    <col min="35" max="35" width="18.6640625" bestFit="1" customWidth="1"/>
    <col min="36" max="36" width="22.83203125" bestFit="1" customWidth="1"/>
    <col min="37" max="37" width="23.5" bestFit="1" customWidth="1"/>
    <col min="38" max="38" width="18.6640625" bestFit="1" customWidth="1"/>
    <col min="39" max="39" width="22.83203125" bestFit="1" customWidth="1"/>
    <col min="40" max="40" width="23.5" bestFit="1" customWidth="1"/>
    <col min="41" max="41" width="18.6640625" bestFit="1" customWidth="1"/>
    <col min="42" max="42" width="22.83203125" bestFit="1" customWidth="1"/>
    <col min="43" max="43" width="23.5" bestFit="1" customWidth="1"/>
    <col min="44" max="44" width="23.33203125" bestFit="1" customWidth="1"/>
    <col min="45" max="45" width="27.5" bestFit="1" customWidth="1"/>
    <col min="46" max="46" width="28.1640625" bestFit="1" customWidth="1"/>
    <col min="47" max="47" width="23.33203125" bestFit="1" customWidth="1"/>
    <col min="48" max="48" width="27.5" bestFit="1" customWidth="1"/>
    <col min="49" max="49" width="28.1640625" bestFit="1" customWidth="1"/>
  </cols>
  <sheetData>
    <row r="3" spans="1:4" x14ac:dyDescent="0.15">
      <c r="A3" s="100" t="s">
        <v>1488</v>
      </c>
      <c r="B3" s="100" t="s">
        <v>1485</v>
      </c>
    </row>
    <row r="4" spans="1:4" x14ac:dyDescent="0.15">
      <c r="A4" s="100" t="s">
        <v>1483</v>
      </c>
      <c r="B4" t="s">
        <v>1486</v>
      </c>
      <c r="C4" t="s">
        <v>1487</v>
      </c>
      <c r="D4" t="s">
        <v>1484</v>
      </c>
    </row>
    <row r="5" spans="1:4" x14ac:dyDescent="0.15">
      <c r="A5" s="101" t="s">
        <v>9</v>
      </c>
      <c r="B5">
        <v>31</v>
      </c>
      <c r="C5">
        <v>32</v>
      </c>
      <c r="D5">
        <v>63</v>
      </c>
    </row>
    <row r="6" spans="1:4" x14ac:dyDescent="0.15">
      <c r="A6" s="101" t="s">
        <v>10</v>
      </c>
      <c r="B6">
        <v>42</v>
      </c>
      <c r="C6">
        <v>69</v>
      </c>
      <c r="D6">
        <v>111</v>
      </c>
    </row>
    <row r="7" spans="1:4" x14ac:dyDescent="0.15">
      <c r="A7" s="101" t="s">
        <v>11</v>
      </c>
      <c r="B7">
        <v>64</v>
      </c>
      <c r="C7">
        <v>141</v>
      </c>
      <c r="D7">
        <v>205</v>
      </c>
    </row>
    <row r="8" spans="1:4" x14ac:dyDescent="0.15">
      <c r="A8" s="101" t="s">
        <v>12</v>
      </c>
      <c r="B8">
        <v>52</v>
      </c>
      <c r="C8">
        <v>128</v>
      </c>
      <c r="D8">
        <v>180</v>
      </c>
    </row>
    <row r="9" spans="1:4" x14ac:dyDescent="0.15">
      <c r="A9" s="101" t="s">
        <v>13</v>
      </c>
      <c r="B9">
        <v>54</v>
      </c>
      <c r="C9">
        <v>145</v>
      </c>
      <c r="D9">
        <v>199</v>
      </c>
    </row>
    <row r="10" spans="1:4" x14ac:dyDescent="0.15">
      <c r="A10" s="101" t="s">
        <v>14</v>
      </c>
      <c r="B10">
        <v>59</v>
      </c>
      <c r="C10">
        <v>167</v>
      </c>
      <c r="D10">
        <v>226</v>
      </c>
    </row>
    <row r="11" spans="1:4" x14ac:dyDescent="0.15">
      <c r="A11" s="101" t="s">
        <v>15</v>
      </c>
      <c r="B11">
        <v>50</v>
      </c>
      <c r="C11">
        <v>118</v>
      </c>
      <c r="D11">
        <v>168</v>
      </c>
    </row>
    <row r="12" spans="1:4" x14ac:dyDescent="0.15">
      <c r="A12" s="101" t="s">
        <v>1473</v>
      </c>
      <c r="B12">
        <v>55</v>
      </c>
      <c r="C12">
        <v>120</v>
      </c>
      <c r="D12">
        <v>175</v>
      </c>
    </row>
    <row r="13" spans="1:4" x14ac:dyDescent="0.15">
      <c r="A13" s="101" t="s">
        <v>17</v>
      </c>
      <c r="B13">
        <v>48</v>
      </c>
      <c r="C13">
        <v>106</v>
      </c>
      <c r="D13">
        <v>154</v>
      </c>
    </row>
    <row r="14" spans="1:4" x14ac:dyDescent="0.15">
      <c r="A14" s="101" t="s">
        <v>1484</v>
      </c>
      <c r="B14">
        <v>455</v>
      </c>
      <c r="C14">
        <v>1026</v>
      </c>
      <c r="D14">
        <v>1481</v>
      </c>
    </row>
    <row r="17" spans="1:2" x14ac:dyDescent="0.15">
      <c r="A17" s="106" t="s">
        <v>1496</v>
      </c>
      <c r="B17" s="107">
        <f>C14-B14</f>
        <v>571</v>
      </c>
    </row>
    <row r="18" spans="1:2" x14ac:dyDescent="0.15">
      <c r="A18" s="106" t="s">
        <v>1495</v>
      </c>
      <c r="B18" s="108">
        <f>(C14-B14)/B14</f>
        <v>1.2549450549450549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274C-AE21-DF42-B3C3-04EF948CF619}">
  <dimension ref="A3:D18"/>
  <sheetViews>
    <sheetView workbookViewId="0">
      <selection activeCell="B20" sqref="B20"/>
    </sheetView>
  </sheetViews>
  <sheetFormatPr baseColWidth="10" defaultRowHeight="13" x14ac:dyDescent="0.15"/>
  <cols>
    <col min="1" max="1" width="21.6640625" bestFit="1" customWidth="1"/>
    <col min="2" max="2" width="22" bestFit="1" customWidth="1"/>
    <col min="3" max="3" width="7.1640625" bestFit="1" customWidth="1"/>
    <col min="4" max="4" width="11.5" bestFit="1" customWidth="1"/>
    <col min="5" max="5" width="20.5" bestFit="1" customWidth="1"/>
    <col min="6" max="6" width="26.1640625" bestFit="1" customWidth="1"/>
    <col min="7" max="7" width="25.1640625" bestFit="1" customWidth="1"/>
  </cols>
  <sheetData>
    <row r="3" spans="1:4" x14ac:dyDescent="0.15">
      <c r="A3" s="100" t="s">
        <v>1490</v>
      </c>
      <c r="B3" s="100" t="s">
        <v>1485</v>
      </c>
    </row>
    <row r="4" spans="1:4" x14ac:dyDescent="0.15">
      <c r="A4" s="100" t="s">
        <v>1483</v>
      </c>
      <c r="B4" t="s">
        <v>1486</v>
      </c>
      <c r="C4" t="s">
        <v>1487</v>
      </c>
      <c r="D4" t="s">
        <v>1484</v>
      </c>
    </row>
    <row r="5" spans="1:4" x14ac:dyDescent="0.15">
      <c r="A5" s="101" t="s">
        <v>9</v>
      </c>
      <c r="B5">
        <v>18053</v>
      </c>
      <c r="C5">
        <v>10517</v>
      </c>
      <c r="D5">
        <v>28570</v>
      </c>
    </row>
    <row r="6" spans="1:4" x14ac:dyDescent="0.15">
      <c r="A6" s="101" t="s">
        <v>10</v>
      </c>
      <c r="B6">
        <v>12198</v>
      </c>
      <c r="C6">
        <v>17805</v>
      </c>
      <c r="D6">
        <v>30003</v>
      </c>
    </row>
    <row r="7" spans="1:4" x14ac:dyDescent="0.15">
      <c r="A7" s="101" t="s">
        <v>11</v>
      </c>
      <c r="B7">
        <v>17800</v>
      </c>
      <c r="C7">
        <v>39619</v>
      </c>
      <c r="D7">
        <v>57419</v>
      </c>
    </row>
    <row r="8" spans="1:4" x14ac:dyDescent="0.15">
      <c r="A8" s="101" t="s">
        <v>12</v>
      </c>
      <c r="B8">
        <v>14855</v>
      </c>
      <c r="C8">
        <v>45889</v>
      </c>
      <c r="D8">
        <v>60744</v>
      </c>
    </row>
    <row r="9" spans="1:4" x14ac:dyDescent="0.15">
      <c r="A9" s="101" t="s">
        <v>13</v>
      </c>
      <c r="B9">
        <v>15055</v>
      </c>
      <c r="C9">
        <v>47442</v>
      </c>
      <c r="D9">
        <v>62497</v>
      </c>
    </row>
    <row r="10" spans="1:4" x14ac:dyDescent="0.15">
      <c r="A10" s="101" t="s">
        <v>14</v>
      </c>
      <c r="B10">
        <v>19180</v>
      </c>
      <c r="C10">
        <v>54949</v>
      </c>
      <c r="D10">
        <v>74129</v>
      </c>
    </row>
    <row r="11" spans="1:4" x14ac:dyDescent="0.15">
      <c r="A11" s="101" t="s">
        <v>15</v>
      </c>
      <c r="B11">
        <v>14840</v>
      </c>
      <c r="C11">
        <v>34775</v>
      </c>
      <c r="D11">
        <v>49615</v>
      </c>
    </row>
    <row r="12" spans="1:4" x14ac:dyDescent="0.15">
      <c r="A12" s="101" t="s">
        <v>1473</v>
      </c>
      <c r="B12">
        <v>20230</v>
      </c>
      <c r="C12">
        <v>43452</v>
      </c>
      <c r="D12">
        <v>63682</v>
      </c>
    </row>
    <row r="13" spans="1:4" x14ac:dyDescent="0.15">
      <c r="A13" s="101" t="s">
        <v>17</v>
      </c>
      <c r="B13">
        <v>18325</v>
      </c>
      <c r="C13">
        <v>39204</v>
      </c>
      <c r="D13">
        <v>57529</v>
      </c>
    </row>
    <row r="14" spans="1:4" x14ac:dyDescent="0.15">
      <c r="A14" s="101" t="s">
        <v>1484</v>
      </c>
      <c r="B14">
        <v>150536</v>
      </c>
      <c r="C14">
        <v>333652</v>
      </c>
      <c r="D14">
        <v>484188</v>
      </c>
    </row>
    <row r="17" spans="1:2" x14ac:dyDescent="0.15">
      <c r="A17" s="109" t="s">
        <v>1496</v>
      </c>
      <c r="B17" s="107">
        <f>C14-B14</f>
        <v>183116</v>
      </c>
    </row>
    <row r="18" spans="1:2" x14ac:dyDescent="0.15">
      <c r="A18" s="107" t="s">
        <v>1495</v>
      </c>
      <c r="B18" s="108">
        <f>(C14-B14)/B14</f>
        <v>1.2164266354891853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414B-EADE-D249-B215-DF641F07A95E}">
  <dimension ref="A3:D18"/>
  <sheetViews>
    <sheetView workbookViewId="0">
      <selection activeCell="A17" sqref="A17:B18"/>
    </sheetView>
  </sheetViews>
  <sheetFormatPr baseColWidth="10" defaultRowHeight="13" x14ac:dyDescent="0.15"/>
  <cols>
    <col min="1" max="1" width="27.33203125" customWidth="1"/>
    <col min="2" max="2" width="22" bestFit="1" customWidth="1"/>
    <col min="3" max="3" width="10.1640625" bestFit="1" customWidth="1"/>
    <col min="4" max="4" width="11.5" bestFit="1" customWidth="1"/>
  </cols>
  <sheetData>
    <row r="3" spans="1:4" x14ac:dyDescent="0.15">
      <c r="A3" s="100" t="s">
        <v>1491</v>
      </c>
      <c r="B3" s="100" t="s">
        <v>1485</v>
      </c>
    </row>
    <row r="4" spans="1:4" x14ac:dyDescent="0.15">
      <c r="A4" s="100" t="s">
        <v>1483</v>
      </c>
      <c r="B4" t="s">
        <v>1486</v>
      </c>
      <c r="C4" t="s">
        <v>1487</v>
      </c>
      <c r="D4" t="s">
        <v>1484</v>
      </c>
    </row>
    <row r="5" spans="1:4" x14ac:dyDescent="0.15">
      <c r="A5" s="101" t="s">
        <v>9</v>
      </c>
      <c r="B5">
        <v>12548.985000000001</v>
      </c>
      <c r="C5">
        <v>11522.189999999997</v>
      </c>
      <c r="D5">
        <v>24071.174999999996</v>
      </c>
    </row>
    <row r="6" spans="1:4" x14ac:dyDescent="0.15">
      <c r="A6" s="101" t="s">
        <v>10</v>
      </c>
      <c r="B6">
        <v>16191.553000000002</v>
      </c>
      <c r="C6">
        <v>25546.339</v>
      </c>
      <c r="D6">
        <v>41737.892</v>
      </c>
    </row>
    <row r="7" spans="1:4" x14ac:dyDescent="0.15">
      <c r="A7" s="101" t="s">
        <v>11</v>
      </c>
      <c r="B7">
        <v>20002.071</v>
      </c>
      <c r="C7">
        <v>51154.930000000008</v>
      </c>
      <c r="D7">
        <v>71157.001000000004</v>
      </c>
    </row>
    <row r="8" spans="1:4" x14ac:dyDescent="0.15">
      <c r="A8" s="101" t="s">
        <v>12</v>
      </c>
      <c r="B8">
        <v>17638.505000000005</v>
      </c>
      <c r="C8">
        <v>43743.547999999981</v>
      </c>
      <c r="D8">
        <v>61382.052999999985</v>
      </c>
    </row>
    <row r="9" spans="1:4" x14ac:dyDescent="0.15">
      <c r="A9" s="101" t="s">
        <v>13</v>
      </c>
      <c r="B9">
        <v>16365.548999999999</v>
      </c>
      <c r="C9">
        <v>50423.278000000013</v>
      </c>
      <c r="D9">
        <v>66788.827000000019</v>
      </c>
    </row>
    <row r="10" spans="1:4" x14ac:dyDescent="0.15">
      <c r="A10" s="101" t="s">
        <v>14</v>
      </c>
      <c r="B10">
        <v>17451.165999999994</v>
      </c>
      <c r="C10">
        <v>61226.337999999996</v>
      </c>
      <c r="D10">
        <v>78677.503999999986</v>
      </c>
    </row>
    <row r="11" spans="1:4" x14ac:dyDescent="0.15">
      <c r="A11" s="101" t="s">
        <v>15</v>
      </c>
      <c r="B11">
        <v>17036.29099999999</v>
      </c>
      <c r="C11">
        <v>45173.560000000012</v>
      </c>
      <c r="D11">
        <v>62209.851000000002</v>
      </c>
    </row>
    <row r="12" spans="1:4" x14ac:dyDescent="0.15">
      <c r="A12" s="101" t="s">
        <v>1473</v>
      </c>
      <c r="B12">
        <v>18325.828000000001</v>
      </c>
      <c r="C12">
        <v>45922.89499999999</v>
      </c>
      <c r="D12">
        <v>64248.722999999991</v>
      </c>
    </row>
    <row r="13" spans="1:4" x14ac:dyDescent="0.15">
      <c r="A13" s="101" t="s">
        <v>17</v>
      </c>
      <c r="B13">
        <v>14579.261999999995</v>
      </c>
      <c r="C13">
        <v>39258.041999999987</v>
      </c>
      <c r="D13">
        <v>53837.303999999982</v>
      </c>
    </row>
    <row r="14" spans="1:4" x14ac:dyDescent="0.15">
      <c r="A14" s="101" t="s">
        <v>1484</v>
      </c>
      <c r="B14">
        <v>150139.21</v>
      </c>
      <c r="C14">
        <v>373971.12</v>
      </c>
      <c r="D14">
        <v>524110.32999999996</v>
      </c>
    </row>
    <row r="17" spans="1:2" x14ac:dyDescent="0.15">
      <c r="A17" s="107" t="s">
        <v>1496</v>
      </c>
      <c r="B17" s="107">
        <f>C14-B14</f>
        <v>223831.91</v>
      </c>
    </row>
    <row r="18" spans="1:2" x14ac:dyDescent="0.15">
      <c r="A18" s="107" t="s">
        <v>1495</v>
      </c>
      <c r="B18" s="108">
        <f>(C14-B14)/B14</f>
        <v>1.490829144498629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5D46-59AD-0A4E-877D-FE569023085F}">
  <dimension ref="A3:D18"/>
  <sheetViews>
    <sheetView workbookViewId="0">
      <selection activeCell="B17" sqref="B17"/>
    </sheetView>
  </sheetViews>
  <sheetFormatPr baseColWidth="10" defaultRowHeight="13" x14ac:dyDescent="0.15"/>
  <cols>
    <col min="1" max="1" width="26.6640625" customWidth="1"/>
    <col min="2" max="2" width="22" bestFit="1" customWidth="1"/>
    <col min="3" max="3" width="9.1640625" bestFit="1" customWidth="1"/>
    <col min="4" max="4" width="11.5" bestFit="1" customWidth="1"/>
  </cols>
  <sheetData>
    <row r="3" spans="1:4" x14ac:dyDescent="0.15">
      <c r="A3" s="100" t="s">
        <v>1492</v>
      </c>
      <c r="B3" s="100" t="s">
        <v>1485</v>
      </c>
    </row>
    <row r="4" spans="1:4" x14ac:dyDescent="0.15">
      <c r="A4" s="100" t="s">
        <v>1483</v>
      </c>
      <c r="B4" t="s">
        <v>1486</v>
      </c>
      <c r="C4" t="s">
        <v>1487</v>
      </c>
      <c r="D4" t="s">
        <v>1484</v>
      </c>
    </row>
    <row r="5" spans="1:4" x14ac:dyDescent="0.15">
      <c r="A5" s="101" t="s">
        <v>9</v>
      </c>
      <c r="B5">
        <v>8824</v>
      </c>
      <c r="C5">
        <v>5047</v>
      </c>
      <c r="D5">
        <v>13871</v>
      </c>
    </row>
    <row r="6" spans="1:4" x14ac:dyDescent="0.15">
      <c r="A6" s="101" t="s">
        <v>10</v>
      </c>
      <c r="B6">
        <v>6418.5</v>
      </c>
      <c r="C6">
        <v>11257</v>
      </c>
      <c r="D6">
        <v>17675.5</v>
      </c>
    </row>
    <row r="7" spans="1:4" x14ac:dyDescent="0.15">
      <c r="A7" s="101" t="s">
        <v>11</v>
      </c>
      <c r="B7">
        <v>9392.2099999999991</v>
      </c>
      <c r="C7">
        <v>25338.699999999997</v>
      </c>
      <c r="D7">
        <v>34730.909999999996</v>
      </c>
    </row>
    <row r="8" spans="1:4" x14ac:dyDescent="0.15">
      <c r="A8" s="101" t="s">
        <v>12</v>
      </c>
      <c r="B8">
        <v>8219.5400000000009</v>
      </c>
      <c r="C8">
        <v>23985.599999999999</v>
      </c>
      <c r="D8">
        <v>32205.14</v>
      </c>
    </row>
    <row r="9" spans="1:4" x14ac:dyDescent="0.15">
      <c r="A9" s="101" t="s">
        <v>13</v>
      </c>
      <c r="B9">
        <v>8741.369999999999</v>
      </c>
      <c r="C9">
        <v>28300.6</v>
      </c>
      <c r="D9">
        <v>37041.97</v>
      </c>
    </row>
    <row r="10" spans="1:4" x14ac:dyDescent="0.15">
      <c r="A10" s="101" t="s">
        <v>14</v>
      </c>
      <c r="B10">
        <v>10039.619999999999</v>
      </c>
      <c r="C10">
        <v>36818.6</v>
      </c>
      <c r="D10">
        <v>46858.22</v>
      </c>
    </row>
    <row r="11" spans="1:4" x14ac:dyDescent="0.15">
      <c r="A11" s="101" t="s">
        <v>15</v>
      </c>
      <c r="B11">
        <v>7900</v>
      </c>
      <c r="C11">
        <v>26666.899999999998</v>
      </c>
      <c r="D11">
        <v>34566.899999999994</v>
      </c>
    </row>
    <row r="12" spans="1:4" x14ac:dyDescent="0.15">
      <c r="A12" s="101" t="s">
        <v>1473</v>
      </c>
      <c r="B12">
        <v>8494.7200000000012</v>
      </c>
      <c r="C12">
        <v>25942</v>
      </c>
      <c r="D12">
        <v>34436.720000000001</v>
      </c>
    </row>
    <row r="13" spans="1:4" x14ac:dyDescent="0.15">
      <c r="A13" s="101" t="s">
        <v>17</v>
      </c>
      <c r="B13">
        <v>7690</v>
      </c>
      <c r="C13">
        <v>22470</v>
      </c>
      <c r="D13">
        <v>30160</v>
      </c>
    </row>
    <row r="14" spans="1:4" x14ac:dyDescent="0.15">
      <c r="A14" s="101" t="s">
        <v>1484</v>
      </c>
      <c r="B14">
        <v>75719.959999999992</v>
      </c>
      <c r="C14">
        <v>205826.4</v>
      </c>
      <c r="D14">
        <v>281546.36</v>
      </c>
    </row>
    <row r="17" spans="1:2" x14ac:dyDescent="0.15">
      <c r="A17" s="107" t="s">
        <v>1496</v>
      </c>
      <c r="B17" s="107">
        <f>C14-B14</f>
        <v>130106.44</v>
      </c>
    </row>
    <row r="18" spans="1:2" x14ac:dyDescent="0.15">
      <c r="A18" s="107" t="s">
        <v>1495</v>
      </c>
      <c r="B18" s="108">
        <f>(C14-B14)/B14</f>
        <v>1.7182581712932761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63C20-EB40-3B47-AE8A-87FAFE66B9DF}">
  <dimension ref="A3:D18"/>
  <sheetViews>
    <sheetView workbookViewId="0">
      <selection activeCell="M31" sqref="M31"/>
    </sheetView>
  </sheetViews>
  <sheetFormatPr baseColWidth="10" defaultRowHeight="13" x14ac:dyDescent="0.15"/>
  <cols>
    <col min="1" max="1" width="26.5" customWidth="1"/>
    <col min="2" max="2" width="22" bestFit="1" customWidth="1"/>
    <col min="3" max="3" width="8.6640625" bestFit="1" customWidth="1"/>
    <col min="4" max="4" width="11.5" bestFit="1" customWidth="1"/>
  </cols>
  <sheetData>
    <row r="3" spans="1:4" x14ac:dyDescent="0.15">
      <c r="A3" s="100" t="s">
        <v>1489</v>
      </c>
      <c r="B3" s="100" t="s">
        <v>1485</v>
      </c>
    </row>
    <row r="4" spans="1:4" x14ac:dyDescent="0.15">
      <c r="A4" s="100" t="s">
        <v>1483</v>
      </c>
      <c r="B4" t="s">
        <v>1486</v>
      </c>
      <c r="C4" t="s">
        <v>1487</v>
      </c>
      <c r="D4" t="s">
        <v>1484</v>
      </c>
    </row>
    <row r="5" spans="1:4" x14ac:dyDescent="0.15">
      <c r="A5" s="101" t="s">
        <v>9</v>
      </c>
      <c r="B5" s="102">
        <v>596.95981233908003</v>
      </c>
      <c r="C5" s="102">
        <v>354.97536086162</v>
      </c>
      <c r="D5" s="102">
        <v>951.93517320070009</v>
      </c>
    </row>
    <row r="6" spans="1:4" x14ac:dyDescent="0.15">
      <c r="A6" s="101" t="s">
        <v>10</v>
      </c>
      <c r="B6" s="102">
        <v>528.44576559239999</v>
      </c>
      <c r="C6" s="102">
        <v>609.08467445730003</v>
      </c>
      <c r="D6" s="102">
        <v>1137.5304400497</v>
      </c>
    </row>
    <row r="7" spans="1:4" x14ac:dyDescent="0.15">
      <c r="A7" s="101" t="s">
        <v>11</v>
      </c>
      <c r="B7" s="102">
        <v>598.28947803459982</v>
      </c>
      <c r="C7" s="102">
        <v>1281.4500789411404</v>
      </c>
      <c r="D7" s="102">
        <v>1879.7395569757402</v>
      </c>
    </row>
    <row r="8" spans="1:4" x14ac:dyDescent="0.15">
      <c r="A8" s="101" t="s">
        <v>12</v>
      </c>
      <c r="B8" s="102">
        <v>422.54825692780003</v>
      </c>
      <c r="C8" s="102">
        <v>1479.1594002646204</v>
      </c>
      <c r="D8" s="102">
        <v>1901.7076571924204</v>
      </c>
    </row>
    <row r="9" spans="1:4" x14ac:dyDescent="0.15">
      <c r="A9" s="101" t="s">
        <v>13</v>
      </c>
      <c r="B9" s="102">
        <v>410.64473045370005</v>
      </c>
      <c r="C9" s="102">
        <v>1432.60325868624</v>
      </c>
      <c r="D9" s="102">
        <v>1843.24798913994</v>
      </c>
    </row>
    <row r="10" spans="1:4" x14ac:dyDescent="0.15">
      <c r="A10" s="101" t="s">
        <v>14</v>
      </c>
      <c r="B10" s="102">
        <v>533.07539303400017</v>
      </c>
      <c r="C10" s="102">
        <v>2077.7310020559398</v>
      </c>
      <c r="D10" s="102">
        <v>2610.80639508994</v>
      </c>
    </row>
    <row r="11" spans="1:4" x14ac:dyDescent="0.15">
      <c r="A11" s="101" t="s">
        <v>15</v>
      </c>
      <c r="B11" s="102">
        <v>491.67252374019989</v>
      </c>
      <c r="C11" s="102">
        <v>1444.6724350049408</v>
      </c>
      <c r="D11" s="102">
        <v>1936.3449587451407</v>
      </c>
    </row>
    <row r="12" spans="1:4" x14ac:dyDescent="0.15">
      <c r="A12" s="101" t="s">
        <v>1473</v>
      </c>
      <c r="B12" s="102">
        <v>648.24622526029998</v>
      </c>
      <c r="C12" s="102">
        <v>1690.3603862887196</v>
      </c>
      <c r="D12" s="102">
        <v>2338.6066115490194</v>
      </c>
    </row>
    <row r="13" spans="1:4" x14ac:dyDescent="0.15">
      <c r="A13" s="101" t="s">
        <v>17</v>
      </c>
      <c r="B13" s="102">
        <v>511.84676244999991</v>
      </c>
      <c r="C13" s="102">
        <v>1473.18706455644</v>
      </c>
      <c r="D13" s="102">
        <v>1985.0338270064399</v>
      </c>
    </row>
    <row r="14" spans="1:4" x14ac:dyDescent="0.15">
      <c r="A14" s="101" t="s">
        <v>1484</v>
      </c>
      <c r="B14" s="102">
        <v>4741.728947832079</v>
      </c>
      <c r="C14" s="102">
        <v>11843.223661116961</v>
      </c>
      <c r="D14" s="102">
        <v>16584.952608949039</v>
      </c>
    </row>
    <row r="17" spans="1:2" x14ac:dyDescent="0.15">
      <c r="A17" s="107" t="s">
        <v>1496</v>
      </c>
      <c r="B17" s="110">
        <f>C14-B14</f>
        <v>7101.494713284882</v>
      </c>
    </row>
    <row r="18" spans="1:2" x14ac:dyDescent="0.15">
      <c r="A18" s="107" t="s">
        <v>1495</v>
      </c>
      <c r="B18" s="108">
        <f>(C14-B14)/B14</f>
        <v>1.4976593540910197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8</vt:i4>
      </vt:variant>
      <vt:variant>
        <vt:lpstr>Plages nommées</vt:lpstr>
      </vt:variant>
      <vt:variant>
        <vt:i4>2</vt:i4>
      </vt:variant>
    </vt:vector>
  </HeadingPairs>
  <TitlesOfParts>
    <vt:vector size="10" baseType="lpstr">
      <vt:lpstr>Import</vt:lpstr>
      <vt:lpstr>Indicateurs transport</vt:lpstr>
      <vt:lpstr>Taux émission CO2e</vt:lpstr>
      <vt:lpstr>TCD_OT</vt:lpstr>
      <vt:lpstr>TCD_Poids(Kg)</vt:lpstr>
      <vt:lpstr>TCD_Km</vt:lpstr>
      <vt:lpstr>TCD_Coût_Transport</vt:lpstr>
      <vt:lpstr>TCD_CO2</vt:lpstr>
      <vt:lpstr>Segment1</vt:lpstr>
      <vt:lpstr>Segment2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 PHILIPPE Benedy</cp:lastModifiedBy>
  <dcterms:created xsi:type="dcterms:W3CDTF">2024-02-07T20:45:21Z</dcterms:created>
  <dcterms:modified xsi:type="dcterms:W3CDTF">2024-06-04T11:42:21Z</dcterms:modified>
</cp:coreProperties>
</file>